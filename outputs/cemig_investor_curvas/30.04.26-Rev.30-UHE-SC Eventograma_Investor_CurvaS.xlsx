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drawings/drawing2.xml" ContentType="application/vnd.openxmlformats-officedocument.drawing+xml"/>
  <Override PartName="/xl/worksheets/sheet7.xml" ContentType="application/vnd.openxmlformats-officedocument.spreadsheetml.worksheet+xml"/>
  <Override PartName="/xl/drawings/drawing3.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comments/comment3.xml" ContentType="application/vnd.openxmlformats-officedocument.spreadsheetml.comments+xml"/>
  <Override PartName="/xl/worksheets/sheet10.xml" ContentType="application/vnd.openxmlformats-officedocument.spreadsheetml.worksheet+xml"/>
  <Override PartName="/xl/drawings/drawing4.xml" ContentType="application/vnd.openxmlformats-officedocument.drawing+xml"/>
  <Override PartName="/xl/worksheets/sheet11.xml" ContentType="application/vnd.openxmlformats-officedocument.spreadsheetml.worksheet+xml"/>
  <Override PartName="/xl/comments/comment4.xml" ContentType="application/vnd.openxmlformats-officedocument.spreadsheetml.comments+xml"/>
  <Override PartName="/xl/worksheets/sheet12.xml" ContentType="application/vnd.openxmlformats-officedocument.spreadsheetml.worksheet+xml"/>
  <Override PartName="/xl/drawings/drawing5.xml" ContentType="application/vnd.openxmlformats-officedocument.drawing+xml"/>
  <Override PartName="/xl/worksheets/sheet1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EstaPastaDeTrabalho"/>
  <bookViews>
    <workbookView visibility="visible" minimized="0" showHorizontalScroll="1" showVerticalScroll="1" showSheetTabs="1" xWindow="28680" yWindow="-30" windowWidth="29040" windowHeight="15720" tabRatio="555" firstSheet="4" activeTab="4" autoFilterDateGrouping="1"/>
  </bookViews>
  <sheets>
    <sheet xmlns:r="http://schemas.openxmlformats.org/officeDocument/2006/relationships" name="00_Instruções_Básicas" sheetId="1" state="visible" r:id="rId1"/>
    <sheet xmlns:r="http://schemas.openxmlformats.org/officeDocument/2006/relationships" name="BM" sheetId="2" state="visible" r:id="rId2"/>
    <sheet xmlns:r="http://schemas.openxmlformats.org/officeDocument/2006/relationships" name="01_Preço" sheetId="3" state="visible" r:id="rId3"/>
    <sheet xmlns:r="http://schemas.openxmlformats.org/officeDocument/2006/relationships" name="Tabela de mês" sheetId="4" state="visible" r:id="rId4"/>
    <sheet xmlns:r="http://schemas.openxmlformats.org/officeDocument/2006/relationships" name="03_Eventos_pagamentos" sheetId="5" state="visible" r:id="rId5"/>
    <sheet xmlns:r="http://schemas.openxmlformats.org/officeDocument/2006/relationships" name="04_TOTALIZADORA (2)" sheetId="6" state="hidden" r:id="rId6"/>
    <sheet xmlns:r="http://schemas.openxmlformats.org/officeDocument/2006/relationships" name="04_TOTALIZADORA" sheetId="7" state="visible" r:id="rId7"/>
    <sheet xmlns:r="http://schemas.openxmlformats.org/officeDocument/2006/relationships" name="BDI" sheetId="8" state="visible" r:id="rId8"/>
    <sheet xmlns:r="http://schemas.openxmlformats.org/officeDocument/2006/relationships" name="02_Sobressalent_Especif_CEMIG_D" sheetId="9" state="visible" r:id="rId9"/>
    <sheet xmlns:r="http://schemas.openxmlformats.org/officeDocument/2006/relationships" name="04_TOTALIZADORA (3)" sheetId="10" state="visible" r:id="rId10"/>
    <sheet xmlns:r="http://schemas.openxmlformats.org/officeDocument/2006/relationships" name="Investor_CurvaS" sheetId="11" state="visible" r:id="rId11"/>
    <sheet xmlns:r="http://schemas.openxmlformats.org/officeDocument/2006/relationships" name="Investor_Dashboard" sheetId="12" state="visible" r:id="rId12"/>
    <sheet xmlns:r="http://schemas.openxmlformats.org/officeDocument/2006/relationships" name="Investor_Reconciliation" sheetId="13" state="visible" r:id="rId13"/>
  </sheets>
  <externalReferences>
    <externalReference xmlns:r="http://schemas.openxmlformats.org/officeDocument/2006/relationships" r:id="rId14"/>
  </externalReferences>
  <definedNames>
    <definedName name="_xlnm.Print_Area" localSheetId="0">'00_Instruções_Básicas'!$A$1:$D$22</definedName>
    <definedName name="_xlnm.Print_Area" localSheetId="1">'BM'!$A$2:$R$66</definedName>
    <definedName name="_xlnm._FilterDatabase" localSheetId="2" hidden="1">'01_Preço'!$A$10:$V$647</definedName>
    <definedName name="_xlnm.Print_Titles" localSheetId="2">'01_Preço'!$1:$10</definedName>
    <definedName name="_xlnm.Print_Area" localSheetId="2">'01_Preço'!$A$1:$V$658</definedName>
    <definedName name="_xlnm.Print_Area" localSheetId="3">'Tabela de mês'!$B$18:$C$71</definedName>
    <definedName name="_xlnm._FilterDatabase" localSheetId="4" hidden="1">'03_Eventos_pagamentos'!$A$9:$O$839</definedName>
    <definedName name="_xlnm.Print_Titles" localSheetId="4">'03_Eventos_pagamentos'!$1:$9</definedName>
    <definedName name="_xlnm.Print_Area" localSheetId="4">'03_Eventos_pagamentos'!$A$9:$O$624</definedName>
    <definedName name="_xlnm.Print_Area" localSheetId="5">'04_TOTALIZADORA (2)'!$A$1:$R$87</definedName>
    <definedName name="_xlnm.Print_Area" localSheetId="6">'04_TOTALIZADORA'!$G$13:$G$82</definedName>
    <definedName name="_xlnm.Print_Area" localSheetId="7">'BDI'!$B$2:$E$31</definedName>
    <definedName name="_xlnm.Print_Titles" localSheetId="8">'02_Sobressalent_Especif_CEMIG_D'!$2:$10</definedName>
    <definedName name="_xlnm.Print_Area" localSheetId="8">'02_Sobressalent_Especif_CEMIG_D'!$B$25:$G$39</definedName>
    <definedName name="_xlnm.Print_Area" localSheetId="9">'04_TOTALIZADORA (3)'!$S$185:$W$220</definedName>
    <definedName name="_xlnm._FilterDatabase" localSheetId="10" hidden="1">'Investor_CurvaS'!$A$5:$J$74</definedName>
    <definedName name="_xlnm._FilterDatabase" localSheetId="12" hidden="1">'Investor_Reconciliation'!$A$5:$G$16</definedName>
  </definedNames>
  <calcPr calcId="191028" fullCalcOnLoad="1" forceFullCalc="1"/>
</workbook>
</file>

<file path=xl/styles.xml><?xml version="1.0" encoding="utf-8"?>
<styleSheet xmlns="http://schemas.openxmlformats.org/spreadsheetml/2006/main">
  <numFmts count="15">
    <numFmt numFmtId="164" formatCode="[$-416]mmmm\-yy;@"/>
    <numFmt numFmtId="165" formatCode="_-* #,##0.00_-;\-* #,##0.00_-;_-* &quot;-&quot;??_-;_-@_-"/>
    <numFmt numFmtId="166" formatCode="_-&quot;R$&quot;\ * #,##0.00_-;\-&quot;R$&quot;\ * #,##0.00_-;_-&quot;R$&quot;\ * &quot;-&quot;??_-;_-@_-"/>
    <numFmt numFmtId="167" formatCode="_-&quot;R$&quot;\ * #,##0.00_-;\-&quot;R$&quot;\ * #,##0.00_-;_-&quot;R$&quot;\ * &quot;-&quot;??_-;_-@"/>
    <numFmt numFmtId="168" formatCode="mmmm\,\ yyyy;@"/>
    <numFmt numFmtId="169" formatCode="&quot;R$&quot;\ #,##0.00;[Red]\-&quot;R$&quot;\ #,##0.00"/>
    <numFmt numFmtId="170" formatCode="_-&quot;R$&quot;* #,##0.00_-;\-&quot;R$&quot;* #,##0.00_-;_-&quot;R$&quot;* &quot;-&quot;??_-;_-@_-"/>
    <numFmt numFmtId="171" formatCode="00&quot;.&quot;000&quot;.&quot;000&quot;/&quot;0000&quot;-&quot;00"/>
    <numFmt numFmtId="172" formatCode="000&quot;.&quot;000&quot;.&quot;000&quot;-&quot;00"/>
    <numFmt numFmtId="173" formatCode="[$-416]mmm\-yy;@"/>
    <numFmt numFmtId="174" formatCode="0.0%"/>
    <numFmt numFmtId="175" formatCode="mmmm\-yyyy"/>
    <numFmt numFmtId="176" formatCode="yyyy-mm-dd h:mm:ss"/>
    <numFmt numFmtId="177" formatCode="mmm/yy"/>
    <numFmt numFmtId="178" formatCode="R$ #,##0.00;[Red](R$ #,##0.00);-"/>
  </numFmts>
  <fonts count="69">
    <font>
      <name val="Calibri"/>
      <family val="2"/>
      <color theme="1"/>
      <sz val="11"/>
      <scheme val="minor"/>
    </font>
    <font>
      <name val="Calibri"/>
      <family val="2"/>
      <color theme="1"/>
      <sz val="11"/>
      <scheme val="minor"/>
    </font>
    <font>
      <name val="Arial"/>
      <family val="2"/>
      <b val="1"/>
      <color theme="1"/>
      <sz val="12"/>
    </font>
    <font>
      <name val="Arial"/>
      <family val="2"/>
      <sz val="10"/>
    </font>
    <font>
      <name val="Arial"/>
      <family val="2"/>
      <color theme="1"/>
      <sz val="12"/>
    </font>
    <font>
      <name val="Arial"/>
      <family val="2"/>
      <b val="1"/>
      <sz val="12"/>
    </font>
    <font>
      <name val="Arial"/>
      <family val="2"/>
      <color theme="1"/>
      <sz val="11"/>
    </font>
    <font>
      <name val="Arial"/>
      <family val="2"/>
      <sz val="12"/>
    </font>
    <font>
      <name val="Arial"/>
      <family val="2"/>
      <b val="1"/>
      <sz val="14"/>
    </font>
    <font>
      <name val="Arial"/>
      <family val="2"/>
      <sz val="11"/>
    </font>
    <font>
      <name val="MS Sans Serif"/>
      <sz val="10"/>
    </font>
    <font>
      <name val="Arial"/>
      <family val="2"/>
      <b val="1"/>
      <sz val="16"/>
    </font>
    <font>
      <name val="Arial"/>
      <family val="2"/>
      <b val="1"/>
      <sz val="11"/>
    </font>
    <font>
      <name val="Calibri"/>
      <family val="2"/>
      <sz val="8"/>
      <scheme val="minor"/>
    </font>
    <font>
      <name val="Tahoma"/>
      <family val="2"/>
      <sz val="10"/>
    </font>
    <font>
      <name val="Arial"/>
      <family val="2"/>
      <color theme="1"/>
      <sz val="10"/>
    </font>
    <font>
      <name val="Calibri"/>
      <family val="2"/>
      <color theme="1"/>
      <sz val="10"/>
      <scheme val="minor"/>
    </font>
    <font>
      <name val="Arial"/>
      <family val="2"/>
      <b val="1"/>
      <color theme="1"/>
      <sz val="11"/>
    </font>
    <font>
      <name val="Arial"/>
      <family val="2"/>
      <b val="1"/>
      <color theme="1"/>
      <sz val="18"/>
    </font>
    <font>
      <name val="Arial"/>
      <family val="2"/>
      <b val="1"/>
      <color theme="1"/>
      <sz val="14"/>
    </font>
    <font>
      <name val="Arial"/>
      <family val="2"/>
      <color theme="1"/>
      <sz val="14"/>
    </font>
    <font>
      <name val="Arial"/>
      <family val="2"/>
      <b val="1"/>
      <color theme="1"/>
      <sz val="20"/>
    </font>
    <font>
      <name val="Arial"/>
      <family val="2"/>
      <b val="1"/>
      <color theme="1"/>
      <sz val="16"/>
    </font>
    <font>
      <name val="Arial"/>
      <family val="2"/>
      <b val="1"/>
      <color theme="1"/>
      <sz val="10"/>
    </font>
    <font>
      <name val="Arial"/>
      <family val="2"/>
      <b val="1"/>
      <color indexed="8"/>
      <sz val="10"/>
    </font>
    <font>
      <name val="Arial"/>
      <family val="2"/>
      <color indexed="8"/>
      <sz val="10"/>
    </font>
    <font>
      <name val="Arial"/>
      <family val="2"/>
      <b val="1"/>
      <color rgb="FF000000"/>
      <sz val="10"/>
    </font>
    <font>
      <name val="Arial"/>
      <family val="2"/>
      <b val="1"/>
      <color indexed="8"/>
      <sz val="12"/>
    </font>
    <font>
      <name val="Arial"/>
      <family val="2"/>
      <color rgb="FF000000"/>
      <sz val="10"/>
    </font>
    <font>
      <name val="Arial"/>
      <family val="2"/>
      <sz val="14"/>
    </font>
    <font>
      <name val="Arial"/>
      <family val="2"/>
      <i val="1"/>
      <color theme="1"/>
      <sz val="11"/>
    </font>
    <font>
      <name val="Arial"/>
      <family val="2"/>
      <color rgb="FF000000"/>
      <sz val="11"/>
    </font>
    <font>
      <name val="Arial"/>
      <family val="2"/>
      <color rgb="FFFF0000"/>
      <sz val="11"/>
    </font>
    <font>
      <name val="Calibri"/>
      <family val="2"/>
      <b val="1"/>
      <color theme="1"/>
      <sz val="11"/>
      <scheme val="minor"/>
    </font>
    <font>
      <name val="Calibri"/>
      <family val="2"/>
      <b val="1"/>
      <sz val="14"/>
      <scheme val="minor"/>
    </font>
    <font>
      <name val="Calibri"/>
      <family val="2"/>
      <sz val="10"/>
      <scheme val="minor"/>
    </font>
    <font>
      <name val="Calibri"/>
      <family val="2"/>
      <b val="1"/>
      <sz val="12"/>
      <scheme val="minor"/>
    </font>
    <font>
      <name val="Calibri"/>
      <family val="2"/>
      <b val="1"/>
      <color theme="1" tint="0.1499984740745262"/>
      <sz val="11"/>
    </font>
    <font>
      <name val="Calibri"/>
      <family val="2"/>
      <b val="1"/>
      <color rgb="FFFF0000"/>
      <sz val="11"/>
    </font>
    <font>
      <name val="Calibri"/>
      <family val="2"/>
      <b val="1"/>
      <sz val="11"/>
      <scheme val="minor"/>
    </font>
    <font>
      <name val="Calibri"/>
      <family val="2"/>
      <b val="1"/>
      <sz val="10"/>
      <scheme val="minor"/>
    </font>
    <font>
      <name val="Times New Roman"/>
      <family val="1"/>
      <sz val="12"/>
    </font>
    <font>
      <name val="Calibri"/>
      <family val="2"/>
      <sz val="11"/>
      <scheme val="minor"/>
    </font>
    <font>
      <name val="Calibri"/>
      <family val="2"/>
      <b val="1"/>
      <color theme="1"/>
      <sz val="14"/>
      <scheme val="minor"/>
    </font>
    <font>
      <name val="Calibri"/>
      <family val="2"/>
      <b val="1"/>
      <color rgb="FFFF0000"/>
      <sz val="12"/>
      <scheme val="minor"/>
    </font>
    <font>
      <name val="Arial"/>
      <family val="2"/>
      <b val="1"/>
      <color theme="1"/>
      <sz val="28"/>
    </font>
    <font>
      <name val="Arial"/>
      <family val="2"/>
      <b val="1"/>
      <sz val="18"/>
    </font>
    <font>
      <name val="Calibri"/>
      <family val="2"/>
      <b val="1"/>
      <color theme="1"/>
      <sz val="22"/>
      <scheme val="minor"/>
    </font>
    <font>
      <name val="Segoe UI"/>
      <family val="2"/>
      <color indexed="81"/>
      <sz val="12"/>
    </font>
    <font>
      <name val="Arial"/>
      <family val="2"/>
      <color rgb="FF040C28"/>
      <sz val="12"/>
    </font>
    <font>
      <name val="Arial"/>
      <family val="2"/>
      <b val="1"/>
      <color rgb="FFFF0000"/>
      <sz val="11"/>
    </font>
    <font>
      <name val="Webdings"/>
      <charset val="2"/>
      <family val="1"/>
      <sz val="11"/>
    </font>
    <font>
      <name val="Calibri"/>
      <family val="2"/>
      <color rgb="FFFF0000"/>
      <sz val="11"/>
      <scheme val="minor"/>
    </font>
    <font>
      <name val="Arial"/>
      <family val="2"/>
      <color rgb="FFFF0000"/>
      <sz val="12"/>
    </font>
    <font>
      <name val="Arial"/>
      <family val="2"/>
      <color rgb="FFFF0000"/>
      <sz val="10"/>
    </font>
    <font>
      <name val="Calibri"/>
      <family val="2"/>
      <b val="1"/>
      <color theme="1"/>
      <sz val="9"/>
      <scheme val="minor"/>
    </font>
    <font>
      <name val="Calibri"/>
      <family val="2"/>
      <b val="1"/>
      <color theme="1"/>
      <sz val="12"/>
      <scheme val="minor"/>
    </font>
    <font>
      <name val="Aptos Display"/>
      <b val="1"/>
      <color rgb="00FFFFFF"/>
      <sz val="18"/>
    </font>
    <font>
      <name val="Aptos"/>
      <color rgb="00FFFFFF"/>
      <sz val="10"/>
    </font>
    <font>
      <name val="Aptos"/>
      <b val="1"/>
      <color rgb="00FFFFFF"/>
      <sz val="10"/>
    </font>
    <font>
      <name val="Aptos"/>
      <color rgb="00000000"/>
      <sz val="9"/>
    </font>
    <font>
      <name val="Aptos"/>
      <b val="1"/>
      <color rgb="00000000"/>
      <sz val="10"/>
    </font>
    <font>
      <name val="Aptos"/>
      <i val="1"/>
      <color rgb="00666666"/>
      <sz val="9"/>
    </font>
    <font>
      <name val="Aptos"/>
      <b val="1"/>
      <color rgb="0017365D"/>
      <sz val="9"/>
    </font>
    <font>
      <name val="Aptos Display"/>
      <b val="1"/>
      <color rgb="00000000"/>
      <sz val="15"/>
    </font>
    <font>
      <name val="Aptos"/>
      <i val="1"/>
      <color rgb="00666666"/>
      <sz val="8"/>
    </font>
    <font>
      <name val="Aptos"/>
      <b val="1"/>
      <color rgb="0017365D"/>
      <sz val="12"/>
    </font>
    <font>
      <name val="Aptos"/>
      <b val="1"/>
      <color rgb="00000000"/>
      <sz val="9"/>
    </font>
    <font>
      <name val="Aptos"/>
      <b val="1"/>
      <color rgb="0017365D"/>
      <sz val="10"/>
    </font>
  </fonts>
  <fills count="43">
    <fill>
      <patternFill/>
    </fill>
    <fill>
      <patternFill patternType="gray125"/>
    </fill>
    <fill>
      <patternFill patternType="solid">
        <fgColor theme="9" tint="0.3999755851924192"/>
        <bgColor indexed="64"/>
      </patternFill>
    </fill>
    <fill>
      <patternFill patternType="solid">
        <fgColor theme="0" tint="-0.0499893185216834"/>
        <bgColor indexed="64"/>
      </patternFill>
    </fill>
    <fill>
      <patternFill patternType="solid">
        <fgColor theme="3" tint="0.7999816888943144"/>
        <bgColor indexed="64"/>
      </patternFill>
    </fill>
    <fill>
      <patternFill patternType="solid">
        <fgColor theme="0"/>
        <bgColor indexed="64"/>
      </patternFill>
    </fill>
    <fill>
      <patternFill patternType="solid">
        <fgColor theme="0" tint="-0.1499984740745262"/>
        <bgColor indexed="64"/>
      </patternFill>
    </fill>
    <fill>
      <patternFill patternType="solid">
        <fgColor theme="5" tint="0.5999938962981048"/>
        <bgColor indexed="64"/>
      </patternFill>
    </fill>
    <fill>
      <patternFill patternType="solid">
        <fgColor theme="4" tint="0.5999938962981048"/>
        <bgColor indexed="64"/>
      </patternFill>
    </fill>
    <fill>
      <patternFill patternType="solid">
        <fgColor theme="0" tint="-0.3499862666707358"/>
        <bgColor indexed="64"/>
      </patternFill>
    </fill>
    <fill>
      <patternFill patternType="gray0625">
        <bgColor theme="0" tint="-0.1499679555650502"/>
      </patternFill>
    </fill>
    <fill>
      <patternFill patternType="solid">
        <fgColor theme="9" tint="0.7999816888943144"/>
        <bgColor indexed="64"/>
      </patternFill>
    </fill>
    <fill>
      <patternFill patternType="solid">
        <fgColor rgb="FF9CC2E5"/>
        <bgColor rgb="FF9CC2E5"/>
      </patternFill>
    </fill>
    <fill>
      <patternFill patternType="solid">
        <fgColor theme="4" tint="0.7999816888943144"/>
        <bgColor indexed="64"/>
      </patternFill>
    </fill>
    <fill>
      <patternFill patternType="solid">
        <fgColor theme="8" tint="0.3999755851924192"/>
        <bgColor indexed="64"/>
      </patternFill>
    </fill>
    <fill>
      <patternFill patternType="solid">
        <fgColor rgb="FFBDD6EE"/>
        <bgColor rgb="FFBDD6EE"/>
      </patternFill>
    </fill>
    <fill>
      <patternFill patternType="solid">
        <fgColor theme="0"/>
        <bgColor rgb="FFD8D8D8"/>
      </patternFill>
    </fill>
    <fill>
      <patternFill patternType="solid">
        <fgColor rgb="FFD9D9D9"/>
        <bgColor indexed="64"/>
      </patternFill>
    </fill>
    <fill>
      <patternFill patternType="solid">
        <fgColor theme="6" tint="0.5999938962981048"/>
        <bgColor indexed="64"/>
      </patternFill>
    </fill>
    <fill>
      <patternFill patternType="solid">
        <fgColor theme="2"/>
        <bgColor indexed="64"/>
      </patternFill>
    </fill>
    <fill>
      <patternFill patternType="solid">
        <fgColor rgb="FFFFFF00"/>
        <bgColor indexed="64"/>
      </patternFill>
    </fill>
    <fill>
      <patternFill patternType="gray0625">
        <bgColor theme="0"/>
      </patternFill>
    </fill>
    <fill>
      <patternFill patternType="solid">
        <fgColor theme="2" tint="-0.09997863704336681"/>
        <bgColor indexed="64"/>
      </patternFill>
    </fill>
    <fill>
      <patternFill patternType="solid">
        <fgColor rgb="FF00B050"/>
        <bgColor indexed="64"/>
      </patternFill>
    </fill>
    <fill>
      <patternFill patternType="solid">
        <fgColor rgb="FF00B0F0"/>
        <bgColor indexed="64"/>
      </patternFill>
    </fill>
    <fill>
      <patternFill patternType="solid">
        <fgColor theme="2" tint="-0.499984740745262"/>
        <bgColor indexed="64"/>
      </patternFill>
    </fill>
    <fill>
      <patternFill patternType="solid">
        <fgColor rgb="FFFF0000"/>
        <bgColor indexed="64"/>
      </patternFill>
    </fill>
    <fill>
      <patternFill patternType="solid">
        <fgColor rgb="FFD8D8D8"/>
        <bgColor rgb="FFD8D8D8"/>
      </patternFill>
    </fill>
    <fill>
      <patternFill patternType="solid">
        <fgColor theme="7" tint="0.7999816888943144"/>
        <bgColor indexed="64"/>
      </patternFill>
    </fill>
    <fill>
      <patternFill patternType="solid">
        <fgColor rgb="FFF2F2F2"/>
        <bgColor rgb="FFF2F2F2"/>
      </patternFill>
    </fill>
    <fill>
      <patternFill patternType="solid">
        <fgColor rgb="FFCCFFCC"/>
        <bgColor indexed="64"/>
      </patternFill>
    </fill>
    <fill>
      <patternFill patternType="solid">
        <fgColor theme="5"/>
        <bgColor indexed="64"/>
      </patternFill>
    </fill>
    <fill>
      <patternFill patternType="solid">
        <fgColor theme="0"/>
        <bgColor rgb="FFF2F2F2"/>
      </patternFill>
    </fill>
    <fill>
      <patternFill patternType="solid">
        <fgColor rgb="0017365D"/>
      </patternFill>
    </fill>
    <fill>
      <patternFill patternType="solid">
        <fgColor rgb="001F4E78"/>
      </patternFill>
    </fill>
    <fill>
      <patternFill patternType="solid">
        <fgColor rgb="00F8FBFD"/>
      </patternFill>
    </fill>
    <fill>
      <patternFill patternType="solid">
        <fgColor rgb="00FFFFFF"/>
      </patternFill>
    </fill>
    <fill>
      <patternFill patternType="solid">
        <fgColor rgb="00D9E2F3"/>
      </patternFill>
    </fill>
    <fill>
      <patternFill patternType="solid">
        <fgColor rgb="00D9EAF7"/>
      </patternFill>
    </fill>
    <fill>
      <patternFill patternType="solid">
        <fgColor rgb="00E2F0D9"/>
      </patternFill>
    </fill>
    <fill>
      <patternFill patternType="solid">
        <fgColor rgb="00F2F2F2"/>
      </patternFill>
    </fill>
    <fill>
      <patternFill patternType="solid">
        <fgColor rgb="00FFF2CC"/>
      </patternFill>
    </fill>
    <fill>
      <patternFill patternType="solid">
        <fgColor rgb="00FCE4D6"/>
      </patternFill>
    </fill>
  </fills>
  <borders count="137">
    <border>
      <left/>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top/>
      <bottom style="thin">
        <color indexed="64"/>
      </bottom>
      <diagonal/>
    </border>
    <border>
      <left style="medium">
        <color indexed="64"/>
      </left>
      <right style="medium">
        <color indexed="64"/>
      </right>
      <top/>
      <bottom style="medium">
        <color indexed="64"/>
      </bottom>
      <diagonal/>
    </border>
    <border>
      <left style="medium">
        <color indexed="64"/>
      </left>
      <right/>
      <top style="thin">
        <color indexed="64"/>
      </top>
      <bottom style="thin">
        <color indexed="64"/>
      </bottom>
      <diagonal/>
    </border>
    <border>
      <left/>
      <right style="thin">
        <color indexed="64"/>
      </right>
      <top/>
      <bottom style="thin">
        <color indexed="64"/>
      </bottom>
      <diagonal/>
    </border>
    <border>
      <left/>
      <right style="medium">
        <color indexed="64"/>
      </right>
      <top style="thin">
        <color indexed="64"/>
      </top>
      <bottom style="thin">
        <color indexed="64"/>
      </bottom>
      <diagonal/>
    </border>
    <border>
      <left/>
      <right/>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right style="thin">
        <color indexed="64"/>
      </right>
      <top/>
      <bottom style="medium">
        <color indexed="64"/>
      </bottom>
      <diagonal/>
    </border>
    <border>
      <left style="medium">
        <color indexed="64"/>
      </left>
      <right/>
      <top style="thin">
        <color indexed="64"/>
      </top>
      <bottom/>
      <diagonal/>
    </border>
    <border>
      <left/>
      <right/>
      <top style="thin">
        <color indexed="64"/>
      </top>
      <bottom/>
      <diagonal/>
    </border>
    <border>
      <left style="medium">
        <color indexed="64"/>
      </left>
      <right/>
      <top/>
      <bottom style="thin">
        <color indexed="64"/>
      </bottom>
      <diagonal/>
    </border>
    <border>
      <left/>
      <right style="thin">
        <color indexed="64"/>
      </right>
      <top style="thin">
        <color indexed="64"/>
      </top>
      <bottom/>
      <diagonal/>
    </border>
    <border>
      <left/>
      <right style="thin">
        <color indexed="64"/>
      </right>
      <top style="medium">
        <color indexed="64"/>
      </top>
      <bottom style="medium">
        <color indexed="64"/>
      </bottom>
      <diagonal/>
    </border>
    <border>
      <left/>
      <right style="thin">
        <color indexed="64"/>
      </right>
      <top style="medium">
        <color indexed="64"/>
      </top>
      <bottom/>
      <diagonal/>
    </border>
    <border>
      <left style="thin">
        <color indexed="64"/>
      </left>
      <right/>
      <top style="medium">
        <color indexed="64"/>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top/>
      <bottom style="medium">
        <color rgb="FF000000"/>
      </bottom>
      <diagonal/>
    </border>
    <border>
      <left/>
      <right/>
      <top/>
      <bottom style="medium">
        <color rgb="FF000000"/>
      </bottom>
      <diagonal/>
    </border>
    <border>
      <left/>
      <right style="medium">
        <color indexed="64"/>
      </right>
      <top/>
      <bottom style="medium">
        <color rgb="FF000000"/>
      </bottom>
      <diagonal/>
    </border>
    <border>
      <left style="medium">
        <color indexed="64"/>
      </left>
      <right/>
      <top style="medium">
        <color rgb="FF000000"/>
      </top>
      <bottom/>
      <diagonal/>
    </border>
    <border>
      <left/>
      <right/>
      <top style="medium">
        <color rgb="FF000000"/>
      </top>
      <bottom/>
      <diagonal/>
    </border>
    <border>
      <left/>
      <right style="medium">
        <color indexed="64"/>
      </right>
      <top style="medium">
        <color rgb="FF000000"/>
      </top>
      <bottom/>
      <diagonal/>
    </border>
    <border>
      <left style="medium">
        <color indexed="64"/>
      </left>
      <right style="thin">
        <color rgb="FF000000"/>
      </right>
      <top style="medium">
        <color indexed="64"/>
      </top>
      <bottom/>
      <diagonal/>
    </border>
    <border>
      <left style="thin">
        <color rgb="FF000000"/>
      </left>
      <right style="thin">
        <color rgb="FF000000"/>
      </right>
      <top style="medium">
        <color indexed="64"/>
      </top>
      <bottom/>
      <diagonal/>
    </border>
    <border>
      <left style="thin">
        <color rgb="FF000000"/>
      </left>
      <right/>
      <top style="medium">
        <color indexed="64"/>
      </top>
      <bottom/>
      <diagonal/>
    </border>
    <border>
      <left/>
      <right style="thin">
        <color rgb="FF000000"/>
      </right>
      <top style="medium">
        <color indexed="64"/>
      </top>
      <bottom/>
      <diagonal/>
    </border>
    <border>
      <left style="thin">
        <color rgb="FF000000"/>
      </left>
      <right style="medium">
        <color indexed="64"/>
      </right>
      <top style="medium">
        <color indexed="64"/>
      </top>
      <bottom/>
      <diagonal/>
    </border>
    <border>
      <left style="medium">
        <color indexed="64"/>
      </left>
      <right style="medium">
        <color rgb="FF000000"/>
      </right>
      <top style="medium">
        <color indexed="64"/>
      </top>
      <bottom/>
      <diagonal/>
    </border>
    <border>
      <left style="medium">
        <color rgb="FF000000"/>
      </left>
      <right style="medium">
        <color indexed="64"/>
      </right>
      <top style="medium">
        <color indexed="64"/>
      </top>
      <bottom/>
      <diagonal/>
    </border>
    <border>
      <left style="medium">
        <color indexed="64"/>
      </left>
      <right style="thin">
        <color rgb="FF000000"/>
      </right>
      <top/>
      <bottom style="medium">
        <color indexed="64"/>
      </bottom>
      <diagonal/>
    </border>
    <border>
      <left style="thin">
        <color rgb="FF000000"/>
      </left>
      <right style="thin">
        <color rgb="FF000000"/>
      </right>
      <top/>
      <bottom style="medium">
        <color indexed="64"/>
      </bottom>
      <diagonal/>
    </border>
    <border>
      <left style="thin">
        <color rgb="FF000000"/>
      </left>
      <right/>
      <top/>
      <bottom style="medium">
        <color indexed="64"/>
      </bottom>
      <diagonal/>
    </border>
    <border>
      <left/>
      <right style="thin">
        <color rgb="FF000000"/>
      </right>
      <top/>
      <bottom style="medium">
        <color indexed="64"/>
      </bottom>
      <diagonal/>
    </border>
    <border>
      <left style="thin">
        <color rgb="FF000000"/>
      </left>
      <right style="medium">
        <color indexed="64"/>
      </right>
      <top/>
      <bottom style="medium">
        <color indexed="64"/>
      </bottom>
      <diagonal/>
    </border>
    <border>
      <left style="medium">
        <color indexed="64"/>
      </left>
      <right style="medium">
        <color rgb="FF000000"/>
      </right>
      <top/>
      <bottom style="medium">
        <color indexed="64"/>
      </bottom>
      <diagonal/>
    </border>
    <border>
      <left style="medium">
        <color rgb="FF000000"/>
      </left>
      <right style="medium">
        <color indexed="64"/>
      </right>
      <top/>
      <bottom style="medium">
        <color indexed="64"/>
      </bottom>
      <diagonal/>
    </border>
    <border>
      <left style="medium">
        <color indexed="64"/>
      </left>
      <right style="thin">
        <color rgb="FF000000"/>
      </right>
      <top/>
      <bottom style="thin">
        <color indexed="64"/>
      </bottom>
      <diagonal/>
    </border>
    <border>
      <left style="thin">
        <color rgb="FF000000"/>
      </left>
      <right/>
      <top/>
      <bottom/>
      <diagonal/>
    </border>
    <border>
      <left style="thin">
        <color rgb="FF000000"/>
      </left>
      <right/>
      <top/>
      <bottom style="thin">
        <color indexed="64"/>
      </bottom>
      <diagonal/>
    </border>
    <border>
      <left style="thin">
        <color rgb="FF000000"/>
      </left>
      <right style="thin">
        <color rgb="FF000000"/>
      </right>
      <top/>
      <bottom style="thin">
        <color indexed="64"/>
      </bottom>
      <diagonal/>
    </border>
    <border>
      <left style="medium">
        <color indexed="64"/>
      </left>
      <right style="medium">
        <color indexed="64"/>
      </right>
      <top/>
      <bottom style="thin">
        <color indexed="64"/>
      </bottom>
      <diagonal/>
    </border>
    <border>
      <left style="thin">
        <color rgb="FF000000"/>
      </left>
      <right style="medium">
        <color indexed="64"/>
      </right>
      <top/>
      <bottom/>
      <diagonal/>
    </border>
    <border>
      <left style="thin">
        <color rgb="FF000000"/>
      </left>
      <right style="thin">
        <color rgb="FF000000"/>
      </right>
      <top style="thin">
        <color indexed="64"/>
      </top>
      <bottom style="thin">
        <color indexed="64"/>
      </bottom>
      <diagonal/>
    </border>
    <border>
      <left style="medium">
        <color indexed="64"/>
      </left>
      <right style="thin">
        <color rgb="FF000000"/>
      </right>
      <top style="thin">
        <color indexed="64"/>
      </top>
      <bottom style="medium">
        <color indexed="64"/>
      </bottom>
      <diagonal/>
    </border>
    <border>
      <left style="thin">
        <color rgb="FF000000"/>
      </left>
      <right/>
      <top style="thin">
        <color indexed="64"/>
      </top>
      <bottom style="medium">
        <color indexed="64"/>
      </bottom>
      <diagonal/>
    </border>
    <border>
      <left style="thin">
        <color rgb="FF000000"/>
      </left>
      <right style="thin">
        <color rgb="FF000000"/>
      </right>
      <top style="thin">
        <color indexed="64"/>
      </top>
      <bottom style="medium">
        <color indexed="64"/>
      </bottom>
      <diagonal/>
    </border>
    <border>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style="medium">
        <color rgb="FF000000"/>
      </left>
      <right/>
      <top/>
      <bottom/>
      <diagonal/>
    </border>
    <border>
      <left/>
      <right style="medium">
        <color rgb="FF000000"/>
      </right>
      <top/>
      <bottom/>
      <diagonal/>
    </border>
    <border>
      <left/>
      <right/>
      <top/>
      <bottom style="thin">
        <color rgb="FF000000"/>
      </bottom>
      <diagonal/>
    </border>
    <border>
      <left/>
      <right/>
      <top style="thin">
        <color rgb="FF000000"/>
      </top>
      <bottom/>
      <diagonal/>
    </border>
    <border>
      <left style="thick">
        <color auto="1"/>
      </left>
      <right style="thin">
        <color indexed="64"/>
      </right>
      <top/>
      <bottom/>
      <diagonal/>
    </border>
    <border>
      <left/>
      <right style="medium">
        <color indexed="64"/>
      </right>
      <top/>
      <bottom style="thin">
        <color indexed="64"/>
      </bottom>
      <diagonal/>
    </border>
    <border>
      <left/>
      <right style="medium">
        <color indexed="64"/>
      </right>
      <top style="thin">
        <color indexed="64"/>
      </top>
      <bottom/>
      <diagonal/>
    </border>
    <border>
      <left style="medium">
        <color rgb="FF000000"/>
      </left>
      <right style="medium">
        <color rgb="FF000000"/>
      </right>
      <top style="medium">
        <color rgb="FF000000"/>
      </top>
      <bottom/>
      <diagonal/>
    </border>
    <border>
      <left style="medium">
        <color rgb="FF000000"/>
      </left>
      <right style="medium">
        <color rgb="FF000000"/>
      </right>
      <top style="medium">
        <color rgb="FF000000"/>
      </top>
      <bottom style="medium">
        <color rgb="FF000000"/>
      </bottom>
      <diagonal/>
    </border>
    <border>
      <left style="medium">
        <color indexed="64"/>
      </left>
      <right style="thin">
        <color rgb="FF000000"/>
      </right>
      <top style="medium">
        <color indexed="64"/>
      </top>
      <bottom style="medium">
        <color indexed="64"/>
      </bottom>
      <diagonal/>
    </border>
    <border>
      <left style="medium">
        <color indexed="64"/>
      </left>
      <right style="thin">
        <color rgb="FF000000"/>
      </right>
      <top/>
      <bottom/>
      <diagonal/>
    </border>
    <border>
      <left style="thin">
        <color rgb="FF000000"/>
      </left>
      <right style="medium">
        <color indexed="64"/>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style="thin">
        <color rgb="FF000000"/>
      </right>
      <top/>
      <bottom/>
      <diagonal/>
    </border>
    <border>
      <left style="thin">
        <color rgb="FF000000"/>
      </left>
      <right/>
      <top style="medium">
        <color indexed="64"/>
      </top>
      <bottom style="medium">
        <color indexed="64"/>
      </bottom>
      <diagonal/>
    </border>
    <border>
      <left/>
      <right style="thin">
        <color rgb="FF000000"/>
      </right>
      <top/>
      <bottom/>
      <diagonal/>
    </border>
    <border>
      <left style="medium">
        <color rgb="FF000000"/>
      </left>
      <right style="medium">
        <color indexed="64"/>
      </right>
      <top style="medium">
        <color indexed="64"/>
      </top>
      <bottom style="medium">
        <color indexed="64"/>
      </bottom>
      <diagonal/>
    </border>
    <border>
      <left style="medium">
        <color rgb="FF000000"/>
      </left>
      <right style="medium">
        <color indexed="64"/>
      </right>
      <top/>
      <bottom/>
      <diagonal/>
    </border>
    <border>
      <left style="medium">
        <color indexed="64"/>
      </left>
      <right style="medium">
        <color rgb="FF000000"/>
      </right>
      <top style="medium">
        <color indexed="64"/>
      </top>
      <bottom style="medium">
        <color indexed="64"/>
      </bottom>
      <diagonal/>
    </border>
    <border>
      <left style="medium">
        <color indexed="64"/>
      </left>
      <right style="medium">
        <color rgb="FF000000"/>
      </right>
      <top/>
      <bottom/>
      <diagonal/>
    </border>
    <border>
      <left style="medium">
        <color indexed="64"/>
      </left>
      <right style="medium">
        <color indexed="64"/>
      </right>
      <top/>
      <bottom style="medium">
        <color rgb="FF000000"/>
      </bottom>
      <diagonal/>
    </border>
    <border>
      <left style="medium">
        <color indexed="64"/>
      </left>
      <right style="medium">
        <color indexed="64"/>
      </right>
      <top style="medium">
        <color rgb="FF000000"/>
      </top>
      <bottom/>
      <diagonal/>
    </border>
    <border>
      <bottom style="thin">
        <color rgb="008EA9DB"/>
      </bottom>
    </border>
    <border>
      <bottom style="thin">
        <color rgb="00D9E2F3"/>
      </bottom>
    </border>
    <border>
      <top style="thin">
        <color rgb="0017365D"/>
      </top>
      <bottom style="thin">
        <color rgb="0017365D"/>
      </bottom>
    </border>
    <border>
      <left style="thin">
        <color rgb="00B7C9D6"/>
      </left>
      <right style="thin">
        <color rgb="00B7C9D6"/>
      </right>
      <top style="thin">
        <color rgb="00B7C9D6"/>
      </top>
      <bottom style="thin">
        <color rgb="00B7C9D6"/>
      </bottom>
    </border>
  </borders>
  <cellStyleXfs count="16">
    <xf numFmtId="0" fontId="1" fillId="0" borderId="0"/>
    <xf numFmtId="43" fontId="1" fillId="0" borderId="0"/>
    <xf numFmtId="44" fontId="1" fillId="0" borderId="0"/>
    <xf numFmtId="9" fontId="1" fillId="0" borderId="0"/>
    <xf numFmtId="0" fontId="3" fillId="0" borderId="0"/>
    <xf numFmtId="0" fontId="10" fillId="0" borderId="0"/>
    <xf numFmtId="0" fontId="14" fillId="0" borderId="0"/>
    <xf numFmtId="0" fontId="1" fillId="0" borderId="0"/>
    <xf numFmtId="0" fontId="3" fillId="0" borderId="0"/>
    <xf numFmtId="0" fontId="3" fillId="0" borderId="0"/>
    <xf numFmtId="0" fontId="41" fillId="0" borderId="0"/>
    <xf numFmtId="0" fontId="1" fillId="0" borderId="0"/>
    <xf numFmtId="43" fontId="1" fillId="0" borderId="0"/>
    <xf numFmtId="44" fontId="1" fillId="0" borderId="0"/>
    <xf numFmtId="43" fontId="1" fillId="0" borderId="0"/>
    <xf numFmtId="0" fontId="1" fillId="0" borderId="0"/>
  </cellStyleXfs>
  <cellXfs count="1548">
    <xf numFmtId="0" fontId="0" fillId="0" borderId="0" pivotButton="0" quotePrefix="0" xfId="0"/>
    <xf numFmtId="43" fontId="3" fillId="6" borderId="33" applyAlignment="1" pivotButton="0" quotePrefix="0" xfId="1">
      <alignment horizontal="center" vertical="center"/>
    </xf>
    <xf numFmtId="43" fontId="3" fillId="6" borderId="33" applyAlignment="1" pivotButton="0" quotePrefix="0" xfId="1">
      <alignment horizontal="right" vertical="center"/>
    </xf>
    <xf numFmtId="164" fontId="5" fillId="5" borderId="47" applyAlignment="1" pivotButton="0" quotePrefix="0" xfId="1">
      <alignment horizontal="center" vertical="center"/>
    </xf>
    <xf numFmtId="2" fontId="7" fillId="6" borderId="13" applyAlignment="1" pivotButton="0" quotePrefix="0" xfId="1">
      <alignment horizontal="center" vertical="center"/>
    </xf>
    <xf numFmtId="43" fontId="7" fillId="10" borderId="13" applyAlignment="1" pivotButton="0" quotePrefix="0" xfId="1">
      <alignment vertical="center"/>
    </xf>
    <xf numFmtId="43" fontId="7" fillId="10" borderId="13" applyAlignment="1" pivotButton="0" quotePrefix="0" xfId="1">
      <alignment horizontal="right" vertical="center"/>
    </xf>
    <xf numFmtId="49" fontId="7" fillId="6" borderId="13" applyAlignment="1" pivotButton="0" quotePrefix="0" xfId="3">
      <alignment horizontal="right" vertical="center"/>
    </xf>
    <xf numFmtId="3" fontId="7" fillId="6" borderId="13" applyAlignment="1" pivotButton="0" quotePrefix="0" xfId="3">
      <alignment horizontal="right" vertical="center"/>
    </xf>
    <xf numFmtId="3" fontId="7" fillId="6" borderId="13" applyAlignment="1" pivotButton="0" quotePrefix="0" xfId="1">
      <alignment vertical="center"/>
    </xf>
    <xf numFmtId="10" fontId="7" fillId="6" borderId="13" applyAlignment="1" pivotButton="0" quotePrefix="0" xfId="3">
      <alignment horizontal="right" vertical="center"/>
    </xf>
    <xf numFmtId="49" fontId="7" fillId="6" borderId="49" applyAlignment="1" pivotButton="0" quotePrefix="0" xfId="3">
      <alignment horizontal="right" vertical="center"/>
    </xf>
    <xf numFmtId="2" fontId="3" fillId="3" borderId="8" applyAlignment="1" pivotButton="0" quotePrefix="0" xfId="1">
      <alignment horizontal="center" vertical="center" wrapText="1"/>
    </xf>
    <xf numFmtId="0" fontId="0" fillId="0" borderId="0" applyAlignment="1" pivotButton="0" quotePrefix="0" xfId="0">
      <alignment horizontal="left" vertical="center"/>
    </xf>
    <xf numFmtId="165" fontId="0" fillId="0" borderId="0" applyAlignment="1" pivotButton="0" quotePrefix="0" xfId="1">
      <alignment horizontal="right" vertical="center"/>
    </xf>
    <xf numFmtId="165" fontId="3" fillId="6" borderId="34" applyAlignment="1" pivotButton="0" quotePrefix="0" xfId="1">
      <alignment horizontal="right" vertical="center"/>
    </xf>
    <xf numFmtId="43" fontId="9" fillId="10" borderId="13" applyAlignment="1" pivotButton="0" quotePrefix="0" xfId="1">
      <alignment vertical="center"/>
    </xf>
    <xf numFmtId="43" fontId="9" fillId="10" borderId="13" applyAlignment="1" pivotButton="0" quotePrefix="0" xfId="1">
      <alignment horizontal="right" vertical="center"/>
    </xf>
    <xf numFmtId="3" fontId="9" fillId="6" borderId="13" applyAlignment="1" pivotButton="0" quotePrefix="0" xfId="1">
      <alignment vertical="center"/>
    </xf>
    <xf numFmtId="10" fontId="9" fillId="6" borderId="13" applyAlignment="1" pivotButton="0" quotePrefix="0" xfId="3">
      <alignment horizontal="right" vertical="center"/>
    </xf>
    <xf numFmtId="49" fontId="9" fillId="6" borderId="49" applyAlignment="1" pivotButton="0" quotePrefix="0" xfId="3">
      <alignment horizontal="right" vertical="center"/>
    </xf>
    <xf numFmtId="165" fontId="9" fillId="6" borderId="36" applyAlignment="1" pivotButton="0" quotePrefix="0" xfId="1">
      <alignment horizontal="right" vertical="center"/>
    </xf>
    <xf numFmtId="165" fontId="9" fillId="6" borderId="42" applyAlignment="1" pivotButton="0" quotePrefix="0" xfId="1">
      <alignment horizontal="right" vertical="center"/>
    </xf>
    <xf numFmtId="1" fontId="7" fillId="6" borderId="13" applyAlignment="1" pivotButton="0" quotePrefix="0" xfId="1">
      <alignment horizontal="center" vertical="center"/>
    </xf>
    <xf numFmtId="166" fontId="5" fillId="5" borderId="47" applyAlignment="1" pivotButton="0" quotePrefix="0" xfId="2">
      <alignment horizontal="center" vertical="center"/>
    </xf>
    <xf numFmtId="3" fontId="5" fillId="0" borderId="13" applyAlignment="1" pivotButton="0" quotePrefix="0" xfId="1">
      <alignment horizontal="center" vertical="center"/>
    </xf>
    <xf numFmtId="9" fontId="44" fillId="19" borderId="23" applyAlignment="1" pivotButton="0" quotePrefix="0" xfId="3">
      <alignment horizontal="center" vertical="center"/>
    </xf>
    <xf numFmtId="49" fontId="9" fillId="6" borderId="27" applyAlignment="1" pivotButton="0" quotePrefix="0" xfId="3">
      <alignment horizontal="right" vertical="center"/>
    </xf>
    <xf numFmtId="49" fontId="9" fillId="6" borderId="54" applyAlignment="1" pivotButton="0" quotePrefix="0" xfId="3">
      <alignment horizontal="right" vertical="center"/>
    </xf>
    <xf numFmtId="0" fontId="5" fillId="5" borderId="13" applyAlignment="1" pivotButton="0" quotePrefix="0" xfId="1">
      <alignment horizontal="center" vertical="center"/>
    </xf>
    <xf numFmtId="1" fontId="7" fillId="3" borderId="32" applyAlignment="1" pivotButton="0" quotePrefix="0" xfId="4">
      <alignment vertical="center" wrapText="1"/>
    </xf>
    <xf numFmtId="1" fontId="7" fillId="3" borderId="33" applyAlignment="1" pivotButton="0" quotePrefix="0" xfId="4">
      <alignment vertical="center" wrapText="1"/>
    </xf>
    <xf numFmtId="1" fontId="7" fillId="3" borderId="34" applyAlignment="1" pivotButton="0" quotePrefix="0" xfId="4">
      <alignment vertical="center" wrapText="1"/>
    </xf>
    <xf numFmtId="0" fontId="4" fillId="4" borderId="15" applyAlignment="1" pivotButton="0" quotePrefix="0" xfId="0">
      <alignment horizontal="right" vertical="center" wrapText="1"/>
    </xf>
    <xf numFmtId="164" fontId="5" fillId="5" borderId="17" applyAlignment="1" pivotButton="0" quotePrefix="0" xfId="1">
      <alignment horizontal="center" vertical="center"/>
    </xf>
    <xf numFmtId="0" fontId="4" fillId="4" borderId="46" applyAlignment="1" pivotButton="0" quotePrefix="0" xfId="0">
      <alignment horizontal="right" vertical="center"/>
    </xf>
    <xf numFmtId="0" fontId="4" fillId="4" borderId="13" applyAlignment="1" pivotButton="0" quotePrefix="0" xfId="0">
      <alignment horizontal="right" vertical="center" wrapText="1"/>
    </xf>
    <xf numFmtId="3" fontId="5" fillId="5" borderId="47" applyAlignment="1" pivotButton="0" quotePrefix="0" xfId="1">
      <alignment horizontal="center" vertical="center"/>
    </xf>
    <xf numFmtId="0" fontId="4" fillId="4" borderId="46" applyAlignment="1" pivotButton="0" quotePrefix="0" xfId="0">
      <alignment horizontal="right" vertical="center" wrapText="1"/>
    </xf>
    <xf numFmtId="0" fontId="4" fillId="4" borderId="38" applyAlignment="1" pivotButton="0" quotePrefix="0" xfId="0">
      <alignment horizontal="right" vertical="center" wrapText="1"/>
    </xf>
    <xf numFmtId="14" fontId="5" fillId="5" borderId="39" applyAlignment="1" pivotButton="0" quotePrefix="0" xfId="1">
      <alignment horizontal="center" vertical="center"/>
    </xf>
    <xf numFmtId="1" fontId="3" fillId="3" borderId="35" applyAlignment="1" pivotButton="0" quotePrefix="0" xfId="4">
      <alignment vertical="center" wrapText="1"/>
    </xf>
    <xf numFmtId="1" fontId="3" fillId="3" borderId="0" applyAlignment="1" pivotButton="0" quotePrefix="0" xfId="4">
      <alignment vertical="center" wrapText="1"/>
    </xf>
    <xf numFmtId="1" fontId="3" fillId="3" borderId="36" applyAlignment="1" pivotButton="0" quotePrefix="0" xfId="4">
      <alignment vertical="center" wrapText="1"/>
    </xf>
    <xf numFmtId="1" fontId="3" fillId="3" borderId="35" applyAlignment="1" pivotButton="0" quotePrefix="0" xfId="4">
      <alignment horizontal="center" vertical="center" wrapText="1"/>
    </xf>
    <xf numFmtId="1" fontId="3" fillId="3" borderId="0" applyAlignment="1" pivotButton="0" quotePrefix="0" xfId="4">
      <alignment horizontal="center" vertical="center" wrapText="1"/>
    </xf>
    <xf numFmtId="1" fontId="3" fillId="3" borderId="36" applyAlignment="1" pivotButton="0" quotePrefix="0" xfId="4">
      <alignment horizontal="center" vertical="center" wrapText="1"/>
    </xf>
    <xf numFmtId="0" fontId="9" fillId="0" borderId="38" applyAlignment="1" pivotButton="0" quotePrefix="0" xfId="9">
      <alignment horizontal="center" vertical="center" wrapText="1"/>
    </xf>
    <xf numFmtId="0" fontId="6" fillId="0" borderId="26" applyAlignment="1" pivotButton="0" quotePrefix="0" xfId="0">
      <alignment horizontal="center" vertical="center"/>
    </xf>
    <xf numFmtId="165" fontId="6" fillId="0" borderId="26" pivotButton="0" quotePrefix="0" xfId="1"/>
    <xf numFmtId="167" fontId="6" fillId="16" borderId="36" applyAlignment="1" pivotButton="0" quotePrefix="0" xfId="0">
      <alignment vertical="center"/>
    </xf>
    <xf numFmtId="0" fontId="19" fillId="0" borderId="14" applyAlignment="1" pivotButton="0" quotePrefix="0" xfId="0">
      <alignment vertical="center"/>
    </xf>
    <xf numFmtId="0" fontId="8" fillId="0" borderId="15" applyAlignment="1" pivotButton="0" quotePrefix="0" xfId="9">
      <alignment horizontal="center" vertical="center" wrapText="1"/>
    </xf>
    <xf numFmtId="0" fontId="19" fillId="0" borderId="15" applyAlignment="1" pivotButton="0" quotePrefix="0" xfId="0">
      <alignment horizontal="center" vertical="center" wrapText="1"/>
    </xf>
    <xf numFmtId="1" fontId="19" fillId="12" borderId="37" applyAlignment="1" pivotButton="0" quotePrefix="0" xfId="1">
      <alignment horizontal="center" vertical="center"/>
    </xf>
    <xf numFmtId="1" fontId="19" fillId="12" borderId="38" applyAlignment="1" pivotButton="0" quotePrefix="0" xfId="1">
      <alignment horizontal="center" vertical="center"/>
    </xf>
    <xf numFmtId="166" fontId="19" fillId="12" borderId="38" applyAlignment="1" pivotButton="0" quotePrefix="0" xfId="2">
      <alignment horizontal="center" vertical="center"/>
    </xf>
    <xf numFmtId="0" fontId="22" fillId="5" borderId="40" applyAlignment="1" pivotButton="0" quotePrefix="0" xfId="0">
      <alignment horizontal="left" vertical="center" wrapText="1"/>
    </xf>
    <xf numFmtId="0" fontId="22" fillId="5" borderId="41" applyAlignment="1" pivotButton="0" quotePrefix="0" xfId="0">
      <alignment horizontal="center" vertical="center" wrapText="1"/>
    </xf>
    <xf numFmtId="0" fontId="0" fillId="0" borderId="41" pivotButton="0" quotePrefix="0" xfId="0"/>
    <xf numFmtId="0" fontId="0" fillId="0" borderId="42" pivotButton="0" quotePrefix="0" xfId="0"/>
    <xf numFmtId="0" fontId="0" fillId="0" borderId="40" pivotButton="0" quotePrefix="0" xfId="0"/>
    <xf numFmtId="1" fontId="7" fillId="3" borderId="35" applyAlignment="1" pivotButton="0" quotePrefix="0" xfId="4">
      <alignment vertical="top" wrapText="1"/>
    </xf>
    <xf numFmtId="1" fontId="7" fillId="3" borderId="0" applyAlignment="1" pivotButton="0" quotePrefix="0" xfId="4">
      <alignment vertical="top" wrapText="1"/>
    </xf>
    <xf numFmtId="1" fontId="3" fillId="3" borderId="40" applyAlignment="1" pivotButton="0" quotePrefix="0" xfId="4">
      <alignment vertical="center" wrapText="1"/>
    </xf>
    <xf numFmtId="1" fontId="3" fillId="3" borderId="41" applyAlignment="1" pivotButton="0" quotePrefix="0" xfId="4">
      <alignment vertical="center" wrapText="1"/>
    </xf>
    <xf numFmtId="165" fontId="3" fillId="3" borderId="42" applyAlignment="1" pivotButton="0" quotePrefix="0" xfId="1">
      <alignment horizontal="right" vertical="center" wrapText="1"/>
    </xf>
    <xf numFmtId="1" fontId="12" fillId="6" borderId="30" applyAlignment="1" pivotButton="0" quotePrefix="0" xfId="4">
      <alignment vertical="center" wrapText="1"/>
    </xf>
    <xf numFmtId="1" fontId="12" fillId="6" borderId="16" applyAlignment="1" pivotButton="0" quotePrefix="0" xfId="4">
      <alignment vertical="center" wrapText="1"/>
    </xf>
    <xf numFmtId="0" fontId="12" fillId="6" borderId="16" applyAlignment="1" pivotButton="0" quotePrefix="0" xfId="4">
      <alignment vertical="center" wrapText="1"/>
    </xf>
    <xf numFmtId="1" fontId="12" fillId="6" borderId="55" applyAlignment="1" pivotButton="0" quotePrefix="0" xfId="4">
      <alignment horizontal="center" vertical="center" wrapText="1"/>
    </xf>
    <xf numFmtId="1" fontId="12" fillId="6" borderId="23" applyAlignment="1" pivotButton="0" quotePrefix="0" xfId="4">
      <alignment horizontal="center" vertical="center" wrapText="1"/>
    </xf>
    <xf numFmtId="0" fontId="12" fillId="6" borderId="23" applyAlignment="1" pivotButton="0" quotePrefix="0" xfId="4">
      <alignment horizontal="center" vertical="center" wrapText="1"/>
    </xf>
    <xf numFmtId="4" fontId="12" fillId="7" borderId="38" applyAlignment="1" pivotButton="0" quotePrefix="0" xfId="4">
      <alignment horizontal="center" vertical="center" wrapText="1"/>
    </xf>
    <xf numFmtId="0" fontId="12" fillId="7" borderId="38" applyAlignment="1" pivotButton="0" quotePrefix="0" xfId="6">
      <alignment horizontal="center" vertical="center" wrapText="1"/>
    </xf>
    <xf numFmtId="0" fontId="17" fillId="7" borderId="38" applyAlignment="1" pivotButton="0" quotePrefix="0" xfId="7">
      <alignment horizontal="center" vertical="center" wrapText="1"/>
    </xf>
    <xf numFmtId="1" fontId="3" fillId="3" borderId="8" applyAlignment="1" pivotButton="0" quotePrefix="0" xfId="4">
      <alignment vertical="center" wrapText="1"/>
    </xf>
    <xf numFmtId="165" fontId="3" fillId="3" borderId="9" applyAlignment="1" pivotButton="0" quotePrefix="0" xfId="1">
      <alignment horizontal="right" vertical="center" wrapText="1"/>
    </xf>
    <xf numFmtId="165" fontId="2" fillId="15" borderId="48" applyAlignment="1" pivotButton="0" quotePrefix="0" xfId="1">
      <alignment horizontal="right" vertical="center" wrapText="1"/>
    </xf>
    <xf numFmtId="0" fontId="9" fillId="6" borderId="46" applyAlignment="1" pivotButton="0" quotePrefix="0" xfId="4">
      <alignment horizontal="left" vertical="center" wrapText="1"/>
    </xf>
    <xf numFmtId="0" fontId="9" fillId="6" borderId="12" applyAlignment="1" pivotButton="0" quotePrefix="0" xfId="4">
      <alignment horizontal="center" vertical="center" wrapText="1"/>
    </xf>
    <xf numFmtId="0" fontId="6" fillId="6" borderId="13" applyAlignment="1" pivotButton="0" quotePrefix="0" xfId="0">
      <alignment vertical="center" wrapText="1"/>
    </xf>
    <xf numFmtId="0" fontId="9" fillId="6" borderId="13" applyAlignment="1" pivotButton="0" quotePrefix="0" xfId="4">
      <alignment horizontal="center" vertical="center" wrapText="1"/>
    </xf>
    <xf numFmtId="0" fontId="7" fillId="6" borderId="13" applyAlignment="1" pivotButton="0" quotePrefix="0" xfId="4">
      <alignment horizontal="center" vertical="center" wrapText="1"/>
    </xf>
    <xf numFmtId="165" fontId="9" fillId="6" borderId="27" applyAlignment="1" pivotButton="0" quotePrefix="0" xfId="1">
      <alignment horizontal="right" vertical="center"/>
    </xf>
    <xf numFmtId="0" fontId="9" fillId="6" borderId="26" applyAlignment="1" pivotButton="0" quotePrefix="0" xfId="4">
      <alignment horizontal="center" vertical="center" wrapText="1"/>
    </xf>
    <xf numFmtId="3" fontId="3" fillId="3" borderId="8" applyAlignment="1" pivotButton="0" quotePrefix="0" xfId="4">
      <alignment vertical="center" wrapText="1"/>
    </xf>
    <xf numFmtId="49" fontId="3" fillId="3" borderId="8" applyAlignment="1" pivotButton="0" quotePrefix="0" xfId="4">
      <alignment vertical="center" wrapText="1"/>
    </xf>
    <xf numFmtId="165" fontId="7" fillId="6" borderId="27" applyAlignment="1" pivotButton="0" quotePrefix="0" xfId="1">
      <alignment horizontal="right" vertical="center"/>
    </xf>
    <xf numFmtId="1" fontId="9" fillId="6" borderId="46" applyAlignment="1" pivotButton="0" quotePrefix="0" xfId="4">
      <alignment horizontal="left" vertical="center"/>
    </xf>
    <xf numFmtId="1" fontId="9" fillId="6" borderId="12" applyAlignment="1" pivotButton="0" quotePrefix="0" xfId="4">
      <alignment horizontal="center" vertical="center" wrapText="1"/>
    </xf>
    <xf numFmtId="0" fontId="7" fillId="6" borderId="26" applyAlignment="1" pivotButton="0" quotePrefix="0" xfId="4">
      <alignment horizontal="center" vertical="center" wrapText="1"/>
    </xf>
    <xf numFmtId="1" fontId="3" fillId="3" borderId="7" applyAlignment="1" pivotButton="0" quotePrefix="0" xfId="4">
      <alignment horizontal="left" vertical="center"/>
    </xf>
    <xf numFmtId="2" fontId="9" fillId="6" borderId="46" applyAlignment="1" pivotButton="0" quotePrefix="0" xfId="1">
      <alignment horizontal="left" vertical="center"/>
    </xf>
    <xf numFmtId="0" fontId="4" fillId="6" borderId="13" applyAlignment="1" pivotButton="0" quotePrefix="0" xfId="0">
      <alignment vertical="center" wrapText="1"/>
    </xf>
    <xf numFmtId="0" fontId="9" fillId="6" borderId="46" applyAlignment="1" pivotButton="0" quotePrefix="0" xfId="4">
      <alignment horizontal="left" vertical="center"/>
    </xf>
    <xf numFmtId="0" fontId="6" fillId="6" borderId="19" applyAlignment="1" pivotButton="0" quotePrefix="0" xfId="0">
      <alignment vertical="center" wrapText="1"/>
    </xf>
    <xf numFmtId="0" fontId="31" fillId="6" borderId="13" applyAlignment="1" pivotButton="0" quotePrefix="0" xfId="0">
      <alignment vertical="center" wrapText="1"/>
    </xf>
    <xf numFmtId="0" fontId="31" fillId="17" borderId="13" applyAlignment="1" pivotButton="0" quotePrefix="0" xfId="0">
      <alignment vertical="center" wrapText="1"/>
    </xf>
    <xf numFmtId="0" fontId="6" fillId="0" borderId="0" applyAlignment="1" pivotButton="0" quotePrefix="0" xfId="0">
      <alignment horizontal="left" vertical="center"/>
    </xf>
    <xf numFmtId="0" fontId="6" fillId="0" borderId="0" pivotButton="0" quotePrefix="0" xfId="0"/>
    <xf numFmtId="165" fontId="6" fillId="0" borderId="0" applyAlignment="1" pivotButton="0" quotePrefix="0" xfId="1">
      <alignment horizontal="right" vertical="center"/>
    </xf>
    <xf numFmtId="1" fontId="3" fillId="6" borderId="32" applyAlignment="1" pivotButton="0" quotePrefix="0" xfId="4">
      <alignment horizontal="left" vertical="center"/>
    </xf>
    <xf numFmtId="1" fontId="3" fillId="6" borderId="33" applyAlignment="1" pivotButton="0" quotePrefix="0" xfId="4">
      <alignment horizontal="center" vertical="center" wrapText="1"/>
    </xf>
    <xf numFmtId="0" fontId="9" fillId="6" borderId="35" applyAlignment="1" pivotButton="0" quotePrefix="0" xfId="0">
      <alignment horizontal="left" vertical="center"/>
    </xf>
    <xf numFmtId="0" fontId="9" fillId="6" borderId="0" applyAlignment="1" pivotButton="0" quotePrefix="0" xfId="0">
      <alignment horizontal="center" vertical="center"/>
    </xf>
    <xf numFmtId="0" fontId="3" fillId="6" borderId="0" applyAlignment="1" pivotButton="0" quotePrefix="0" xfId="4">
      <alignment horizontal="center" vertical="center" wrapText="1"/>
    </xf>
    <xf numFmtId="165" fontId="12" fillId="6" borderId="0" applyAlignment="1" pivotButton="0" quotePrefix="0" xfId="4">
      <alignment vertical="center"/>
    </xf>
    <xf numFmtId="0" fontId="12" fillId="6" borderId="32" applyAlignment="1" pivotButton="0" quotePrefix="0" xfId="0">
      <alignment horizontal="left" vertical="center"/>
    </xf>
    <xf numFmtId="0" fontId="3" fillId="6" borderId="33" applyAlignment="1" pivotButton="0" quotePrefix="0" xfId="4">
      <alignment horizontal="center" vertical="center" wrapText="1"/>
    </xf>
    <xf numFmtId="165" fontId="12" fillId="6" borderId="33" applyAlignment="1" pivotButton="0" quotePrefix="0" xfId="4">
      <alignment vertical="center"/>
    </xf>
    <xf numFmtId="165" fontId="12" fillId="6" borderId="34" applyAlignment="1" pivotButton="0" quotePrefix="0" xfId="4">
      <alignment vertical="center"/>
    </xf>
    <xf numFmtId="165" fontId="29" fillId="6" borderId="36" applyAlignment="1" pivotButton="0" quotePrefix="0" xfId="1">
      <alignment horizontal="right" vertical="center" wrapText="1"/>
    </xf>
    <xf numFmtId="0" fontId="9" fillId="6" borderId="40" applyAlignment="1" pivotButton="0" quotePrefix="0" xfId="0">
      <alignment horizontal="left" vertical="center"/>
    </xf>
    <xf numFmtId="0" fontId="9" fillId="6" borderId="41" applyAlignment="1" pivotButton="0" quotePrefix="0" xfId="0">
      <alignment horizontal="center" vertical="center"/>
    </xf>
    <xf numFmtId="168" fontId="5" fillId="5" borderId="17" applyAlignment="1" applyProtection="1" pivotButton="0" quotePrefix="0" xfId="1">
      <alignment horizontal="center" vertical="center" wrapText="1"/>
      <protection locked="0" hidden="0"/>
    </xf>
    <xf numFmtId="0" fontId="0" fillId="0" borderId="0" applyAlignment="1" pivotButton="0" quotePrefix="0" xfId="0">
      <alignment vertical="center"/>
    </xf>
    <xf numFmtId="0" fontId="0" fillId="0" borderId="0" applyAlignment="1" pivotButton="0" quotePrefix="0" xfId="0">
      <alignment horizontal="center" vertical="center"/>
    </xf>
    <xf numFmtId="0" fontId="35" fillId="0" borderId="0" pivotButton="0" quotePrefix="0" xfId="4"/>
    <xf numFmtId="164" fontId="34" fillId="0" borderId="47" applyAlignment="1" pivotButton="0" quotePrefix="0" xfId="4">
      <alignment horizontal="center" vertical="center"/>
    </xf>
    <xf numFmtId="14" fontId="34" fillId="0" borderId="47" applyAlignment="1" pivotButton="0" quotePrefix="0" xfId="4">
      <alignment horizontal="center" vertical="center"/>
    </xf>
    <xf numFmtId="0" fontId="34" fillId="0" borderId="47" applyAlignment="1" pivotButton="0" quotePrefix="0" xfId="4">
      <alignment horizontal="center" vertical="center"/>
    </xf>
    <xf numFmtId="3" fontId="34" fillId="0" borderId="47" applyAlignment="1" pivotButton="0" quotePrefix="0" xfId="4">
      <alignment horizontal="center" vertical="center"/>
    </xf>
    <xf numFmtId="0" fontId="36" fillId="0" borderId="57" applyAlignment="1" pivotButton="0" quotePrefix="0" xfId="0">
      <alignment horizontal="center" vertical="center" wrapText="1"/>
    </xf>
    <xf numFmtId="0" fontId="36" fillId="0" borderId="56" applyAlignment="1" pivotButton="0" quotePrefix="0" xfId="0">
      <alignment horizontal="center" vertical="center" wrapText="1"/>
    </xf>
    <xf numFmtId="0" fontId="39" fillId="0" borderId="56" applyAlignment="1" pivotButton="0" quotePrefix="0" xfId="0">
      <alignment horizontal="center" vertical="center" wrapText="1"/>
    </xf>
    <xf numFmtId="0" fontId="36" fillId="0" borderId="56" applyAlignment="1" pivotButton="0" quotePrefix="0" xfId="0">
      <alignment horizontal="center" vertical="center"/>
    </xf>
    <xf numFmtId="0" fontId="40" fillId="0" borderId="58" applyAlignment="1" pivotButton="0" quotePrefix="0" xfId="0">
      <alignment horizontal="center" vertical="center" wrapText="1"/>
    </xf>
    <xf numFmtId="0" fontId="0" fillId="0" borderId="14" applyAlignment="1" pivotButton="0" quotePrefix="0" xfId="0">
      <alignment horizontal="center" vertical="center"/>
    </xf>
    <xf numFmtId="0" fontId="0" fillId="5" borderId="15" applyAlignment="1" pivotButton="0" quotePrefix="0" xfId="0">
      <alignment horizontal="center" vertical="center" wrapText="1"/>
    </xf>
    <xf numFmtId="0" fontId="0" fillId="5" borderId="15" applyAlignment="1" pivotButton="0" quotePrefix="0" xfId="11">
      <alignment horizontal="justify" vertical="center" wrapText="1"/>
    </xf>
    <xf numFmtId="0" fontId="0" fillId="5" borderId="15" applyAlignment="1" pivotButton="0" quotePrefix="0" xfId="0">
      <alignment horizontal="center" vertical="center"/>
    </xf>
    <xf numFmtId="0" fontId="0" fillId="0" borderId="46" applyAlignment="1" pivotButton="0" quotePrefix="0" xfId="0">
      <alignment horizontal="center" vertical="center"/>
    </xf>
    <xf numFmtId="0" fontId="0" fillId="0" borderId="13" applyAlignment="1" pivotButton="0" quotePrefix="0" xfId="0">
      <alignment horizontal="center" vertical="center" wrapText="1"/>
    </xf>
    <xf numFmtId="0" fontId="0" fillId="5" borderId="13" applyAlignment="1" pivotButton="0" quotePrefix="0" xfId="0">
      <alignment horizontal="center" vertical="center" wrapText="1"/>
    </xf>
    <xf numFmtId="0" fontId="0" fillId="5" borderId="13" applyAlignment="1" pivotButton="0" quotePrefix="0" xfId="11">
      <alignment horizontal="justify" vertical="center" wrapText="1"/>
    </xf>
    <xf numFmtId="0" fontId="0" fillId="5" borderId="13" applyAlignment="1" pivotButton="0" quotePrefix="0" xfId="0">
      <alignment horizontal="center" vertical="center"/>
    </xf>
    <xf numFmtId="0" fontId="1" fillId="5" borderId="13" applyAlignment="1" pivotButton="0" quotePrefix="0" xfId="11">
      <alignment horizontal="justify" vertical="center" wrapText="1"/>
    </xf>
    <xf numFmtId="0" fontId="0" fillId="0" borderId="13" applyAlignment="1" pivotButton="0" quotePrefix="0" xfId="0">
      <alignment horizontal="center" vertical="center"/>
    </xf>
    <xf numFmtId="0" fontId="3" fillId="5" borderId="13" applyAlignment="1" pivotButton="0" quotePrefix="0" xfId="4">
      <alignment vertical="center" wrapText="1"/>
    </xf>
    <xf numFmtId="0" fontId="3" fillId="0" borderId="13" applyAlignment="1" pivotButton="0" quotePrefix="0" xfId="4">
      <alignment horizontal="center" vertical="center" wrapText="1"/>
    </xf>
    <xf numFmtId="0" fontId="42" fillId="0" borderId="13" applyAlignment="1" pivotButton="0" quotePrefix="0" xfId="4">
      <alignment horizontal="center" vertical="center" wrapText="1"/>
    </xf>
    <xf numFmtId="0" fontId="3" fillId="5" borderId="13" applyAlignment="1" pivotButton="0" quotePrefix="0" xfId="0">
      <alignment horizontal="left" vertical="center" wrapText="1"/>
    </xf>
    <xf numFmtId="0" fontId="3" fillId="5" borderId="13" applyAlignment="1" pivotButton="0" quotePrefix="0" xfId="0">
      <alignment horizontal="center" vertical="center" wrapText="1"/>
    </xf>
    <xf numFmtId="0" fontId="42" fillId="5" borderId="13" applyAlignment="1" pivotButton="0" quotePrefix="0" xfId="0">
      <alignment horizontal="center" vertical="center" wrapText="1"/>
    </xf>
    <xf numFmtId="0" fontId="3" fillId="5" borderId="13" applyAlignment="1" pivotButton="0" quotePrefix="0" xfId="11">
      <alignment horizontal="justify" vertical="center" wrapText="1"/>
    </xf>
    <xf numFmtId="0" fontId="42" fillId="0" borderId="13" applyAlignment="1" pivotButton="0" quotePrefix="0" xfId="0">
      <alignment horizontal="center" vertical="center" wrapText="1"/>
    </xf>
    <xf numFmtId="0" fontId="3" fillId="5" borderId="13" applyAlignment="1" pivotButton="0" quotePrefix="0" xfId="11">
      <alignment horizontal="left" vertical="center" wrapText="1"/>
    </xf>
    <xf numFmtId="0" fontId="0" fillId="0" borderId="18" applyAlignment="1" pivotButton="0" quotePrefix="0" xfId="0">
      <alignment horizontal="center" vertical="center"/>
    </xf>
    <xf numFmtId="0" fontId="42" fillId="5" borderId="19" applyAlignment="1" pivotButton="0" quotePrefix="0" xfId="0">
      <alignment horizontal="center" vertical="center" wrapText="1"/>
    </xf>
    <xf numFmtId="0" fontId="3" fillId="5" borderId="19" applyAlignment="1" pivotButton="0" quotePrefix="0" xfId="11">
      <alignment horizontal="justify" vertical="center" wrapText="1"/>
    </xf>
    <xf numFmtId="0" fontId="0" fillId="0" borderId="19" applyAlignment="1" pivotButton="0" quotePrefix="0" xfId="0">
      <alignment horizontal="center" vertical="center"/>
    </xf>
    <xf numFmtId="169" fontId="43" fillId="5" borderId="22" applyAlignment="1" pivotButton="0" quotePrefix="0" xfId="0">
      <alignment vertical="center"/>
    </xf>
    <xf numFmtId="170" fontId="43" fillId="5" borderId="50" applyAlignment="1" pivotButton="0" quotePrefix="0" xfId="0">
      <alignment vertical="center"/>
    </xf>
    <xf numFmtId="166" fontId="4" fillId="5" borderId="36" applyAlignment="1" pivotButton="0" quotePrefix="0" xfId="2">
      <alignment horizontal="center" vertical="center"/>
    </xf>
    <xf numFmtId="0" fontId="2" fillId="4" borderId="14" applyAlignment="1" pivotButton="0" quotePrefix="0" xfId="0">
      <alignment horizontal="center" vertical="center" wrapText="1"/>
    </xf>
    <xf numFmtId="0" fontId="4" fillId="0" borderId="15" applyAlignment="1" pivotButton="0" quotePrefix="0" xfId="0">
      <alignment horizontal="right" vertical="center" wrapText="1"/>
    </xf>
    <xf numFmtId="0" fontId="4" fillId="0" borderId="38" applyAlignment="1" pivotButton="0" quotePrefix="0" xfId="0">
      <alignment horizontal="right" vertical="center" wrapText="1"/>
    </xf>
    <xf numFmtId="166" fontId="3" fillId="3" borderId="36" applyAlignment="1" pivotButton="0" quotePrefix="0" xfId="2">
      <alignment horizontal="center" vertical="center" wrapText="1"/>
    </xf>
    <xf numFmtId="0" fontId="2" fillId="13" borderId="48" applyAlignment="1" pivotButton="0" quotePrefix="0" xfId="0">
      <alignment horizontal="center" vertical="center" wrapText="1"/>
    </xf>
    <xf numFmtId="166" fontId="2" fillId="13" borderId="22" applyAlignment="1" pivotButton="0" quotePrefix="0" xfId="2">
      <alignment horizontal="center" vertical="center" wrapText="1"/>
    </xf>
    <xf numFmtId="0" fontId="6" fillId="0" borderId="26" applyAlignment="1" pivotButton="0" quotePrefix="0" xfId="0">
      <alignment horizontal="center" vertical="center" wrapText="1"/>
    </xf>
    <xf numFmtId="0" fontId="6" fillId="0" borderId="26" applyAlignment="1" pivotButton="0" quotePrefix="0" xfId="0">
      <alignment horizontal="left" vertical="center" wrapText="1"/>
    </xf>
    <xf numFmtId="0" fontId="6" fillId="0" borderId="13" applyAlignment="1" pivotButton="0" quotePrefix="0" xfId="0">
      <alignment horizontal="center" vertical="center" wrapText="1"/>
    </xf>
    <xf numFmtId="0" fontId="6" fillId="0" borderId="26" applyAlignment="1" pivotButton="0" quotePrefix="0" xfId="0">
      <alignment vertical="center" wrapText="1"/>
    </xf>
    <xf numFmtId="0" fontId="6" fillId="0" borderId="13" applyAlignment="1" pivotButton="0" quotePrefix="0" xfId="0">
      <alignment vertical="center" wrapText="1"/>
    </xf>
    <xf numFmtId="0" fontId="0" fillId="0" borderId="0" applyAlignment="1" pivotButton="0" quotePrefix="0" xfId="0">
      <alignment horizontal="left"/>
    </xf>
    <xf numFmtId="0" fontId="6" fillId="0" borderId="13" applyAlignment="1" pivotButton="0" quotePrefix="0" xfId="0">
      <alignment horizontal="left" vertical="center" wrapText="1"/>
    </xf>
    <xf numFmtId="1" fontId="6" fillId="0" borderId="13" applyAlignment="1" pivotButton="0" quotePrefix="0" xfId="0">
      <alignment horizontal="center" vertical="center" wrapText="1"/>
    </xf>
    <xf numFmtId="1" fontId="6" fillId="0" borderId="13" applyAlignment="1" pivotButton="0" quotePrefix="0" xfId="0">
      <alignment horizontal="left" vertical="center" wrapText="1"/>
    </xf>
    <xf numFmtId="1" fontId="6" fillId="0" borderId="26" applyAlignment="1" pivotButton="0" quotePrefix="0" xfId="0">
      <alignment horizontal="center" vertical="center" wrapText="1"/>
    </xf>
    <xf numFmtId="1" fontId="6" fillId="0" borderId="26" applyAlignment="1" pivotButton="0" quotePrefix="0" xfId="0">
      <alignment horizontal="left" vertical="center" wrapText="1"/>
    </xf>
    <xf numFmtId="0" fontId="6" fillId="0" borderId="56" applyAlignment="1" pivotButton="0" quotePrefix="0" xfId="0">
      <alignment vertical="center" wrapText="1"/>
    </xf>
    <xf numFmtId="2" fontId="6" fillId="0" borderId="13" applyAlignment="1" pivotButton="0" quotePrefix="0" xfId="0">
      <alignment horizontal="center" vertical="center" wrapText="1"/>
    </xf>
    <xf numFmtId="2" fontId="6" fillId="0" borderId="13" applyAlignment="1" pivotButton="0" quotePrefix="0" xfId="0">
      <alignment horizontal="left" vertical="center" wrapText="1"/>
    </xf>
    <xf numFmtId="0" fontId="9" fillId="0" borderId="13" applyAlignment="1" pivotButton="0" quotePrefix="0" xfId="9">
      <alignment horizontal="left" vertical="center" wrapText="1"/>
    </xf>
    <xf numFmtId="1" fontId="6" fillId="0" borderId="19" applyAlignment="1" pivotButton="0" quotePrefix="0" xfId="0">
      <alignment horizontal="center" vertical="center" wrapText="1"/>
    </xf>
    <xf numFmtId="0" fontId="6" fillId="0" borderId="56" applyAlignment="1" pivotButton="0" quotePrefix="0" xfId="0">
      <alignment horizontal="center" vertical="center" wrapText="1"/>
    </xf>
    <xf numFmtId="0" fontId="6" fillId="0" borderId="56" applyAlignment="1" pivotButton="0" quotePrefix="0" xfId="0">
      <alignment horizontal="left" vertical="center" wrapText="1"/>
    </xf>
    <xf numFmtId="0" fontId="6" fillId="0" borderId="19" applyAlignment="1" pivotButton="0" quotePrefix="0" xfId="0">
      <alignment horizontal="center" vertical="center" wrapText="1"/>
    </xf>
    <xf numFmtId="0" fontId="6" fillId="0" borderId="19" applyAlignment="1" pivotButton="0" quotePrefix="0" xfId="0">
      <alignment horizontal="left" vertical="center" wrapText="1"/>
    </xf>
    <xf numFmtId="0" fontId="0" fillId="0" borderId="33" pivotButton="0" quotePrefix="0" xfId="0"/>
    <xf numFmtId="0" fontId="6" fillId="0" borderId="0" applyAlignment="1" pivotButton="0" quotePrefix="0" xfId="0">
      <alignment horizontal="left"/>
    </xf>
    <xf numFmtId="0" fontId="6" fillId="0" borderId="8" applyAlignment="1" pivotButton="0" quotePrefix="0" xfId="0">
      <alignment horizontal="center" vertical="center"/>
    </xf>
    <xf numFmtId="0" fontId="6" fillId="0" borderId="0" applyAlignment="1" pivotButton="0" quotePrefix="0" xfId="0">
      <alignment horizontal="center" vertical="center"/>
    </xf>
    <xf numFmtId="0" fontId="6" fillId="5" borderId="7" pivotButton="0" quotePrefix="0" xfId="0"/>
    <xf numFmtId="0" fontId="6" fillId="5" borderId="8" pivotButton="0" quotePrefix="0" xfId="0"/>
    <xf numFmtId="0" fontId="6" fillId="5" borderId="8" applyAlignment="1" pivotButton="0" quotePrefix="0" xfId="0">
      <alignment horizontal="left"/>
    </xf>
    <xf numFmtId="0" fontId="6" fillId="5" borderId="8" applyAlignment="1" pivotButton="0" quotePrefix="0" xfId="0">
      <alignment horizontal="center" vertical="center"/>
    </xf>
    <xf numFmtId="0" fontId="6" fillId="0" borderId="8" pivotButton="0" quotePrefix="0" xfId="0"/>
    <xf numFmtId="0" fontId="17" fillId="5" borderId="8" applyAlignment="1" pivotButton="0" quotePrefix="0" xfId="0">
      <alignment horizontal="right" vertical="center"/>
    </xf>
    <xf numFmtId="0" fontId="0" fillId="5" borderId="0" pivotButton="0" quotePrefix="0" xfId="0"/>
    <xf numFmtId="166" fontId="6" fillId="0" borderId="0" applyAlignment="1" pivotButton="0" quotePrefix="0" xfId="2">
      <alignment horizontal="center" vertical="center"/>
    </xf>
    <xf numFmtId="166" fontId="0" fillId="0" borderId="0" applyAlignment="1" pivotButton="0" quotePrefix="0" xfId="2">
      <alignment horizontal="center" vertical="center"/>
    </xf>
    <xf numFmtId="0" fontId="17" fillId="0" borderId="0" applyAlignment="1" pivotButton="0" quotePrefix="0" xfId="0">
      <alignment horizontal="center" vertical="center"/>
    </xf>
    <xf numFmtId="0" fontId="3" fillId="0" borderId="0" pivotButton="0" quotePrefix="0" xfId="8"/>
    <xf numFmtId="0" fontId="17" fillId="0" borderId="0" applyAlignment="1" pivotButton="0" quotePrefix="0" xfId="0">
      <alignment horizontal="left" vertical="center"/>
    </xf>
    <xf numFmtId="0" fontId="4" fillId="0" borderId="35" applyAlignment="1" pivotButton="0" quotePrefix="0" xfId="0">
      <alignment vertical="top"/>
    </xf>
    <xf numFmtId="0" fontId="4" fillId="0" borderId="0" applyAlignment="1" pivotButton="0" quotePrefix="0" xfId="0">
      <alignment vertical="top"/>
    </xf>
    <xf numFmtId="0" fontId="4" fillId="0" borderId="36" applyAlignment="1" pivotButton="0" quotePrefix="0" xfId="0">
      <alignment vertical="top"/>
    </xf>
    <xf numFmtId="0" fontId="4" fillId="4" borderId="17" applyAlignment="1" pivotButton="0" quotePrefix="0" xfId="0">
      <alignment horizontal="center" vertical="center" wrapText="1"/>
    </xf>
    <xf numFmtId="171" fontId="2" fillId="5" borderId="13" applyAlignment="1" pivotButton="0" quotePrefix="0" xfId="0">
      <alignment horizontal="center" vertical="center" wrapText="1"/>
    </xf>
    <xf numFmtId="3" fontId="2" fillId="5" borderId="47" applyAlignment="1" pivotButton="0" quotePrefix="0" xfId="0">
      <alignment horizontal="center" vertical="center"/>
    </xf>
    <xf numFmtId="172" fontId="2" fillId="5" borderId="13" applyAlignment="1" pivotButton="0" quotePrefix="0" xfId="0">
      <alignment horizontal="center" vertical="center" wrapText="1"/>
    </xf>
    <xf numFmtId="0" fontId="2" fillId="5" borderId="47" applyAlignment="1" pivotButton="0" quotePrefix="0" xfId="0">
      <alignment horizontal="center" vertical="center" wrapText="1"/>
    </xf>
    <xf numFmtId="2" fontId="4" fillId="4" borderId="46" applyAlignment="1" pivotButton="0" quotePrefix="0" xfId="0">
      <alignment horizontal="right" vertical="center" wrapText="1"/>
    </xf>
    <xf numFmtId="0" fontId="15" fillId="5" borderId="35" pivotButton="0" quotePrefix="0" xfId="0"/>
    <xf numFmtId="0" fontId="15" fillId="5" borderId="0" pivotButton="0" quotePrefix="0" xfId="0"/>
    <xf numFmtId="0" fontId="15" fillId="5" borderId="0" applyAlignment="1" pivotButton="0" quotePrefix="0" xfId="0">
      <alignment horizontal="left" vertical="center"/>
    </xf>
    <xf numFmtId="0" fontId="15" fillId="5" borderId="36" pivotButton="0" quotePrefix="0" xfId="0"/>
    <xf numFmtId="0" fontId="2" fillId="4" borderId="24" applyAlignment="1" pivotButton="0" quotePrefix="0" xfId="0">
      <alignment horizontal="center" vertical="center" wrapText="1"/>
    </xf>
    <xf numFmtId="0" fontId="2" fillId="4" borderId="9" applyAlignment="1" pivotButton="0" quotePrefix="0" xfId="0">
      <alignment horizontal="center" vertical="center" wrapText="1"/>
    </xf>
    <xf numFmtId="0" fontId="15" fillId="6" borderId="7" applyAlignment="1" pivotButton="0" quotePrefix="0" xfId="0">
      <alignment horizontal="center" vertical="center" wrapText="1"/>
    </xf>
    <xf numFmtId="0" fontId="15" fillId="6" borderId="24" applyAlignment="1" pivotButton="0" quotePrefix="0" xfId="0">
      <alignment horizontal="left" vertical="center" wrapText="1"/>
    </xf>
    <xf numFmtId="0" fontId="15" fillId="6" borderId="42" applyAlignment="1" pivotButton="0" quotePrefix="0" xfId="0">
      <alignment horizontal="left" vertical="center" wrapText="1"/>
    </xf>
    <xf numFmtId="0" fontId="6" fillId="4" borderId="50" applyAlignment="1" pivotButton="0" quotePrefix="0" xfId="0">
      <alignment horizontal="center" vertical="center" wrapText="1"/>
    </xf>
    <xf numFmtId="0" fontId="6" fillId="4" borderId="42" applyAlignment="1" pivotButton="0" quotePrefix="0" xfId="0">
      <alignment horizontal="center" vertical="center" wrapText="1"/>
    </xf>
    <xf numFmtId="0" fontId="6" fillId="4" borderId="42" applyAlignment="1" pivotButton="0" quotePrefix="0" xfId="0">
      <alignment horizontal="left" vertical="center" wrapText="1"/>
    </xf>
    <xf numFmtId="0" fontId="15" fillId="4" borderId="42" applyAlignment="1" pivotButton="0" quotePrefix="0" xfId="0">
      <alignment horizontal="left" vertical="center" wrapText="1"/>
    </xf>
    <xf numFmtId="0" fontId="15" fillId="11" borderId="50" applyAlignment="1" pivotButton="0" quotePrefix="0" xfId="0">
      <alignment horizontal="center" vertical="center" wrapText="1"/>
    </xf>
    <xf numFmtId="0" fontId="15" fillId="11" borderId="42" applyAlignment="1" pivotButton="0" quotePrefix="0" xfId="0">
      <alignment horizontal="center" vertical="center" wrapText="1"/>
    </xf>
    <xf numFmtId="0" fontId="15" fillId="11" borderId="42" applyAlignment="1" pivotButton="0" quotePrefix="0" xfId="0">
      <alignment horizontal="left" vertical="center" wrapText="1"/>
    </xf>
    <xf numFmtId="0" fontId="15" fillId="4" borderId="42" applyAlignment="1" pivotButton="0" quotePrefix="0" xfId="0">
      <alignment horizontal="center" vertical="center" wrapText="1"/>
    </xf>
    <xf numFmtId="0" fontId="15" fillId="6" borderId="50" applyAlignment="1" pivotButton="0" quotePrefix="0" xfId="0">
      <alignment horizontal="center" vertical="center" wrapText="1"/>
    </xf>
    <xf numFmtId="0" fontId="15" fillId="6" borderId="42" applyAlignment="1" pivotButton="0" quotePrefix="0" xfId="0">
      <alignment horizontal="center" vertical="center" wrapText="1"/>
    </xf>
    <xf numFmtId="0" fontId="0" fillId="4" borderId="50" applyAlignment="1" pivotButton="0" quotePrefix="0" xfId="0">
      <alignment horizontal="center" vertical="center" wrapText="1"/>
    </xf>
    <xf numFmtId="0" fontId="16" fillId="4" borderId="42" applyAlignment="1" pivotButton="0" quotePrefix="0" xfId="0">
      <alignment horizontal="left" vertical="center" wrapText="1"/>
    </xf>
    <xf numFmtId="0" fontId="16" fillId="4" borderId="42" applyAlignment="1" pivotButton="0" quotePrefix="0" xfId="0">
      <alignment horizontal="left" vertical="top" wrapText="1"/>
    </xf>
    <xf numFmtId="1" fontId="17" fillId="5" borderId="25" applyAlignment="1" pivotButton="0" quotePrefix="0" xfId="0">
      <alignment horizontal="left" vertical="center" wrapText="1"/>
    </xf>
    <xf numFmtId="166" fontId="6" fillId="0" borderId="27" applyAlignment="1" pivotButton="0" quotePrefix="0" xfId="2">
      <alignment horizontal="center" vertical="center"/>
    </xf>
    <xf numFmtId="1" fontId="17" fillId="5" borderId="46" applyAlignment="1" pivotButton="0" quotePrefix="0" xfId="0">
      <alignment horizontal="left" vertical="center" wrapText="1"/>
    </xf>
    <xf numFmtId="1" fontId="17" fillId="5" borderId="57" applyAlignment="1" pivotButton="0" quotePrefix="0" xfId="0">
      <alignment horizontal="left" vertical="center" wrapText="1"/>
    </xf>
    <xf numFmtId="1" fontId="17" fillId="5" borderId="18" applyAlignment="1" pivotButton="0" quotePrefix="0" xfId="0">
      <alignment horizontal="left" vertical="center" wrapText="1"/>
    </xf>
    <xf numFmtId="49" fontId="9" fillId="6" borderId="49" applyAlignment="1" applyProtection="1" pivotButton="0" quotePrefix="0" xfId="3">
      <alignment horizontal="right" vertical="center"/>
      <protection locked="0" hidden="0"/>
    </xf>
    <xf numFmtId="3" fontId="9" fillId="6" borderId="13" applyAlignment="1" applyProtection="1" pivotButton="0" quotePrefix="0" xfId="3">
      <alignment horizontal="right" vertical="center"/>
      <protection locked="0" hidden="0"/>
    </xf>
    <xf numFmtId="49" fontId="9" fillId="6" borderId="13" applyAlignment="1" applyProtection="1" pivotButton="0" quotePrefix="0" xfId="3">
      <alignment horizontal="right" vertical="center"/>
      <protection locked="0" hidden="0"/>
    </xf>
    <xf numFmtId="49" fontId="7" fillId="6" borderId="13" applyAlignment="1" applyProtection="1" pivotButton="0" quotePrefix="0" xfId="3">
      <alignment horizontal="right" vertical="center"/>
      <protection locked="0" hidden="0"/>
    </xf>
    <xf numFmtId="3" fontId="7" fillId="6" borderId="13" applyAlignment="1" applyProtection="1" pivotButton="0" quotePrefix="0" xfId="3">
      <alignment horizontal="right" vertical="center"/>
      <protection locked="0" hidden="0"/>
    </xf>
    <xf numFmtId="49" fontId="7" fillId="6" borderId="49" applyAlignment="1" applyProtection="1" pivotButton="0" quotePrefix="0" xfId="3">
      <alignment horizontal="right" vertical="center"/>
      <protection locked="0" hidden="0"/>
    </xf>
    <xf numFmtId="0" fontId="0" fillId="0" borderId="35" applyAlignment="1" pivotButton="0" quotePrefix="0" xfId="0">
      <alignment vertical="center"/>
    </xf>
    <xf numFmtId="0" fontId="0" fillId="0" borderId="36" applyAlignment="1" pivotButton="0" quotePrefix="0" xfId="0">
      <alignment vertical="center"/>
    </xf>
    <xf numFmtId="0" fontId="6" fillId="0" borderId="7" pivotButton="0" quotePrefix="0" xfId="0"/>
    <xf numFmtId="0" fontId="6" fillId="0" borderId="8" applyAlignment="1" pivotButton="0" quotePrefix="0" xfId="0">
      <alignment horizontal="left"/>
    </xf>
    <xf numFmtId="166" fontId="6" fillId="0" borderId="9" applyAlignment="1" pivotButton="0" quotePrefix="0" xfId="2">
      <alignment horizontal="center" vertical="center"/>
    </xf>
    <xf numFmtId="0" fontId="6" fillId="0" borderId="9" pivotButton="0" quotePrefix="0" xfId="0"/>
    <xf numFmtId="1" fontId="7" fillId="3" borderId="0" applyAlignment="1" pivotButton="0" quotePrefix="0" xfId="4">
      <alignment horizontal="left" vertical="top" wrapText="1"/>
    </xf>
    <xf numFmtId="1" fontId="7" fillId="3" borderId="0" applyAlignment="1" pivotButton="0" quotePrefix="0" xfId="4">
      <alignment horizontal="center" vertical="center" wrapText="1"/>
    </xf>
    <xf numFmtId="1" fontId="7" fillId="0" borderId="0" applyAlignment="1" pivotButton="0" quotePrefix="0" xfId="4">
      <alignment vertical="top" wrapText="1"/>
    </xf>
    <xf numFmtId="4" fontId="4" fillId="5" borderId="0" applyAlignment="1" pivotButton="0" quotePrefix="0" xfId="0">
      <alignment vertical="top"/>
    </xf>
    <xf numFmtId="1" fontId="3" fillId="3" borderId="0" applyAlignment="1" pivotButton="0" quotePrefix="0" xfId="4">
      <alignment horizontal="left" vertical="center" wrapText="1"/>
    </xf>
    <xf numFmtId="1" fontId="3" fillId="0" borderId="0" applyAlignment="1" pivotButton="0" quotePrefix="0" xfId="4">
      <alignment vertical="center" wrapText="1"/>
    </xf>
    <xf numFmtId="0" fontId="6" fillId="0" borderId="14" applyAlignment="1" pivotButton="0" quotePrefix="0" xfId="0">
      <alignment horizontal="center" vertical="center"/>
    </xf>
    <xf numFmtId="0" fontId="6" fillId="0" borderId="15" applyAlignment="1" pivotButton="0" quotePrefix="0" xfId="0">
      <alignment horizontal="center" vertical="center"/>
    </xf>
    <xf numFmtId="165" fontId="6" fillId="0" borderId="15" pivotButton="0" quotePrefix="0" xfId="1"/>
    <xf numFmtId="165" fontId="6" fillId="0" borderId="17" pivotButton="0" quotePrefix="0" xfId="1"/>
    <xf numFmtId="165" fontId="6" fillId="0" borderId="47" pivotButton="0" quotePrefix="0" xfId="1"/>
    <xf numFmtId="167" fontId="6" fillId="16" borderId="32" applyAlignment="1" pivotButton="0" quotePrefix="0" xfId="0">
      <alignment vertical="center"/>
    </xf>
    <xf numFmtId="167" fontId="6" fillId="16" borderId="33" applyAlignment="1" pivotButton="0" quotePrefix="0" xfId="0">
      <alignment vertical="center"/>
    </xf>
    <xf numFmtId="167" fontId="6" fillId="16" borderId="34" applyAlignment="1" pivotButton="0" quotePrefix="0" xfId="0">
      <alignment vertical="center"/>
    </xf>
    <xf numFmtId="167" fontId="6" fillId="16" borderId="35" applyAlignment="1" pivotButton="0" quotePrefix="0" xfId="0">
      <alignment vertical="center"/>
    </xf>
    <xf numFmtId="14" fontId="5" fillId="5" borderId="13" applyAlignment="1" pivotButton="0" quotePrefix="1" xfId="1">
      <alignment horizontal="center" vertical="center"/>
    </xf>
    <xf numFmtId="1" fontId="5" fillId="9" borderId="14" applyAlignment="1" pivotButton="0" quotePrefix="0" xfId="4">
      <alignment horizontal="left" vertical="center"/>
    </xf>
    <xf numFmtId="1" fontId="5" fillId="9" borderId="2" applyAlignment="1" pivotButton="0" quotePrefix="0" xfId="4">
      <alignment horizontal="center" vertical="center" wrapText="1"/>
    </xf>
    <xf numFmtId="0" fontId="5" fillId="9" borderId="2" applyAlignment="1" pivotButton="0" quotePrefix="0" xfId="4">
      <alignment horizontal="right" vertical="center" wrapText="1"/>
    </xf>
    <xf numFmtId="1" fontId="5" fillId="9" borderId="37" applyAlignment="1" pivotButton="0" quotePrefix="0" xfId="4">
      <alignment horizontal="left" vertical="center"/>
    </xf>
    <xf numFmtId="1" fontId="5" fillId="9" borderId="5" applyAlignment="1" pivotButton="0" quotePrefix="0" xfId="4">
      <alignment horizontal="center" vertical="center" wrapText="1"/>
    </xf>
    <xf numFmtId="0" fontId="5" fillId="9" borderId="5" applyAlignment="1" pivotButton="0" quotePrefix="0" xfId="4">
      <alignment horizontal="right" vertical="center" wrapText="1"/>
    </xf>
    <xf numFmtId="165" fontId="8" fillId="9" borderId="17" applyAlignment="1" pivotButton="0" quotePrefix="0" xfId="1">
      <alignment horizontal="right" vertical="center"/>
    </xf>
    <xf numFmtId="165" fontId="8" fillId="9" borderId="39" applyAlignment="1" pivotButton="0" quotePrefix="0" xfId="1">
      <alignment horizontal="right" vertical="center"/>
    </xf>
    <xf numFmtId="0" fontId="0" fillId="0" borderId="0" applyProtection="1" pivotButton="0" quotePrefix="0" xfId="0">
      <protection locked="0" hidden="0"/>
    </xf>
    <xf numFmtId="0" fontId="17" fillId="2" borderId="1" applyAlignment="1" applyProtection="1" pivotButton="0" quotePrefix="0" xfId="0">
      <alignment horizontal="center" vertical="center"/>
      <protection locked="0" hidden="0"/>
    </xf>
    <xf numFmtId="10" fontId="17" fillId="2" borderId="17" applyAlignment="1" applyProtection="1" pivotButton="0" quotePrefix="0" xfId="3">
      <alignment horizontal="center" vertical="center"/>
      <protection locked="0" hidden="0"/>
    </xf>
    <xf numFmtId="0" fontId="6" fillId="5" borderId="51" applyAlignment="1" applyProtection="1" pivotButton="0" quotePrefix="0" xfId="0">
      <alignment vertical="center" wrapText="1"/>
      <protection locked="0" hidden="0"/>
    </xf>
    <xf numFmtId="10" fontId="6" fillId="5" borderId="47" applyAlignment="1" applyProtection="1" pivotButton="0" quotePrefix="0" xfId="3">
      <alignment horizontal="center" vertical="center"/>
      <protection locked="0" hidden="0"/>
    </xf>
    <xf numFmtId="0" fontId="6" fillId="5" borderId="46" applyAlignment="1" applyProtection="1" pivotButton="0" quotePrefix="0" xfId="0">
      <alignment horizontal="right" vertical="center" wrapText="1"/>
      <protection locked="0" hidden="0"/>
    </xf>
    <xf numFmtId="10" fontId="6" fillId="5" borderId="53" applyAlignment="1" applyProtection="1" pivotButton="0" quotePrefix="0" xfId="3">
      <alignment horizontal="center" vertical="center"/>
      <protection locked="0" hidden="0"/>
    </xf>
    <xf numFmtId="0" fontId="17" fillId="6" borderId="51" applyAlignment="1" applyProtection="1" pivotButton="0" quotePrefix="0" xfId="0">
      <alignment horizontal="center" vertical="center" wrapText="1"/>
      <protection locked="0" hidden="0"/>
    </xf>
    <xf numFmtId="0" fontId="17" fillId="6" borderId="53" applyAlignment="1" applyProtection="1" pivotButton="0" quotePrefix="0" xfId="0">
      <alignment horizontal="center" vertical="center" wrapText="1"/>
      <protection locked="0" hidden="0"/>
    </xf>
    <xf numFmtId="0" fontId="6" fillId="5" borderId="46" applyAlignment="1" applyProtection="1" pivotButton="0" quotePrefix="0" xfId="0">
      <alignment horizontal="left" vertical="center" wrapText="1"/>
      <protection locked="0" hidden="0"/>
    </xf>
    <xf numFmtId="0" fontId="6" fillId="5" borderId="37" applyAlignment="1" applyProtection="1" pivotButton="0" quotePrefix="0" xfId="0">
      <alignment horizontal="right" vertical="center" wrapText="1"/>
      <protection locked="0" hidden="0"/>
    </xf>
    <xf numFmtId="10" fontId="6" fillId="5" borderId="39" applyAlignment="1" applyProtection="1" pivotButton="0" quotePrefix="0" xfId="3">
      <alignment horizontal="center" vertical="center"/>
      <protection locked="0" hidden="0"/>
    </xf>
    <xf numFmtId="0" fontId="0" fillId="0" borderId="32" applyProtection="1" pivotButton="0" quotePrefix="0" xfId="0">
      <protection locked="0" hidden="0"/>
    </xf>
    <xf numFmtId="0" fontId="0" fillId="0" borderId="34" applyProtection="1" pivotButton="0" quotePrefix="0" xfId="0">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0" fillId="0" borderId="40" applyProtection="1" pivotButton="0" quotePrefix="0" xfId="0">
      <protection locked="0" hidden="0"/>
    </xf>
    <xf numFmtId="0" fontId="0" fillId="0" borderId="42" applyProtection="1" pivotButton="0" quotePrefix="0" xfId="0">
      <protection locked="0" hidden="0"/>
    </xf>
    <xf numFmtId="169" fontId="0" fillId="5" borderId="17" applyAlignment="1" applyProtection="1" pivotButton="0" quotePrefix="0" xfId="0">
      <alignment vertical="center"/>
      <protection locked="0" hidden="0"/>
    </xf>
    <xf numFmtId="169" fontId="0" fillId="5" borderId="47" applyAlignment="1" applyProtection="1" pivotButton="0" quotePrefix="0" xfId="0">
      <alignment vertical="center"/>
      <protection locked="0" hidden="0"/>
    </xf>
    <xf numFmtId="169" fontId="0" fillId="5" borderId="20" applyAlignment="1" applyProtection="1" pivotButton="0" quotePrefix="0" xfId="0">
      <alignment vertical="center"/>
      <protection locked="0" hidden="0"/>
    </xf>
    <xf numFmtId="3" fontId="49" fillId="6" borderId="13" applyAlignment="1" applyProtection="1" pivotButton="0" quotePrefix="0" xfId="3">
      <alignment horizontal="right" vertical="center"/>
      <protection locked="0" hidden="0"/>
    </xf>
    <xf numFmtId="165" fontId="9" fillId="5" borderId="13" applyAlignment="1" applyProtection="1" pivotButton="0" quotePrefix="0" xfId="14">
      <alignment vertical="center"/>
      <protection locked="0" hidden="0"/>
    </xf>
    <xf numFmtId="165" fontId="7" fillId="5" borderId="13" applyAlignment="1" applyProtection="1" pivotButton="0" quotePrefix="0" xfId="1">
      <alignment vertical="center"/>
      <protection locked="0" hidden="0"/>
    </xf>
    <xf numFmtId="3" fontId="2" fillId="5" borderId="47" applyAlignment="1" pivotButton="0" quotePrefix="0" xfId="0">
      <alignment horizontal="center" vertical="center" wrapText="1"/>
    </xf>
    <xf numFmtId="1" fontId="7" fillId="3" borderId="35" applyAlignment="1" pivotButton="0" quotePrefix="0" xfId="4">
      <alignment vertical="center" wrapText="1"/>
    </xf>
    <xf numFmtId="1" fontId="7" fillId="3" borderId="0" applyAlignment="1" pivotButton="0" quotePrefix="0" xfId="4">
      <alignment vertical="center" wrapText="1"/>
    </xf>
    <xf numFmtId="1" fontId="7" fillId="3" borderId="9" applyAlignment="1" pivotButton="0" quotePrefix="0" xfId="4">
      <alignment vertical="center" wrapText="1"/>
    </xf>
    <xf numFmtId="0" fontId="6" fillId="0" borderId="0" applyAlignment="1" pivotButton="0" quotePrefix="0" xfId="0">
      <alignment vertical="center"/>
    </xf>
    <xf numFmtId="1" fontId="3" fillId="6" borderId="0" applyAlignment="1" pivotButton="0" quotePrefix="0" xfId="4">
      <alignment horizontal="center" vertical="center" wrapText="1"/>
    </xf>
    <xf numFmtId="0" fontId="9" fillId="6" borderId="0" applyAlignment="1" pivotButton="0" quotePrefix="0" xfId="0">
      <alignment vertical="center"/>
    </xf>
    <xf numFmtId="0" fontId="9" fillId="6" borderId="33" applyAlignment="1" pivotButton="0" quotePrefix="0" xfId="0">
      <alignment vertical="center"/>
    </xf>
    <xf numFmtId="0" fontId="9" fillId="6" borderId="41" applyAlignment="1" pivotButton="0" quotePrefix="0" xfId="0">
      <alignment vertical="center"/>
    </xf>
    <xf numFmtId="3" fontId="50" fillId="6" borderId="13" applyAlignment="1" pivotButton="0" quotePrefix="0" xfId="3">
      <alignment horizontal="center" vertical="center"/>
    </xf>
    <xf numFmtId="1" fontId="3" fillId="3" borderId="41" applyAlignment="1" pivotButton="0" quotePrefix="0" xfId="4">
      <alignment horizontal="center" vertical="center" wrapText="1"/>
    </xf>
    <xf numFmtId="43" fontId="9" fillId="10" borderId="13" applyAlignment="1" pivotButton="0" quotePrefix="0" xfId="1">
      <alignment horizontal="center" vertical="center"/>
    </xf>
    <xf numFmtId="3" fontId="3" fillId="3" borderId="8" applyAlignment="1" pivotButton="0" quotePrefix="0" xfId="4">
      <alignment horizontal="center" vertical="center" wrapText="1"/>
    </xf>
    <xf numFmtId="43" fontId="7" fillId="10" borderId="13" applyAlignment="1" pivotButton="0" quotePrefix="0" xfId="1">
      <alignment horizontal="center" vertical="center"/>
    </xf>
    <xf numFmtId="165" fontId="12" fillId="6" borderId="0" applyAlignment="1" pivotButton="0" quotePrefix="0" xfId="4">
      <alignment horizontal="center" vertical="center"/>
    </xf>
    <xf numFmtId="165" fontId="12" fillId="6" borderId="33" applyAlignment="1" pivotButton="0" quotePrefix="0" xfId="4">
      <alignment horizontal="center" vertical="center"/>
    </xf>
    <xf numFmtId="3" fontId="9" fillId="6" borderId="13" applyAlignment="1" pivotButton="0" quotePrefix="0" xfId="3">
      <alignment horizontal="center" vertical="center"/>
    </xf>
    <xf numFmtId="9" fontId="9" fillId="6" borderId="13" applyAlignment="1" pivotButton="0" quotePrefix="0" xfId="3">
      <alignment horizontal="center" vertical="center"/>
    </xf>
    <xf numFmtId="49" fontId="9" fillId="6" borderId="13" applyAlignment="1" pivotButton="0" quotePrefix="0" xfId="3">
      <alignment horizontal="center" vertical="center"/>
    </xf>
    <xf numFmtId="165" fontId="12" fillId="6" borderId="45" applyAlignment="1" pivotButton="0" quotePrefix="0" xfId="1">
      <alignment horizontal="center" vertical="center" wrapText="1"/>
    </xf>
    <xf numFmtId="4" fontId="12" fillId="8" borderId="23" applyAlignment="1" pivotButton="0" quotePrefix="0" xfId="4">
      <alignment horizontal="center" vertical="center" wrapText="1"/>
    </xf>
    <xf numFmtId="1" fontId="9" fillId="6" borderId="63" applyAlignment="1" pivotButton="0" quotePrefix="0" xfId="4">
      <alignment horizontal="center" vertical="center" wrapText="1"/>
    </xf>
    <xf numFmtId="0" fontId="12" fillId="6" borderId="33" applyAlignment="1" pivotButton="0" quotePrefix="0" xfId="0">
      <alignment horizontal="left" vertical="center"/>
    </xf>
    <xf numFmtId="9" fontId="9" fillId="5" borderId="13" applyAlignment="1" applyProtection="1" pivotButton="0" quotePrefix="0" xfId="3">
      <alignment horizontal="center" vertical="center"/>
      <protection locked="0" hidden="0"/>
    </xf>
    <xf numFmtId="165" fontId="9" fillId="5" borderId="13" applyAlignment="1" applyProtection="1" pivotButton="0" quotePrefix="0" xfId="1">
      <alignment horizontal="center" vertical="center"/>
      <protection locked="0" hidden="0"/>
    </xf>
    <xf numFmtId="165" fontId="7" fillId="5" borderId="13" applyAlignment="1" applyProtection="1" pivotButton="0" quotePrefix="0" xfId="1">
      <alignment horizontal="center" vertical="center"/>
      <protection locked="0" hidden="0"/>
    </xf>
    <xf numFmtId="9" fontId="7" fillId="3" borderId="0" applyAlignment="1" pivotButton="0" quotePrefix="0" xfId="3">
      <alignment horizontal="center" vertical="center" wrapText="1"/>
    </xf>
    <xf numFmtId="9" fontId="3" fillId="3" borderId="41" applyAlignment="1" pivotButton="0" quotePrefix="0" xfId="3">
      <alignment horizontal="center" vertical="center" wrapText="1"/>
    </xf>
    <xf numFmtId="9" fontId="3" fillId="3" borderId="8" applyAlignment="1" pivotButton="0" quotePrefix="0" xfId="3">
      <alignment horizontal="center" vertical="center" wrapText="1"/>
    </xf>
    <xf numFmtId="9" fontId="7" fillId="5" borderId="13" applyAlignment="1" applyProtection="1" pivotButton="0" quotePrefix="0" xfId="3">
      <alignment horizontal="center" vertical="center"/>
      <protection locked="0" hidden="0"/>
    </xf>
    <xf numFmtId="9" fontId="7" fillId="6" borderId="13" applyAlignment="1" pivotButton="0" quotePrefix="0" xfId="3">
      <alignment horizontal="center" vertical="center"/>
    </xf>
    <xf numFmtId="9" fontId="6" fillId="0" borderId="0" applyAlignment="1" pivotButton="0" quotePrefix="0" xfId="3">
      <alignment horizontal="center" vertical="center"/>
    </xf>
    <xf numFmtId="9" fontId="3" fillId="6" borderId="33" applyAlignment="1" pivotButton="0" quotePrefix="0" xfId="3">
      <alignment horizontal="center" vertical="center"/>
    </xf>
    <xf numFmtId="9" fontId="12" fillId="6" borderId="0" applyAlignment="1" pivotButton="0" quotePrefix="0" xfId="3">
      <alignment horizontal="center" vertical="center"/>
    </xf>
    <xf numFmtId="9" fontId="12" fillId="6" borderId="33" applyAlignment="1" pivotButton="0" quotePrefix="0" xfId="3">
      <alignment horizontal="center" vertical="center"/>
    </xf>
    <xf numFmtId="9" fontId="9" fillId="6" borderId="41" applyAlignment="1" pivotButton="0" quotePrefix="0" xfId="3">
      <alignment horizontal="center" vertical="center"/>
    </xf>
    <xf numFmtId="9" fontId="0" fillId="0" borderId="0" applyAlignment="1" pivotButton="0" quotePrefix="0" xfId="3">
      <alignment horizontal="center" vertical="center"/>
    </xf>
    <xf numFmtId="165" fontId="7" fillId="3" borderId="0" applyAlignment="1" pivotButton="0" quotePrefix="0" xfId="1">
      <alignment horizontal="center" vertical="center" wrapText="1"/>
    </xf>
    <xf numFmtId="165" fontId="3" fillId="3" borderId="41" applyAlignment="1" pivotButton="0" quotePrefix="0" xfId="1">
      <alignment horizontal="center" vertical="center" wrapText="1"/>
    </xf>
    <xf numFmtId="165" fontId="3" fillId="3" borderId="8" applyAlignment="1" pivotButton="0" quotePrefix="0" xfId="1">
      <alignment horizontal="center" vertical="center" wrapText="1"/>
    </xf>
    <xf numFmtId="165" fontId="7" fillId="6" borderId="13" applyAlignment="1" pivotButton="0" quotePrefix="0" xfId="1">
      <alignment horizontal="center" vertical="center"/>
    </xf>
    <xf numFmtId="165" fontId="6" fillId="0" borderId="0" applyAlignment="1" pivotButton="0" quotePrefix="0" xfId="1">
      <alignment horizontal="center" vertical="center"/>
    </xf>
    <xf numFmtId="165" fontId="3" fillId="6" borderId="33" applyAlignment="1" pivotButton="0" quotePrefix="0" xfId="1">
      <alignment horizontal="center" vertical="center"/>
    </xf>
    <xf numFmtId="165" fontId="12" fillId="6" borderId="0" applyAlignment="1" pivotButton="0" quotePrefix="0" xfId="1">
      <alignment horizontal="center" vertical="center"/>
    </xf>
    <xf numFmtId="165" fontId="12" fillId="6" borderId="33" applyAlignment="1" pivotButton="0" quotePrefix="0" xfId="1">
      <alignment horizontal="center" vertical="center"/>
    </xf>
    <xf numFmtId="165" fontId="9" fillId="6" borderId="41" applyAlignment="1" pivotButton="0" quotePrefix="0" xfId="1">
      <alignment horizontal="center" vertical="center"/>
    </xf>
    <xf numFmtId="165" fontId="0" fillId="0" borderId="0" applyAlignment="1" pivotButton="0" quotePrefix="0" xfId="1">
      <alignment horizontal="center" vertical="center"/>
    </xf>
    <xf numFmtId="0" fontId="9" fillId="5" borderId="12" applyAlignment="1" pivotButton="0" quotePrefix="0" xfId="4">
      <alignment horizontal="center" vertical="center" wrapText="1"/>
    </xf>
    <xf numFmtId="0" fontId="51" fillId="5" borderId="46" applyAlignment="1" pivotButton="0" quotePrefix="0" xfId="4">
      <alignment horizontal="left" vertical="center" wrapText="1"/>
    </xf>
    <xf numFmtId="0" fontId="6" fillId="5" borderId="13" applyAlignment="1" pivotButton="0" quotePrefix="0" xfId="0">
      <alignment vertical="center" wrapText="1"/>
    </xf>
    <xf numFmtId="0" fontId="9" fillId="5" borderId="13" applyAlignment="1" pivotButton="0" quotePrefix="0" xfId="4">
      <alignment horizontal="center" vertical="center" wrapText="1"/>
    </xf>
    <xf numFmtId="0" fontId="7" fillId="5" borderId="13" applyAlignment="1" pivotButton="0" quotePrefix="0" xfId="4">
      <alignment horizontal="center" vertical="center" wrapText="1"/>
    </xf>
    <xf numFmtId="3" fontId="9" fillId="5" borderId="13" applyAlignment="1" pivotButton="0" quotePrefix="0" xfId="1">
      <alignment vertical="center"/>
    </xf>
    <xf numFmtId="10" fontId="9" fillId="5" borderId="13" applyAlignment="1" pivotButton="0" quotePrefix="0" xfId="3">
      <alignment horizontal="right" vertical="center"/>
    </xf>
    <xf numFmtId="49" fontId="9" fillId="5" borderId="49" applyAlignment="1" applyProtection="1" pivotButton="0" quotePrefix="0" xfId="3">
      <alignment horizontal="right" vertical="center"/>
      <protection locked="0" hidden="0"/>
    </xf>
    <xf numFmtId="3" fontId="9" fillId="5" borderId="13" applyAlignment="1" applyProtection="1" pivotButton="0" quotePrefix="0" xfId="3">
      <alignment horizontal="right" vertical="center"/>
      <protection locked="0" hidden="0"/>
    </xf>
    <xf numFmtId="43" fontId="9" fillId="21" borderId="13" applyAlignment="1" pivotButton="0" quotePrefix="0" xfId="1">
      <alignment horizontal="center" vertical="center"/>
    </xf>
    <xf numFmtId="43" fontId="9" fillId="21" borderId="13" applyAlignment="1" pivotButton="0" quotePrefix="0" xfId="1">
      <alignment horizontal="right" vertical="center"/>
    </xf>
    <xf numFmtId="43" fontId="9" fillId="21" borderId="13" applyAlignment="1" pivotButton="0" quotePrefix="0" xfId="1">
      <alignment vertical="center"/>
    </xf>
    <xf numFmtId="165" fontId="9" fillId="5" borderId="27" applyAlignment="1" pivotButton="0" quotePrefix="0" xfId="1">
      <alignment horizontal="right" vertical="center"/>
    </xf>
    <xf numFmtId="0" fontId="0" fillId="5" borderId="0" applyAlignment="1" pivotButton="0" quotePrefix="0" xfId="0">
      <alignment vertical="center"/>
    </xf>
    <xf numFmtId="1" fontId="9" fillId="6" borderId="13" applyAlignment="1" pivotButton="0" quotePrefix="0" xfId="4">
      <alignment horizontal="center" vertical="center" wrapText="1"/>
    </xf>
    <xf numFmtId="165" fontId="9" fillId="6" borderId="13" applyAlignment="1" applyProtection="1" pivotButton="0" quotePrefix="0" xfId="14">
      <alignment vertical="center"/>
      <protection locked="0" hidden="0"/>
    </xf>
    <xf numFmtId="9" fontId="9" fillId="6" borderId="13" applyAlignment="1" applyProtection="1" pivotButton="0" quotePrefix="0" xfId="3">
      <alignment horizontal="center" vertical="center"/>
      <protection locked="0" hidden="0"/>
    </xf>
    <xf numFmtId="165" fontId="9" fillId="6" borderId="13" applyAlignment="1" applyProtection="1" pivotButton="0" quotePrefix="0" xfId="1">
      <alignment horizontal="center" vertical="center"/>
      <protection locked="0" hidden="0"/>
    </xf>
    <xf numFmtId="165" fontId="9" fillId="6" borderId="13" applyAlignment="1" applyProtection="1" pivotButton="0" quotePrefix="0" xfId="1">
      <alignment vertical="center"/>
      <protection locked="0" hidden="0"/>
    </xf>
    <xf numFmtId="2" fontId="9" fillId="5" borderId="46" applyAlignment="1" pivotButton="0" quotePrefix="0" xfId="1">
      <alignment horizontal="left" vertical="center"/>
    </xf>
    <xf numFmtId="1" fontId="9" fillId="5" borderId="12" applyAlignment="1" pivotButton="0" quotePrefix="0" xfId="4">
      <alignment horizontal="center" vertical="center" wrapText="1"/>
    </xf>
    <xf numFmtId="0" fontId="7" fillId="5" borderId="26" applyAlignment="1" pivotButton="0" quotePrefix="0" xfId="4">
      <alignment horizontal="center" vertical="center" wrapText="1"/>
    </xf>
    <xf numFmtId="43" fontId="7" fillId="21" borderId="13" applyAlignment="1" pivotButton="0" quotePrefix="0" xfId="1">
      <alignment horizontal="center" vertical="center"/>
    </xf>
    <xf numFmtId="43" fontId="7" fillId="21" borderId="13" applyAlignment="1" pivotButton="0" quotePrefix="0" xfId="1">
      <alignment horizontal="right" vertical="center"/>
    </xf>
    <xf numFmtId="43" fontId="7" fillId="21" borderId="13" applyAlignment="1" pivotButton="0" quotePrefix="0" xfId="1">
      <alignment vertical="center"/>
    </xf>
    <xf numFmtId="165" fontId="7" fillId="5" borderId="27" applyAlignment="1" pivotButton="0" quotePrefix="0" xfId="1">
      <alignment horizontal="right" vertical="center"/>
    </xf>
    <xf numFmtId="165" fontId="7" fillId="6" borderId="13" applyAlignment="1" applyProtection="1" pivotButton="0" quotePrefix="0" xfId="1">
      <alignment vertical="center"/>
      <protection locked="0" hidden="0"/>
    </xf>
    <xf numFmtId="9" fontId="7" fillId="6" borderId="13" applyAlignment="1" applyProtection="1" pivotButton="0" quotePrefix="0" xfId="3">
      <alignment horizontal="center" vertical="center"/>
      <protection locked="0" hidden="0"/>
    </xf>
    <xf numFmtId="165" fontId="7" fillId="6" borderId="13" applyAlignment="1" applyProtection="1" pivotButton="0" quotePrefix="0" xfId="1">
      <alignment horizontal="center" vertical="center"/>
      <protection locked="0" hidden="0"/>
    </xf>
    <xf numFmtId="165" fontId="7" fillId="6" borderId="13" applyAlignment="1" applyProtection="1" pivotButton="0" quotePrefix="0" xfId="12">
      <alignment vertical="center"/>
      <protection locked="0" hidden="0"/>
    </xf>
    <xf numFmtId="0" fontId="9" fillId="5" borderId="46" applyAlignment="1" pivotButton="0" quotePrefix="0" xfId="4">
      <alignment horizontal="left" vertical="center" wrapText="1"/>
    </xf>
    <xf numFmtId="4" fontId="12" fillId="6" borderId="16" applyAlignment="1" pivotButton="0" quotePrefix="0" xfId="4">
      <alignment vertical="center" wrapText="1"/>
    </xf>
    <xf numFmtId="4" fontId="12" fillId="6" borderId="23" applyAlignment="1" pivotButton="0" quotePrefix="0" xfId="4">
      <alignment horizontal="center" vertical="center" wrapText="1"/>
    </xf>
    <xf numFmtId="9" fontId="12" fillId="6" borderId="23" applyAlignment="1" pivotButton="0" quotePrefix="0" xfId="3">
      <alignment horizontal="center" vertical="center" wrapText="1"/>
    </xf>
    <xf numFmtId="9" fontId="12" fillId="6" borderId="16" applyAlignment="1" pivotButton="0" quotePrefix="0" xfId="3">
      <alignment vertical="center" wrapText="1"/>
    </xf>
    <xf numFmtId="165" fontId="12" fillId="6" borderId="23" applyAlignment="1" pivotButton="0" quotePrefix="0" xfId="1">
      <alignment horizontal="center" vertical="center" wrapText="1"/>
    </xf>
    <xf numFmtId="165" fontId="12" fillId="6" borderId="16" applyAlignment="1" pivotButton="0" quotePrefix="0" xfId="1">
      <alignment vertical="center" wrapText="1"/>
    </xf>
    <xf numFmtId="4" fontId="12" fillId="8" borderId="16" applyAlignment="1" pivotButton="0" quotePrefix="0" xfId="4">
      <alignment vertical="center" wrapText="1"/>
    </xf>
    <xf numFmtId="165" fontId="12" fillId="6" borderId="31" applyAlignment="1" pivotButton="0" quotePrefix="0" xfId="1">
      <alignment vertical="center" wrapText="1"/>
    </xf>
    <xf numFmtId="0" fontId="2" fillId="15" borderId="66" applyAlignment="1" pivotButton="0" quotePrefix="0" xfId="0">
      <alignment horizontal="left" vertical="center"/>
    </xf>
    <xf numFmtId="0" fontId="2" fillId="15" borderId="8" applyAlignment="1" pivotButton="0" quotePrefix="0" xfId="0">
      <alignment vertical="center" wrapText="1"/>
    </xf>
    <xf numFmtId="9" fontId="2" fillId="15" borderId="8" applyAlignment="1" pivotButton="0" quotePrefix="0" xfId="3">
      <alignment horizontal="center" vertical="center" wrapText="1"/>
    </xf>
    <xf numFmtId="165" fontId="2" fillId="15" borderId="8" applyAlignment="1" pivotButton="0" quotePrefix="0" xfId="1">
      <alignment horizontal="center" vertical="center" wrapText="1"/>
    </xf>
    <xf numFmtId="0" fontId="2" fillId="15" borderId="8" applyAlignment="1" pivotButton="0" quotePrefix="0" xfId="0">
      <alignment horizontal="center" vertical="center" wrapText="1"/>
    </xf>
    <xf numFmtId="0" fontId="2" fillId="15" borderId="64" applyAlignment="1" pivotButton="0" quotePrefix="0" xfId="0">
      <alignment horizontal="right" vertical="center"/>
    </xf>
    <xf numFmtId="0" fontId="2" fillId="15" borderId="8" applyAlignment="1" pivotButton="0" quotePrefix="0" xfId="0">
      <alignment horizontal="right" vertical="center" wrapText="1"/>
    </xf>
    <xf numFmtId="0" fontId="4" fillId="4" borderId="11" applyAlignment="1" pivotButton="0" quotePrefix="0" xfId="0">
      <alignment horizontal="right" vertical="center" wrapText="1"/>
    </xf>
    <xf numFmtId="0" fontId="0" fillId="0" borderId="0" applyAlignment="1" pivotButton="0" quotePrefix="0" xfId="0">
      <alignment horizontal="center"/>
    </xf>
    <xf numFmtId="17" fontId="0" fillId="0" borderId="0" applyAlignment="1" pivotButton="0" quotePrefix="0" xfId="0">
      <alignment horizontal="center"/>
    </xf>
    <xf numFmtId="0" fontId="6" fillId="5" borderId="13" applyAlignment="1" pivotButton="0" quotePrefix="0" xfId="0">
      <alignment horizontal="center" vertical="center" wrapText="1"/>
    </xf>
    <xf numFmtId="0" fontId="6" fillId="5" borderId="26" applyAlignment="1" pivotButton="0" quotePrefix="0" xfId="0">
      <alignment horizontal="left" vertical="center" wrapText="1"/>
    </xf>
    <xf numFmtId="10" fontId="6" fillId="5" borderId="13" applyAlignment="1" pivotButton="0" quotePrefix="0" xfId="0">
      <alignment horizontal="center" vertical="center"/>
    </xf>
    <xf numFmtId="166" fontId="6" fillId="5" borderId="13" applyAlignment="1" pivotButton="0" quotePrefix="0" xfId="2">
      <alignment horizontal="center" vertical="center"/>
    </xf>
    <xf numFmtId="1" fontId="17" fillId="5" borderId="13" applyAlignment="1" pivotButton="0" quotePrefix="0" xfId="0">
      <alignment horizontal="left" vertical="center" wrapText="1"/>
    </xf>
    <xf numFmtId="2" fontId="7" fillId="5" borderId="13" applyAlignment="1" pivotButton="0" quotePrefix="0" xfId="1">
      <alignment horizontal="center" vertical="center"/>
    </xf>
    <xf numFmtId="3" fontId="7" fillId="5" borderId="13" applyAlignment="1" applyProtection="1" pivotButton="0" quotePrefix="0" xfId="3">
      <alignment horizontal="right" vertical="center"/>
      <protection locked="0" hidden="0"/>
    </xf>
    <xf numFmtId="3" fontId="50" fillId="5" borderId="13" applyAlignment="1" pivotButton="0" quotePrefix="0" xfId="3">
      <alignment horizontal="center" vertical="center"/>
    </xf>
    <xf numFmtId="3" fontId="9" fillId="5" borderId="13" applyAlignment="1" pivotButton="0" quotePrefix="0" xfId="3">
      <alignment horizontal="center" vertical="center"/>
    </xf>
    <xf numFmtId="9" fontId="9" fillId="5" borderId="13" applyAlignment="1" pivotButton="0" quotePrefix="0" xfId="3">
      <alignment horizontal="center" vertical="center"/>
    </xf>
    <xf numFmtId="49" fontId="9" fillId="5" borderId="13" applyAlignment="1" pivotButton="0" quotePrefix="0" xfId="3">
      <alignment horizontal="center" vertical="center"/>
    </xf>
    <xf numFmtId="0" fontId="51" fillId="5" borderId="13" applyAlignment="1" pivotButton="0" quotePrefix="0" xfId="4">
      <alignment horizontal="left" vertical="center" wrapText="1"/>
    </xf>
    <xf numFmtId="49" fontId="9" fillId="5" borderId="13" applyAlignment="1" applyProtection="1" pivotButton="0" quotePrefix="0" xfId="3">
      <alignment horizontal="right" vertical="center"/>
      <protection locked="0" hidden="0"/>
    </xf>
    <xf numFmtId="165" fontId="9" fillId="5" borderId="13" applyAlignment="1" pivotButton="0" quotePrefix="0" xfId="1">
      <alignment horizontal="right" vertical="center"/>
    </xf>
    <xf numFmtId="0" fontId="9" fillId="6" borderId="13" applyAlignment="1" pivotButton="0" quotePrefix="0" xfId="4">
      <alignment horizontal="left" vertical="center" wrapText="1"/>
    </xf>
    <xf numFmtId="165" fontId="7" fillId="6" borderId="13" applyAlignment="1" pivotButton="0" quotePrefix="0" xfId="1">
      <alignment horizontal="right" vertical="center"/>
    </xf>
    <xf numFmtId="0" fontId="9" fillId="5" borderId="13" applyAlignment="1" pivotButton="0" quotePrefix="0" xfId="4">
      <alignment horizontal="left" vertical="center" wrapText="1"/>
    </xf>
    <xf numFmtId="165" fontId="7" fillId="5" borderId="13" applyAlignment="1" pivotButton="0" quotePrefix="0" xfId="1">
      <alignment horizontal="right" vertical="center"/>
    </xf>
    <xf numFmtId="166" fontId="6" fillId="0" borderId="11" applyAlignment="1" pivotButton="0" quotePrefix="0" xfId="2">
      <alignment horizontal="center" vertical="center"/>
    </xf>
    <xf numFmtId="166" fontId="2" fillId="13" borderId="66" applyAlignment="1" pivotButton="0" quotePrefix="0" xfId="2">
      <alignment horizontal="center" vertical="center" wrapText="1"/>
    </xf>
    <xf numFmtId="166" fontId="6" fillId="0" borderId="49" applyAlignment="1" pivotButton="0" quotePrefix="0" xfId="2">
      <alignment horizontal="center" vertical="center"/>
    </xf>
    <xf numFmtId="166" fontId="6" fillId="0" borderId="13" applyAlignment="1" pivotButton="0" quotePrefix="0" xfId="2">
      <alignment horizontal="center" vertical="center"/>
    </xf>
    <xf numFmtId="166" fontId="6" fillId="0" borderId="11" applyAlignment="1" pivotButton="0" quotePrefix="0" xfId="2">
      <alignment horizontal="center" vertical="center" wrapText="1"/>
    </xf>
    <xf numFmtId="166" fontId="6" fillId="0" borderId="67" applyAlignment="1" pivotButton="0" quotePrefix="0" xfId="2">
      <alignment horizontal="center" vertical="center"/>
    </xf>
    <xf numFmtId="1" fontId="6" fillId="5" borderId="13" applyAlignment="1" pivotButton="0" quotePrefix="0" xfId="0">
      <alignment horizontal="center" vertical="center" wrapText="1"/>
    </xf>
    <xf numFmtId="1" fontId="6" fillId="5" borderId="13" applyAlignment="1" pivotButton="0" quotePrefix="0" xfId="0">
      <alignment horizontal="left" vertical="center" wrapText="1"/>
    </xf>
    <xf numFmtId="166" fontId="6" fillId="5" borderId="13" applyAlignment="1" pivotButton="0" quotePrefix="0" xfId="2">
      <alignment horizontal="center" vertical="center"/>
    </xf>
    <xf numFmtId="10" fontId="6" fillId="5" borderId="26" applyAlignment="1" pivotButton="0" quotePrefix="0" xfId="0">
      <alignment horizontal="center" vertical="center"/>
    </xf>
    <xf numFmtId="0" fontId="6" fillId="5" borderId="26" applyAlignment="1" pivotButton="0" quotePrefix="0" xfId="0">
      <alignment horizontal="center" vertical="center" wrapText="1"/>
    </xf>
    <xf numFmtId="166" fontId="6" fillId="5" borderId="49" applyAlignment="1" pivotButton="0" quotePrefix="0" xfId="2">
      <alignment horizontal="center" vertical="center"/>
    </xf>
    <xf numFmtId="166" fontId="6" fillId="5" borderId="27" applyAlignment="1" pivotButton="0" quotePrefix="0" xfId="2">
      <alignment horizontal="center" vertical="center"/>
    </xf>
    <xf numFmtId="166" fontId="2" fillId="13" borderId="24" applyAlignment="1" pivotButton="0" quotePrefix="0" xfId="2">
      <alignment horizontal="center" vertical="center" wrapText="1"/>
    </xf>
    <xf numFmtId="10" fontId="6" fillId="5" borderId="56" applyAlignment="1" pivotButton="0" quotePrefix="0" xfId="0">
      <alignment horizontal="center" vertical="center"/>
    </xf>
    <xf numFmtId="0" fontId="6" fillId="5" borderId="26" applyAlignment="1" pivotButton="0" quotePrefix="0" xfId="0">
      <alignment vertical="center" wrapText="1"/>
    </xf>
    <xf numFmtId="0" fontId="6" fillId="5" borderId="13" applyAlignment="1" pivotButton="0" quotePrefix="0" xfId="0">
      <alignment horizontal="left" vertical="center" wrapText="1"/>
    </xf>
    <xf numFmtId="0" fontId="5" fillId="13" borderId="24" applyAlignment="1" pivotButton="0" quotePrefix="0" xfId="0">
      <alignment horizontal="center" vertical="center" wrapText="1"/>
    </xf>
    <xf numFmtId="166" fontId="5" fillId="13" borderId="24" applyAlignment="1" pivotButton="0" quotePrefix="0" xfId="2">
      <alignment horizontal="center" vertical="center" wrapText="1"/>
    </xf>
    <xf numFmtId="1" fontId="6" fillId="5" borderId="26" applyAlignment="1" pivotButton="0" quotePrefix="0" xfId="0">
      <alignment horizontal="center" vertical="center" wrapText="1"/>
    </xf>
    <xf numFmtId="1" fontId="6" fillId="5" borderId="26" applyAlignment="1" pivotButton="0" quotePrefix="0" xfId="0">
      <alignment horizontal="left" vertical="center" wrapText="1"/>
    </xf>
    <xf numFmtId="166" fontId="6" fillId="5" borderId="11" applyAlignment="1" pivotButton="0" quotePrefix="0" xfId="2">
      <alignment horizontal="center" vertical="center"/>
    </xf>
    <xf numFmtId="166" fontId="6" fillId="5" borderId="26" applyAlignment="1" pivotButton="0" quotePrefix="0" xfId="2">
      <alignment horizontal="center" vertical="center"/>
    </xf>
    <xf numFmtId="0" fontId="2" fillId="14" borderId="24" applyAlignment="1" pivotButton="0" quotePrefix="0" xfId="0">
      <alignment horizontal="right" vertical="center"/>
    </xf>
    <xf numFmtId="166" fontId="2" fillId="14" borderId="9" applyAlignment="1" pivotButton="0" quotePrefix="0" xfId="2">
      <alignment horizontal="center" vertical="center"/>
    </xf>
    <xf numFmtId="166" fontId="2" fillId="14" borderId="24" applyAlignment="1" pivotButton="0" quotePrefix="0" xfId="2">
      <alignment horizontal="right" vertical="center"/>
    </xf>
    <xf numFmtId="0" fontId="2" fillId="4" borderId="29" applyAlignment="1" pivotButton="0" quotePrefix="0" xfId="0">
      <alignment horizontal="center" vertical="center" wrapText="1"/>
    </xf>
    <xf numFmtId="0" fontId="4" fillId="4" borderId="12" applyAlignment="1" pivotButton="0" quotePrefix="0" xfId="0">
      <alignment horizontal="right" vertical="center" wrapText="1"/>
    </xf>
    <xf numFmtId="0" fontId="5" fillId="5" borderId="43" applyAlignment="1" pivotButton="0" quotePrefix="0" xfId="1">
      <alignment horizontal="center" vertical="center"/>
    </xf>
    <xf numFmtId="0" fontId="6" fillId="22" borderId="26" applyAlignment="1" pivotButton="0" quotePrefix="0" xfId="0">
      <alignment horizontal="center" vertical="center" wrapText="1"/>
    </xf>
    <xf numFmtId="0" fontId="6" fillId="22" borderId="26" applyAlignment="1" pivotButton="0" quotePrefix="0" xfId="0">
      <alignment horizontal="left" vertical="center" wrapText="1"/>
    </xf>
    <xf numFmtId="166" fontId="6" fillId="22" borderId="49" applyAlignment="1" pivotButton="0" quotePrefix="0" xfId="2">
      <alignment horizontal="center" vertical="center"/>
    </xf>
    <xf numFmtId="10" fontId="17" fillId="22" borderId="49" applyAlignment="1" pivotButton="0" quotePrefix="0" xfId="3">
      <alignment horizontal="center" vertical="center"/>
    </xf>
    <xf numFmtId="166" fontId="17" fillId="22" borderId="27" applyAlignment="1" pivotButton="0" quotePrefix="0" xfId="2">
      <alignment horizontal="center" vertical="center"/>
    </xf>
    <xf numFmtId="0" fontId="6" fillId="22" borderId="13" applyAlignment="1" pivotButton="0" quotePrefix="0" xfId="0">
      <alignment horizontal="center" vertical="center" wrapText="1"/>
    </xf>
    <xf numFmtId="0" fontId="6" fillId="22" borderId="13" applyAlignment="1" pivotButton="0" quotePrefix="0" xfId="0">
      <alignment horizontal="left" vertical="center" wrapText="1"/>
    </xf>
    <xf numFmtId="10" fontId="17" fillId="22" borderId="13" applyAlignment="1" pivotButton="0" quotePrefix="0" xfId="3">
      <alignment horizontal="center" vertical="center"/>
    </xf>
    <xf numFmtId="166" fontId="6" fillId="22" borderId="13" applyAlignment="1" pivotButton="0" quotePrefix="0" xfId="2">
      <alignment horizontal="center" vertical="center"/>
    </xf>
    <xf numFmtId="166" fontId="17" fillId="22" borderId="13" applyAlignment="1" pivotButton="0" quotePrefix="0" xfId="2">
      <alignment horizontal="center" vertical="center"/>
    </xf>
    <xf numFmtId="10" fontId="17" fillId="22" borderId="26" applyAlignment="1" pivotButton="0" quotePrefix="0" xfId="3">
      <alignment horizontal="center" vertical="center"/>
    </xf>
    <xf numFmtId="166" fontId="6" fillId="22" borderId="26" applyAlignment="1" pivotButton="0" quotePrefix="0" xfId="2">
      <alignment horizontal="center" vertical="center"/>
    </xf>
    <xf numFmtId="166" fontId="17" fillId="22" borderId="26" applyAlignment="1" pivotButton="0" quotePrefix="0" xfId="2">
      <alignment horizontal="center" vertical="center"/>
    </xf>
    <xf numFmtId="0" fontId="50" fillId="22" borderId="26" applyAlignment="1" applyProtection="1" pivotButton="0" quotePrefix="0" xfId="0">
      <alignment horizontal="center" vertical="center" wrapText="1"/>
      <protection locked="0" hidden="0"/>
    </xf>
    <xf numFmtId="0" fontId="50" fillId="0" borderId="13" applyAlignment="1" applyProtection="1" pivotButton="0" quotePrefix="0" xfId="0">
      <alignment horizontal="center" vertical="center" wrapText="1"/>
      <protection locked="0" hidden="0"/>
    </xf>
    <xf numFmtId="1" fontId="53" fillId="3" borderId="0" applyAlignment="1" pivotButton="0" quotePrefix="0" xfId="4">
      <alignment horizontal="center" vertical="center" wrapText="1"/>
    </xf>
    <xf numFmtId="1" fontId="54" fillId="3" borderId="0" applyAlignment="1" pivotButton="0" quotePrefix="0" xfId="4">
      <alignment horizontal="center" vertical="center" wrapText="1"/>
    </xf>
    <xf numFmtId="0" fontId="50" fillId="0" borderId="26" applyAlignment="1" applyProtection="1" pivotButton="0" quotePrefix="0" xfId="0">
      <alignment horizontal="center" vertical="center" wrapText="1"/>
      <protection locked="0" hidden="0"/>
    </xf>
    <xf numFmtId="0" fontId="50" fillId="0" borderId="19" applyAlignment="1" applyProtection="1" pivotButton="0" quotePrefix="0" xfId="0">
      <alignment horizontal="center" vertical="center" wrapText="1"/>
      <protection locked="0" hidden="0"/>
    </xf>
    <xf numFmtId="0" fontId="32" fillId="0" borderId="8" applyAlignment="1" pivotButton="0" quotePrefix="0" xfId="0">
      <alignment horizontal="center" vertical="center"/>
    </xf>
    <xf numFmtId="0" fontId="32" fillId="5" borderId="8" applyAlignment="1" pivotButton="0" quotePrefix="0" xfId="0">
      <alignment horizontal="center" vertical="center"/>
    </xf>
    <xf numFmtId="0" fontId="32" fillId="0" borderId="0" applyAlignment="1" pivotButton="0" quotePrefix="0" xfId="0">
      <alignment horizontal="center" vertical="center"/>
    </xf>
    <xf numFmtId="0" fontId="52" fillId="0" borderId="0" applyAlignment="1" pivotButton="0" quotePrefix="0" xfId="0">
      <alignment horizontal="center" vertical="center"/>
    </xf>
    <xf numFmtId="0" fontId="32" fillId="0" borderId="0" applyAlignment="1" pivotButton="0" quotePrefix="0" xfId="0">
      <alignment horizontal="center" vertical="center" wrapText="1"/>
    </xf>
    <xf numFmtId="0" fontId="17" fillId="22" borderId="26" applyAlignment="1" pivotButton="0" quotePrefix="0" xfId="0">
      <alignment horizontal="left" vertical="center" wrapText="1"/>
    </xf>
    <xf numFmtId="1" fontId="17" fillId="22" borderId="25" applyAlignment="1" pivotButton="0" quotePrefix="0" xfId="0">
      <alignment horizontal="left" vertical="center" wrapText="1"/>
    </xf>
    <xf numFmtId="0" fontId="50" fillId="22" borderId="13" applyAlignment="1" applyProtection="1" pivotButton="0" quotePrefix="0" xfId="0">
      <alignment horizontal="center" vertical="center" wrapText="1"/>
      <protection locked="0" hidden="0"/>
    </xf>
    <xf numFmtId="1" fontId="17" fillId="22" borderId="13" applyAlignment="1" pivotButton="0" quotePrefix="0" xfId="0">
      <alignment horizontal="left" vertical="center" wrapText="1"/>
    </xf>
    <xf numFmtId="1" fontId="17" fillId="22" borderId="56" applyAlignment="1" pivotButton="0" quotePrefix="0" xfId="0">
      <alignment horizontal="left" vertical="center" wrapText="1"/>
    </xf>
    <xf numFmtId="2" fontId="6" fillId="5" borderId="13" applyAlignment="1" pivotButton="0" quotePrefix="0" xfId="0">
      <alignment horizontal="center" vertical="center" wrapText="1"/>
    </xf>
    <xf numFmtId="0" fontId="17" fillId="22" borderId="13" applyAlignment="1" pivotButton="0" quotePrefix="0" xfId="0">
      <alignment horizontal="left" vertical="center" wrapText="1"/>
    </xf>
    <xf numFmtId="1" fontId="6" fillId="22" borderId="26" applyAlignment="1" pivotButton="0" quotePrefix="0" xfId="0">
      <alignment horizontal="center" vertical="center" wrapText="1"/>
    </xf>
    <xf numFmtId="166" fontId="6" fillId="0" borderId="13" applyAlignment="1" pivotButton="0" quotePrefix="0" xfId="2">
      <alignment horizontal="center" vertical="center"/>
    </xf>
    <xf numFmtId="1" fontId="6" fillId="22" borderId="13" applyAlignment="1" pivotButton="0" quotePrefix="0" xfId="0">
      <alignment horizontal="center" vertical="center" wrapText="1"/>
    </xf>
    <xf numFmtId="1" fontId="6" fillId="22" borderId="26" applyAlignment="1" pivotButton="0" quotePrefix="0" xfId="0">
      <alignment horizontal="left" vertical="center" wrapText="1"/>
    </xf>
    <xf numFmtId="1" fontId="6" fillId="22" borderId="13" applyAlignment="1" pivotButton="0" quotePrefix="0" xfId="0">
      <alignment horizontal="left" vertical="center" wrapText="1"/>
    </xf>
    <xf numFmtId="1" fontId="17" fillId="22" borderId="26" applyAlignment="1" pivotButton="0" quotePrefix="0" xfId="0">
      <alignment horizontal="left" vertical="center" wrapText="1"/>
    </xf>
    <xf numFmtId="166" fontId="6" fillId="22" borderId="15" applyAlignment="1" pivotButton="0" quotePrefix="0" xfId="2">
      <alignment horizontal="center" vertical="center"/>
    </xf>
    <xf numFmtId="166" fontId="6" fillId="0" borderId="13" applyAlignment="1" pivotButton="0" quotePrefix="0" xfId="2">
      <alignment horizontal="center" vertical="center"/>
    </xf>
    <xf numFmtId="0" fontId="6" fillId="22" borderId="56" applyAlignment="1" pivotButton="0" quotePrefix="0" xfId="0">
      <alignment horizontal="left" vertical="center" wrapText="1"/>
    </xf>
    <xf numFmtId="166" fontId="17" fillId="22" borderId="15" applyAlignment="1" pivotButton="0" quotePrefix="0" xfId="2">
      <alignment horizontal="center" vertical="center"/>
    </xf>
    <xf numFmtId="1" fontId="17" fillId="22" borderId="46" applyAlignment="1" pivotButton="0" quotePrefix="0" xfId="0">
      <alignment horizontal="left" vertical="center" wrapText="1"/>
    </xf>
    <xf numFmtId="0" fontId="6" fillId="5" borderId="56" applyAlignment="1" pivotButton="0" quotePrefix="0" xfId="0">
      <alignment horizontal="center" vertical="center" wrapText="1"/>
    </xf>
    <xf numFmtId="0" fontId="50" fillId="22" borderId="56" applyAlignment="1" applyProtection="1" pivotButton="0" quotePrefix="0" xfId="0">
      <alignment horizontal="center" vertical="center" wrapText="1"/>
      <protection locked="0" hidden="0"/>
    </xf>
    <xf numFmtId="166" fontId="6" fillId="22" borderId="56" applyAlignment="1" pivotButton="0" quotePrefix="0" xfId="2">
      <alignment horizontal="center" vertical="center"/>
    </xf>
    <xf numFmtId="166" fontId="17" fillId="22" borderId="56" applyAlignment="1" pivotButton="0" quotePrefix="0" xfId="2">
      <alignment horizontal="center" vertical="center"/>
    </xf>
    <xf numFmtId="0" fontId="32" fillId="0" borderId="13" applyAlignment="1" pivotButton="0" quotePrefix="0" xfId="0">
      <alignment horizontal="center" vertical="center" wrapText="1"/>
    </xf>
    <xf numFmtId="1" fontId="17" fillId="5" borderId="19" applyAlignment="1" pivotButton="0" quotePrefix="0" xfId="0">
      <alignment horizontal="left" vertical="center" wrapText="1"/>
    </xf>
    <xf numFmtId="0" fontId="6" fillId="5" borderId="19" applyAlignment="1" pivotButton="0" quotePrefix="0" xfId="0">
      <alignment horizontal="center" vertical="center" wrapText="1"/>
    </xf>
    <xf numFmtId="0" fontId="6" fillId="5" borderId="19" applyAlignment="1" pivotButton="0" quotePrefix="0" xfId="0">
      <alignment vertical="center" wrapText="1"/>
    </xf>
    <xf numFmtId="1" fontId="6" fillId="22" borderId="56" applyAlignment="1" pivotButton="0" quotePrefix="0" xfId="0">
      <alignment horizontal="center" vertical="center" wrapText="1"/>
    </xf>
    <xf numFmtId="0" fontId="6" fillId="22" borderId="56" applyAlignment="1" pivotButton="0" quotePrefix="0" xfId="0">
      <alignment horizontal="center" vertical="center" wrapText="1"/>
    </xf>
    <xf numFmtId="166" fontId="0" fillId="0" borderId="0" pivotButton="0" quotePrefix="0" xfId="0"/>
    <xf numFmtId="0" fontId="9" fillId="0" borderId="13" applyAlignment="1" pivotButton="0" quotePrefix="0" xfId="0">
      <alignment horizontal="center" vertical="center" wrapText="1"/>
    </xf>
    <xf numFmtId="0" fontId="9" fillId="22" borderId="13" applyAlignment="1" pivotButton="0" quotePrefix="0" xfId="0">
      <alignment horizontal="center" vertical="center" wrapText="1"/>
    </xf>
    <xf numFmtId="0" fontId="5" fillId="13" borderId="21" applyAlignment="1" pivotButton="0" quotePrefix="0" xfId="0">
      <alignment horizontal="left" vertical="center" wrapText="1"/>
    </xf>
    <xf numFmtId="0" fontId="5" fillId="13" borderId="48" applyAlignment="1" pivotButton="0" quotePrefix="0" xfId="0">
      <alignment horizontal="center" vertical="center" wrapText="1"/>
    </xf>
    <xf numFmtId="0" fontId="5" fillId="4" borderId="48" applyAlignment="1" pivotButton="0" quotePrefix="0" xfId="0">
      <alignment horizontal="center" vertical="center" wrapText="1"/>
    </xf>
    <xf numFmtId="0" fontId="21" fillId="6" borderId="15" applyAlignment="1" pivotButton="0" quotePrefix="0" xfId="0">
      <alignment horizontal="right" vertical="center" wrapText="1"/>
    </xf>
    <xf numFmtId="0" fontId="21" fillId="6" borderId="38" applyAlignment="1" pivotButton="0" quotePrefix="0" xfId="0">
      <alignment horizontal="right" vertical="center" wrapText="1"/>
    </xf>
    <xf numFmtId="0" fontId="6" fillId="24" borderId="26" applyAlignment="1" pivotButton="0" quotePrefix="0" xfId="0">
      <alignment horizontal="center" vertical="center" wrapText="1"/>
    </xf>
    <xf numFmtId="0" fontId="6" fillId="24" borderId="13" applyAlignment="1" pivotButton="0" quotePrefix="0" xfId="0">
      <alignment horizontal="center" vertical="center" wrapText="1"/>
    </xf>
    <xf numFmtId="173" fontId="6" fillId="5" borderId="26" applyAlignment="1" pivotButton="0" quotePrefix="0" xfId="0">
      <alignment horizontal="center" vertical="center" wrapText="1"/>
    </xf>
    <xf numFmtId="173" fontId="6" fillId="22" borderId="26" applyAlignment="1" pivotButton="0" quotePrefix="0" xfId="0">
      <alignment horizontal="center" vertical="center" wrapText="1"/>
    </xf>
    <xf numFmtId="166" fontId="6" fillId="0" borderId="26" applyAlignment="1" pivotButton="0" quotePrefix="0" xfId="2">
      <alignment horizontal="center" vertical="center"/>
    </xf>
    <xf numFmtId="166" fontId="2" fillId="13" borderId="21" applyAlignment="1" pivotButton="0" quotePrefix="0" xfId="2">
      <alignment horizontal="center" vertical="center" wrapText="1"/>
    </xf>
    <xf numFmtId="166" fontId="6" fillId="5" borderId="26" applyAlignment="1" pivotButton="0" quotePrefix="0" xfId="2">
      <alignment horizontal="center" vertical="center"/>
    </xf>
    <xf numFmtId="0" fontId="5" fillId="13" borderId="21" applyAlignment="1" pivotButton="0" quotePrefix="0" xfId="0">
      <alignment horizontal="center" vertical="center" wrapText="1"/>
    </xf>
    <xf numFmtId="166" fontId="17" fillId="22" borderId="38" applyAlignment="1" pivotButton="0" quotePrefix="0" xfId="2">
      <alignment horizontal="center" vertical="center"/>
    </xf>
    <xf numFmtId="1" fontId="6" fillId="5" borderId="56" applyAlignment="1" pivotButton="0" quotePrefix="0" xfId="0">
      <alignment horizontal="center" vertical="center" wrapText="1"/>
    </xf>
    <xf numFmtId="173" fontId="6" fillId="5" borderId="13" applyAlignment="1" pivotButton="0" quotePrefix="0" xfId="0">
      <alignment horizontal="center" vertical="center" wrapText="1"/>
    </xf>
    <xf numFmtId="166" fontId="17" fillId="5" borderId="13" applyAlignment="1" pivotButton="0" quotePrefix="0" xfId="2">
      <alignment horizontal="center" vertical="center"/>
    </xf>
    <xf numFmtId="166" fontId="5" fillId="13" borderId="21" applyAlignment="1" pivotButton="0" quotePrefix="0" xfId="0">
      <alignment horizontal="center" vertical="center" wrapText="1"/>
    </xf>
    <xf numFmtId="173" fontId="6" fillId="22" borderId="13" applyAlignment="1" pivotButton="0" quotePrefix="0" xfId="0">
      <alignment horizontal="center" vertical="center" wrapText="1"/>
    </xf>
    <xf numFmtId="0" fontId="6" fillId="20" borderId="13" applyAlignment="1" pivotButton="0" quotePrefix="0" xfId="0">
      <alignment horizontal="center" vertical="center" wrapText="1"/>
    </xf>
    <xf numFmtId="0" fontId="6" fillId="23" borderId="13" applyAlignment="1" pivotButton="0" quotePrefix="0" xfId="0">
      <alignment horizontal="center" vertical="center" wrapText="1"/>
    </xf>
    <xf numFmtId="166" fontId="6" fillId="0" borderId="0" applyAlignment="1" pivotButton="0" quotePrefix="0" xfId="0">
      <alignment horizontal="center" vertical="center"/>
    </xf>
    <xf numFmtId="0" fontId="6" fillId="23" borderId="26" applyAlignment="1" pivotButton="0" quotePrefix="0" xfId="0">
      <alignment horizontal="center" vertical="center" wrapText="1"/>
    </xf>
    <xf numFmtId="165" fontId="6" fillId="0" borderId="13" pivotButton="0" quotePrefix="0" xfId="1"/>
    <xf numFmtId="166" fontId="0" fillId="0" borderId="0" applyAlignment="1" pivotButton="0" quotePrefix="0" xfId="0">
      <alignment horizontal="center" vertical="center"/>
    </xf>
    <xf numFmtId="0" fontId="6" fillId="20" borderId="26" applyAlignment="1" applyProtection="1" pivotButton="0" quotePrefix="0" xfId="0">
      <alignment horizontal="center" vertical="center" wrapText="1"/>
      <protection locked="0" hidden="0"/>
    </xf>
    <xf numFmtId="0" fontId="6" fillId="23" borderId="26" applyAlignment="1" applyProtection="1" pivotButton="0" quotePrefix="0" xfId="0">
      <alignment horizontal="center" vertical="center" wrapText="1"/>
      <protection locked="0" hidden="0"/>
    </xf>
    <xf numFmtId="0" fontId="6" fillId="20" borderId="19" applyAlignment="1" pivotButton="0" quotePrefix="0" xfId="0">
      <alignment horizontal="center" vertical="center" wrapText="1"/>
    </xf>
    <xf numFmtId="0" fontId="6" fillId="23" borderId="19" applyAlignment="1" pivotButton="0" quotePrefix="0" xfId="0">
      <alignment horizontal="center" vertical="center" wrapText="1"/>
    </xf>
    <xf numFmtId="0" fontId="6" fillId="20" borderId="26" applyAlignment="1" pivotButton="0" quotePrefix="0" xfId="0">
      <alignment horizontal="center" vertical="center" wrapText="1"/>
    </xf>
    <xf numFmtId="173" fontId="6" fillId="5" borderId="19" applyAlignment="1" pivotButton="0" quotePrefix="0" xfId="0">
      <alignment horizontal="center" vertical="center" wrapText="1"/>
    </xf>
    <xf numFmtId="0" fontId="6" fillId="0" borderId="25" applyAlignment="1" pivotButton="0" quotePrefix="0" xfId="0">
      <alignment horizontal="center" vertical="center"/>
    </xf>
    <xf numFmtId="0" fontId="6" fillId="0" borderId="13" applyAlignment="1" pivotButton="0" quotePrefix="0" xfId="0">
      <alignment horizontal="center" vertical="center"/>
    </xf>
    <xf numFmtId="173" fontId="6" fillId="20" borderId="26" applyAlignment="1" pivotButton="0" quotePrefix="0" xfId="0">
      <alignment horizontal="center" vertical="center" wrapText="1"/>
    </xf>
    <xf numFmtId="167" fontId="6" fillId="16" borderId="0" applyAlignment="1" pivotButton="0" quotePrefix="0" xfId="0">
      <alignment vertical="center"/>
    </xf>
    <xf numFmtId="167" fontId="6" fillId="16" borderId="40" applyAlignment="1" pivotButton="0" quotePrefix="0" xfId="0">
      <alignment vertical="center"/>
    </xf>
    <xf numFmtId="167" fontId="6" fillId="16" borderId="41" applyAlignment="1" pivotButton="0" quotePrefix="0" xfId="0">
      <alignment vertical="center"/>
    </xf>
    <xf numFmtId="166" fontId="2" fillId="13" borderId="7" applyAlignment="1" pivotButton="0" quotePrefix="0" xfId="2">
      <alignment vertical="center" wrapText="1"/>
    </xf>
    <xf numFmtId="165" fontId="0" fillId="0" borderId="0" pivotButton="0" quotePrefix="0" xfId="0"/>
    <xf numFmtId="165" fontId="7" fillId="6" borderId="13" applyAlignment="1" pivotButton="0" quotePrefix="0" xfId="1">
      <alignment vertical="center"/>
    </xf>
    <xf numFmtId="173" fontId="6" fillId="3" borderId="13" applyAlignment="1" pivotButton="0" quotePrefix="0" xfId="0">
      <alignment horizontal="center" vertical="center" wrapText="1"/>
    </xf>
    <xf numFmtId="166" fontId="0" fillId="0" borderId="0" pivotButton="0" quotePrefix="0" xfId="2"/>
    <xf numFmtId="0" fontId="17" fillId="20" borderId="13" applyAlignment="1" pivotButton="0" quotePrefix="0" xfId="0">
      <alignment horizontal="center" vertical="center" wrapText="1"/>
    </xf>
    <xf numFmtId="0" fontId="17" fillId="23" borderId="13" applyAlignment="1" pivotButton="0" quotePrefix="0" xfId="0">
      <alignment horizontal="center" vertical="center" wrapText="1"/>
    </xf>
    <xf numFmtId="0" fontId="17" fillId="24" borderId="13" applyAlignment="1" pivotButton="0" quotePrefix="0" xfId="0">
      <alignment horizontal="center" vertical="center" wrapText="1"/>
    </xf>
    <xf numFmtId="0" fontId="6" fillId="5" borderId="19" applyAlignment="1" pivotButton="0" quotePrefix="0" xfId="0">
      <alignment horizontal="left" vertical="center" wrapText="1"/>
    </xf>
    <xf numFmtId="0" fontId="50" fillId="5" borderId="13" applyAlignment="1" applyProtection="1" pivotButton="0" quotePrefix="0" xfId="0">
      <alignment horizontal="center" vertical="center" wrapText="1"/>
      <protection locked="0" hidden="0"/>
    </xf>
    <xf numFmtId="0" fontId="50" fillId="5" borderId="0" applyAlignment="1" applyProtection="1" pivotButton="0" quotePrefix="0" xfId="0">
      <alignment horizontal="center" vertical="center" wrapText="1"/>
      <protection locked="0" hidden="0"/>
    </xf>
    <xf numFmtId="173" fontId="6" fillId="5" borderId="56" applyAlignment="1" pivotButton="0" quotePrefix="0" xfId="0">
      <alignment horizontal="center" vertical="center" wrapText="1"/>
    </xf>
    <xf numFmtId="4" fontId="0" fillId="0" borderId="0" pivotButton="0" quotePrefix="0" xfId="0"/>
    <xf numFmtId="166" fontId="2" fillId="13" borderId="24" applyAlignment="1" pivotButton="0" quotePrefix="0" xfId="2">
      <alignment vertical="center" wrapText="1"/>
    </xf>
    <xf numFmtId="9" fontId="0" fillId="0" borderId="0" pivotButton="0" quotePrefix="0" xfId="3"/>
    <xf numFmtId="174" fontId="0" fillId="0" borderId="0" pivotButton="0" quotePrefix="0" xfId="3"/>
    <xf numFmtId="166" fontId="2" fillId="13" borderId="9" applyAlignment="1" pivotButton="0" quotePrefix="0" xfId="2">
      <alignment horizontal="center" vertical="center" wrapText="1"/>
    </xf>
    <xf numFmtId="0" fontId="5" fillId="13" borderId="9" applyAlignment="1" pivotButton="0" quotePrefix="0" xfId="0">
      <alignment horizontal="center" vertical="center" wrapText="1"/>
    </xf>
    <xf numFmtId="0" fontId="12" fillId="23" borderId="68" applyAlignment="1" pivotButton="0" quotePrefix="0" xfId="9">
      <alignment horizontal="center" vertical="center" wrapText="1"/>
    </xf>
    <xf numFmtId="0" fontId="12" fillId="23" borderId="17" applyAlignment="1" pivotButton="0" quotePrefix="0" xfId="9">
      <alignment horizontal="center" vertical="center" wrapText="1"/>
    </xf>
    <xf numFmtId="0" fontId="12" fillId="23" borderId="69" applyAlignment="1" pivotButton="0" quotePrefix="0" xfId="9">
      <alignment horizontal="center" vertical="center" wrapText="1"/>
    </xf>
    <xf numFmtId="0" fontId="12" fillId="23" borderId="39" applyAlignment="1" pivotButton="0" quotePrefix="0" xfId="9">
      <alignment horizontal="center" vertical="center" wrapText="1"/>
    </xf>
    <xf numFmtId="0" fontId="5" fillId="20" borderId="48" applyAlignment="1" pivotButton="0" quotePrefix="0" xfId="0">
      <alignment horizontal="center" vertical="center" wrapText="1"/>
    </xf>
    <xf numFmtId="166" fontId="6" fillId="26" borderId="27" applyAlignment="1" pivotButton="0" quotePrefix="0" xfId="2">
      <alignment horizontal="center" vertical="center"/>
    </xf>
    <xf numFmtId="0" fontId="50" fillId="22" borderId="52" applyAlignment="1" applyProtection="1" pivotButton="0" quotePrefix="0" xfId="0">
      <alignment horizontal="center" vertical="center" wrapText="1"/>
      <protection locked="0" hidden="0"/>
    </xf>
    <xf numFmtId="0" fontId="50" fillId="0" borderId="52" applyAlignment="1" applyProtection="1" pivotButton="0" quotePrefix="0" xfId="0">
      <alignment horizontal="center" vertical="center" wrapText="1"/>
      <protection locked="0" hidden="0"/>
    </xf>
    <xf numFmtId="166" fontId="6" fillId="0" borderId="47" applyAlignment="1" pivotButton="0" quotePrefix="0" xfId="2">
      <alignment horizontal="center" vertical="center"/>
    </xf>
    <xf numFmtId="166" fontId="6" fillId="22" borderId="27" applyAlignment="1" pivotButton="0" quotePrefix="0" xfId="2">
      <alignment horizontal="center" vertical="center"/>
    </xf>
    <xf numFmtId="0" fontId="50" fillId="22" borderId="12" applyAlignment="1" applyProtection="1" pivotButton="0" quotePrefix="0" xfId="0">
      <alignment horizontal="center" vertical="center" wrapText="1"/>
      <protection locked="0" hidden="0"/>
    </xf>
    <xf numFmtId="166" fontId="6" fillId="22" borderId="13" applyAlignment="1" pivotButton="0" quotePrefix="0" xfId="2">
      <alignment horizontal="center" vertical="center"/>
    </xf>
    <xf numFmtId="0" fontId="50" fillId="22" borderId="29" applyAlignment="1" applyProtection="1" pivotButton="0" quotePrefix="0" xfId="0">
      <alignment horizontal="center" vertical="center" wrapText="1"/>
      <protection locked="0" hidden="0"/>
    </xf>
    <xf numFmtId="0" fontId="50" fillId="0" borderId="70" applyAlignment="1" applyProtection="1" pivotButton="0" quotePrefix="0" xfId="0">
      <alignment horizontal="center" vertical="center" wrapText="1"/>
      <protection locked="0" hidden="0"/>
    </xf>
    <xf numFmtId="0" fontId="50" fillId="0" borderId="63" applyAlignment="1" applyProtection="1" pivotButton="0" quotePrefix="0" xfId="0">
      <alignment horizontal="center" vertical="center" wrapText="1"/>
      <protection locked="0" hidden="0"/>
    </xf>
    <xf numFmtId="0" fontId="50" fillId="0" borderId="12" applyAlignment="1" applyProtection="1" pivotButton="0" quotePrefix="0" xfId="0">
      <alignment horizontal="center" vertical="center" wrapText="1"/>
      <protection locked="0" hidden="0"/>
    </xf>
    <xf numFmtId="0" fontId="6" fillId="22" borderId="12" applyAlignment="1" pivotButton="0" quotePrefix="0" xfId="0">
      <alignment horizontal="center" vertical="center" wrapText="1"/>
    </xf>
    <xf numFmtId="0" fontId="50" fillId="5" borderId="52" applyAlignment="1" applyProtection="1" pivotButton="0" quotePrefix="0" xfId="0">
      <alignment horizontal="center" vertical="center" wrapText="1"/>
      <protection locked="0" hidden="0"/>
    </xf>
    <xf numFmtId="166" fontId="6" fillId="5" borderId="47" applyAlignment="1" pivotButton="0" quotePrefix="0" xfId="2">
      <alignment horizontal="center" vertical="center"/>
    </xf>
    <xf numFmtId="0" fontId="50" fillId="5" borderId="12" applyAlignment="1" applyProtection="1" pivotButton="0" quotePrefix="0" xfId="0">
      <alignment horizontal="center" vertical="center" wrapText="1"/>
      <protection locked="0" hidden="0"/>
    </xf>
    <xf numFmtId="166" fontId="6" fillId="0" borderId="47" applyAlignment="1" pivotButton="0" quotePrefix="0" xfId="2">
      <alignment horizontal="center" vertical="center"/>
    </xf>
    <xf numFmtId="166" fontId="6" fillId="0" borderId="20" applyAlignment="1" pivotButton="0" quotePrefix="0" xfId="2">
      <alignment horizontal="center" vertical="center"/>
    </xf>
    <xf numFmtId="166" fontId="5" fillId="13" borderId="9" applyAlignment="1" pivotButton="0" quotePrefix="0" xfId="0">
      <alignment horizontal="center" vertical="center" wrapText="1"/>
    </xf>
    <xf numFmtId="0" fontId="50" fillId="22" borderId="63" applyAlignment="1" applyProtection="1" pivotButton="0" quotePrefix="0" xfId="0">
      <alignment horizontal="center" vertical="center" wrapText="1"/>
      <protection locked="0" hidden="0"/>
    </xf>
    <xf numFmtId="166" fontId="17" fillId="22" borderId="47" applyAlignment="1" pivotButton="0" quotePrefix="0" xfId="2">
      <alignment horizontal="center" vertical="center"/>
    </xf>
    <xf numFmtId="165" fontId="6" fillId="0" borderId="49" pivotButton="0" quotePrefix="0" xfId="1"/>
    <xf numFmtId="165" fontId="6" fillId="0" borderId="68" pivotButton="0" quotePrefix="0" xfId="1"/>
    <xf numFmtId="165" fontId="6" fillId="0" borderId="73" pivotButton="0" quotePrefix="0" xfId="1"/>
    <xf numFmtId="165" fontId="6" fillId="0" borderId="69" pivotButton="0" quotePrefix="0" xfId="1"/>
    <xf numFmtId="166" fontId="6" fillId="26" borderId="13" applyAlignment="1" pivotButton="0" quotePrefix="0" xfId="2">
      <alignment horizontal="center" vertical="center"/>
    </xf>
    <xf numFmtId="0" fontId="0" fillId="0" borderId="0" pivotButton="0" quotePrefix="0" xfId="15"/>
    <xf numFmtId="0" fontId="42" fillId="0" borderId="0" pivotButton="0" quotePrefix="0" xfId="15"/>
    <xf numFmtId="0" fontId="42" fillId="0" borderId="75" pivotButton="0" quotePrefix="0" xfId="15"/>
    <xf numFmtId="14" fontId="39" fillId="0" borderId="24" applyAlignment="1" pivotButton="0" quotePrefix="0" xfId="15">
      <alignment horizontal="center" vertical="center"/>
    </xf>
    <xf numFmtId="0" fontId="33" fillId="0" borderId="8" applyAlignment="1" pivotButton="0" quotePrefix="0" xfId="15">
      <alignment horizontal="center" vertical="center"/>
    </xf>
    <xf numFmtId="0" fontId="33" fillId="22" borderId="24" applyAlignment="1" pivotButton="0" quotePrefix="0" xfId="15">
      <alignment horizontal="center" vertical="center"/>
    </xf>
    <xf numFmtId="0" fontId="0" fillId="0" borderId="94" applyAlignment="1" pivotButton="0" quotePrefix="0" xfId="15">
      <alignment horizontal="center" vertical="center"/>
    </xf>
    <xf numFmtId="0" fontId="0" fillId="0" borderId="54" applyAlignment="1" pivotButton="0" quotePrefix="0" xfId="15">
      <alignment horizontal="center" vertical="center"/>
    </xf>
    <xf numFmtId="0" fontId="0" fillId="30" borderId="95" applyAlignment="1" pivotButton="0" quotePrefix="0" xfId="15">
      <alignment horizontal="center" vertical="center"/>
    </xf>
    <xf numFmtId="0" fontId="0" fillId="0" borderId="26" applyAlignment="1" pivotButton="0" quotePrefix="0" xfId="15">
      <alignment horizontal="center" vertical="center" wrapText="1"/>
    </xf>
    <xf numFmtId="166" fontId="0" fillId="0" borderId="54" applyAlignment="1" pivotButton="0" quotePrefix="0" xfId="15">
      <alignment horizontal="center" vertical="center" wrapText="1"/>
    </xf>
    <xf numFmtId="166" fontId="42" fillId="0" borderId="97" applyAlignment="1" pivotButton="0" quotePrefix="0" xfId="15">
      <alignment horizontal="center" vertical="center"/>
    </xf>
    <xf numFmtId="166" fontId="42" fillId="0" borderId="96" applyAlignment="1" pivotButton="0" quotePrefix="0" xfId="15">
      <alignment horizontal="center" vertical="center"/>
    </xf>
    <xf numFmtId="166" fontId="42" fillId="22" borderId="98" applyAlignment="1" pivotButton="0" quotePrefix="0" xfId="15">
      <alignment horizontal="center" vertical="center"/>
    </xf>
    <xf numFmtId="166" fontId="42" fillId="28" borderId="62" applyAlignment="1" pivotButton="0" quotePrefix="0" xfId="15">
      <alignment horizontal="center" vertical="center"/>
    </xf>
    <xf numFmtId="166" fontId="42" fillId="28" borderId="99" applyAlignment="1" pivotButton="0" quotePrefix="0" xfId="15">
      <alignment horizontal="center" vertical="center"/>
    </xf>
    <xf numFmtId="166" fontId="42" fillId="11" borderId="25" applyAlignment="1" pivotButton="0" quotePrefix="0" xfId="15">
      <alignment horizontal="center" vertical="center"/>
    </xf>
    <xf numFmtId="166" fontId="42" fillId="11" borderId="26" applyAlignment="1" pivotButton="0" quotePrefix="0" xfId="15">
      <alignment horizontal="center" vertical="center"/>
    </xf>
    <xf numFmtId="167" fontId="0" fillId="11" borderId="27" applyAlignment="1" pivotButton="0" quotePrefix="0" xfId="15">
      <alignment horizontal="center" vertical="center"/>
    </xf>
    <xf numFmtId="0" fontId="0" fillId="29" borderId="25" applyAlignment="1" pivotButton="0" quotePrefix="0" xfId="15">
      <alignment horizontal="center" vertical="center"/>
    </xf>
    <xf numFmtId="0" fontId="0" fillId="29" borderId="27" applyAlignment="1" pivotButton="0" quotePrefix="0" xfId="15">
      <alignment vertical="center" wrapText="1"/>
    </xf>
    <xf numFmtId="0" fontId="0" fillId="30" borderId="13" applyAlignment="1" pivotButton="0" quotePrefix="0" xfId="15">
      <alignment horizontal="center" vertical="center"/>
    </xf>
    <xf numFmtId="0" fontId="0" fillId="0" borderId="13" applyAlignment="1" pivotButton="0" quotePrefix="0" xfId="15">
      <alignment horizontal="center" vertical="center" wrapText="1"/>
    </xf>
    <xf numFmtId="166" fontId="0" fillId="0" borderId="10" applyAlignment="1" pivotButton="0" quotePrefix="0" xfId="15">
      <alignment horizontal="center" vertical="center" wrapText="1"/>
    </xf>
    <xf numFmtId="166" fontId="42" fillId="0" borderId="100" applyAlignment="1" pivotButton="0" quotePrefix="0" xfId="15">
      <alignment horizontal="center" vertical="center"/>
    </xf>
    <xf numFmtId="166" fontId="42" fillId="22" borderId="73" applyAlignment="1" pivotButton="0" quotePrefix="0" xfId="15">
      <alignment horizontal="center" vertical="center"/>
    </xf>
    <xf numFmtId="166" fontId="42" fillId="28" borderId="51" applyAlignment="1" pivotButton="0" quotePrefix="0" xfId="15">
      <alignment horizontal="center" vertical="center"/>
    </xf>
    <xf numFmtId="166" fontId="42" fillId="28" borderId="47" applyAlignment="1" pivotButton="0" quotePrefix="0" xfId="15">
      <alignment horizontal="center" vertical="center"/>
    </xf>
    <xf numFmtId="166" fontId="42" fillId="11" borderId="46" applyAlignment="1" pivotButton="0" quotePrefix="0" xfId="15">
      <alignment horizontal="center" vertical="center"/>
    </xf>
    <xf numFmtId="166" fontId="42" fillId="11" borderId="13" applyAlignment="1" pivotButton="0" quotePrefix="0" xfId="15">
      <alignment horizontal="center" vertical="center"/>
    </xf>
    <xf numFmtId="167" fontId="0" fillId="11" borderId="47" applyAlignment="1" pivotButton="0" quotePrefix="0" xfId="15">
      <alignment horizontal="center" vertical="center"/>
    </xf>
    <xf numFmtId="0" fontId="0" fillId="29" borderId="46" applyAlignment="1" pivotButton="0" quotePrefix="0" xfId="15">
      <alignment horizontal="center" vertical="center"/>
    </xf>
    <xf numFmtId="0" fontId="0" fillId="29" borderId="47" applyAlignment="1" pivotButton="0" quotePrefix="0" xfId="15">
      <alignment vertical="center" wrapText="1"/>
    </xf>
    <xf numFmtId="0" fontId="0" fillId="0" borderId="101" applyAlignment="1" pivotButton="0" quotePrefix="0" xfId="15">
      <alignment horizontal="center" vertical="center"/>
    </xf>
    <xf numFmtId="0" fontId="0" fillId="30" borderId="89" applyAlignment="1" pivotButton="0" quotePrefix="0" xfId="15">
      <alignment horizontal="center" vertical="center"/>
    </xf>
    <xf numFmtId="0" fontId="0" fillId="0" borderId="38" applyAlignment="1" pivotButton="0" quotePrefix="0" xfId="15">
      <alignment horizontal="center" vertical="center" wrapText="1"/>
    </xf>
    <xf numFmtId="166" fontId="0" fillId="0" borderId="5" applyAlignment="1" pivotButton="0" quotePrefix="0" xfId="15">
      <alignment horizontal="center" vertical="center" wrapText="1"/>
    </xf>
    <xf numFmtId="166" fontId="42" fillId="0" borderId="103" applyAlignment="1" pivotButton="0" quotePrefix="0" xfId="15">
      <alignment horizontal="center" vertical="center"/>
    </xf>
    <xf numFmtId="166" fontId="42" fillId="0" borderId="89" applyAlignment="1" pivotButton="0" quotePrefix="0" xfId="15">
      <alignment horizontal="center" vertical="center"/>
    </xf>
    <xf numFmtId="166" fontId="42" fillId="22" borderId="69" applyAlignment="1" pivotButton="0" quotePrefix="0" xfId="15">
      <alignment horizontal="center" vertical="center"/>
    </xf>
    <xf numFmtId="166" fontId="42" fillId="28" borderId="4" applyAlignment="1" pivotButton="0" quotePrefix="0" xfId="15">
      <alignment horizontal="center" vertical="center"/>
    </xf>
    <xf numFmtId="166" fontId="42" fillId="28" borderId="91" applyAlignment="1" pivotButton="0" quotePrefix="0" xfId="15">
      <alignment horizontal="center" vertical="center"/>
    </xf>
    <xf numFmtId="166" fontId="42" fillId="11" borderId="37" applyAlignment="1" pivotButton="0" quotePrefix="0" xfId="15">
      <alignment horizontal="center" vertical="center"/>
    </xf>
    <xf numFmtId="166" fontId="42" fillId="11" borderId="38" applyAlignment="1" pivotButton="0" quotePrefix="0" xfId="15">
      <alignment horizontal="center" vertical="center"/>
    </xf>
    <xf numFmtId="167" fontId="0" fillId="11" borderId="39" applyAlignment="1" pivotButton="0" quotePrefix="0" xfId="15">
      <alignment horizontal="center" vertical="center"/>
    </xf>
    <xf numFmtId="0" fontId="0" fillId="29" borderId="37" applyAlignment="1" pivotButton="0" quotePrefix="0" xfId="15">
      <alignment horizontal="center" vertical="center"/>
    </xf>
    <xf numFmtId="0" fontId="0" fillId="29" borderId="39" applyAlignment="1" pivotButton="0" quotePrefix="0" xfId="15">
      <alignment vertical="center" wrapText="1"/>
    </xf>
    <xf numFmtId="166" fontId="42" fillId="0" borderId="48" pivotButton="0" quotePrefix="0" xfId="15"/>
    <xf numFmtId="166" fontId="42" fillId="0" borderId="22" pivotButton="0" quotePrefix="0" xfId="15"/>
    <xf numFmtId="166" fontId="39" fillId="0" borderId="24" pivotButton="0" quotePrefix="0" xfId="15"/>
    <xf numFmtId="0" fontId="42" fillId="0" borderId="104" pivotButton="0" quotePrefix="0" xfId="15"/>
    <xf numFmtId="0" fontId="55" fillId="0" borderId="0" applyAlignment="1" pivotButton="0" quotePrefix="0" xfId="15">
      <alignment horizontal="right" vertical="center"/>
    </xf>
    <xf numFmtId="166" fontId="42" fillId="0" borderId="0" pivotButton="0" quotePrefix="0" xfId="15"/>
    <xf numFmtId="166" fontId="39" fillId="0" borderId="0" pivotButton="0" quotePrefix="0" xfId="15"/>
    <xf numFmtId="0" fontId="33" fillId="29" borderId="108" applyAlignment="1" pivotButton="0" quotePrefix="0" xfId="15">
      <alignment horizontal="left" vertical="top"/>
    </xf>
    <xf numFmtId="0" fontId="33" fillId="29" borderId="78" applyAlignment="1" pivotButton="0" quotePrefix="0" xfId="15">
      <alignment horizontal="left" vertical="top"/>
    </xf>
    <xf numFmtId="0" fontId="0" fillId="29" borderId="78" pivotButton="0" quotePrefix="0" xfId="15"/>
    <xf numFmtId="0" fontId="0" fillId="29" borderId="109" pivotButton="0" quotePrefix="0" xfId="15"/>
    <xf numFmtId="0" fontId="33" fillId="29" borderId="111" applyAlignment="1" pivotButton="0" quotePrefix="0" xfId="15">
      <alignment horizontal="left" vertical="top"/>
    </xf>
    <xf numFmtId="0" fontId="33" fillId="29" borderId="0" applyAlignment="1" pivotButton="0" quotePrefix="0" xfId="15">
      <alignment horizontal="left" vertical="top"/>
    </xf>
    <xf numFmtId="0" fontId="0" fillId="29" borderId="0" pivotButton="0" quotePrefix="0" xfId="15"/>
    <xf numFmtId="0" fontId="0" fillId="29" borderId="112" pivotButton="0" quotePrefix="0" xfId="15"/>
    <xf numFmtId="0" fontId="0" fillId="29" borderId="111" pivotButton="0" quotePrefix="0" xfId="15"/>
    <xf numFmtId="0" fontId="0" fillId="29" borderId="0" applyAlignment="1" pivotButton="0" quotePrefix="0" xfId="15">
      <alignment horizontal="right"/>
    </xf>
    <xf numFmtId="0" fontId="33" fillId="29" borderId="0" applyAlignment="1" pivotButton="0" quotePrefix="0" xfId="15">
      <alignment horizontal="center" vertical="center"/>
    </xf>
    <xf numFmtId="0" fontId="0" fillId="29" borderId="110" pivotButton="0" quotePrefix="0" xfId="15"/>
    <xf numFmtId="0" fontId="0" fillId="29" borderId="75" pivotButton="0" quotePrefix="0" xfId="15"/>
    <xf numFmtId="0" fontId="0" fillId="29" borderId="104" pivotButton="0" quotePrefix="0" xfId="15"/>
    <xf numFmtId="0" fontId="33" fillId="32" borderId="32" applyAlignment="1" pivotButton="0" quotePrefix="0" xfId="15">
      <alignment vertical="top"/>
    </xf>
    <xf numFmtId="0" fontId="33" fillId="32" borderId="33" applyAlignment="1" pivotButton="0" quotePrefix="0" xfId="15">
      <alignment vertical="top"/>
    </xf>
    <xf numFmtId="0" fontId="42" fillId="5" borderId="33" pivotButton="0" quotePrefix="0" xfId="15"/>
    <xf numFmtId="0" fontId="42" fillId="5" borderId="34" pivotButton="0" quotePrefix="0" xfId="15"/>
    <xf numFmtId="0" fontId="0" fillId="32" borderId="35" applyAlignment="1" pivotButton="0" quotePrefix="0" xfId="15">
      <alignment vertical="top"/>
    </xf>
    <xf numFmtId="0" fontId="0" fillId="32" borderId="0" applyAlignment="1" pivotButton="0" quotePrefix="0" xfId="15">
      <alignment vertical="top"/>
    </xf>
    <xf numFmtId="0" fontId="42" fillId="5" borderId="0" pivotButton="0" quotePrefix="0" xfId="15"/>
    <xf numFmtId="0" fontId="33" fillId="32" borderId="0" applyAlignment="1" pivotButton="0" quotePrefix="0" xfId="15">
      <alignment vertical="top"/>
    </xf>
    <xf numFmtId="0" fontId="42" fillId="5" borderId="36" pivotButton="0" quotePrefix="0" xfId="15"/>
    <xf numFmtId="0" fontId="33" fillId="32" borderId="35" applyAlignment="1" pivotButton="0" quotePrefix="0" xfId="15">
      <alignment vertical="top"/>
    </xf>
    <xf numFmtId="0" fontId="0" fillId="5" borderId="0" pivotButton="0" quotePrefix="0" xfId="15"/>
    <xf numFmtId="0" fontId="42" fillId="5" borderId="35" pivotButton="0" quotePrefix="0" xfId="15"/>
    <xf numFmtId="0" fontId="42" fillId="5" borderId="40" pivotButton="0" quotePrefix="0" xfId="15"/>
    <xf numFmtId="0" fontId="42" fillId="5" borderId="41" pivotButton="0" quotePrefix="0" xfId="15"/>
    <xf numFmtId="0" fontId="42" fillId="5" borderId="42" pivotButton="0" quotePrefix="0" xfId="15"/>
    <xf numFmtId="0" fontId="0" fillId="29" borderId="113" applyAlignment="1" pivotButton="0" quotePrefix="0" xfId="15">
      <alignment horizontal="right"/>
    </xf>
    <xf numFmtId="0" fontId="6" fillId="26" borderId="26" applyAlignment="1" pivotButton="0" quotePrefix="0" xfId="0">
      <alignment horizontal="center" vertical="center" wrapText="1"/>
    </xf>
    <xf numFmtId="166" fontId="2" fillId="13" borderId="0" applyAlignment="1" pivotButton="0" quotePrefix="0" xfId="2">
      <alignment horizontal="center" vertical="center" wrapText="1"/>
    </xf>
    <xf numFmtId="0" fontId="33" fillId="23" borderId="0" applyAlignment="1" pivotButton="0" quotePrefix="0" xfId="0">
      <alignment horizontal="center" vertical="center"/>
    </xf>
    <xf numFmtId="0" fontId="33" fillId="20" borderId="0" applyAlignment="1" pivotButton="0" quotePrefix="0" xfId="0">
      <alignment horizontal="center" vertical="center"/>
    </xf>
    <xf numFmtId="9" fontId="0" fillId="0" borderId="0" pivotButton="0" quotePrefix="0" xfId="0"/>
    <xf numFmtId="0" fontId="17" fillId="5" borderId="26" applyAlignment="1" pivotButton="0" quotePrefix="0" xfId="0">
      <alignment horizontal="center" vertical="center" wrapText="1"/>
    </xf>
    <xf numFmtId="10" fontId="17" fillId="5" borderId="26" applyAlignment="1" pivotButton="0" quotePrefix="0" xfId="0">
      <alignment horizontal="center" vertical="center"/>
    </xf>
    <xf numFmtId="166" fontId="17" fillId="5" borderId="26" applyAlignment="1" pivotButton="0" quotePrefix="0" xfId="2">
      <alignment horizontal="center" vertical="center"/>
    </xf>
    <xf numFmtId="1" fontId="17" fillId="5" borderId="26" applyAlignment="1" pivotButton="0" quotePrefix="0" xfId="0">
      <alignment horizontal="left" vertical="center" wrapText="1"/>
    </xf>
    <xf numFmtId="10" fontId="17" fillId="5" borderId="13" applyAlignment="1" pivotButton="0" quotePrefix="0" xfId="0">
      <alignment horizontal="center" vertical="center"/>
    </xf>
    <xf numFmtId="166" fontId="17" fillId="5" borderId="13" applyAlignment="1" pivotButton="0" quotePrefix="0" xfId="2">
      <alignment horizontal="center" vertical="center"/>
    </xf>
    <xf numFmtId="166" fontId="17" fillId="5" borderId="24" applyAlignment="1" pivotButton="0" quotePrefix="0" xfId="2">
      <alignment horizontal="center" vertical="center"/>
    </xf>
    <xf numFmtId="0" fontId="6" fillId="5" borderId="56" applyAlignment="1" pivotButton="0" quotePrefix="0" xfId="0">
      <alignment horizontal="left" vertical="center" wrapText="1"/>
    </xf>
    <xf numFmtId="0" fontId="6" fillId="23" borderId="56" applyAlignment="1" pivotButton="0" quotePrefix="0" xfId="0">
      <alignment horizontal="center" vertical="center" wrapText="1"/>
    </xf>
    <xf numFmtId="166" fontId="6" fillId="5" borderId="67" applyAlignment="1" pivotButton="0" quotePrefix="0" xfId="2">
      <alignment horizontal="center" vertical="center"/>
    </xf>
    <xf numFmtId="166" fontId="6" fillId="5" borderId="58" applyAlignment="1" pivotButton="0" quotePrefix="0" xfId="2">
      <alignment horizontal="center" vertical="center"/>
    </xf>
    <xf numFmtId="1" fontId="17" fillId="22" borderId="57" applyAlignment="1" pivotButton="0" quotePrefix="0" xfId="0">
      <alignment horizontal="left" vertical="center" wrapText="1"/>
    </xf>
    <xf numFmtId="1" fontId="6" fillId="22" borderId="19" applyAlignment="1" pivotButton="0" quotePrefix="0" xfId="0">
      <alignment horizontal="center" vertical="center" wrapText="1"/>
    </xf>
    <xf numFmtId="1" fontId="6" fillId="22" borderId="56" applyAlignment="1" pivotButton="0" quotePrefix="0" xfId="0">
      <alignment horizontal="left" vertical="center" wrapText="1"/>
    </xf>
    <xf numFmtId="10" fontId="17" fillId="22" borderId="56" applyAlignment="1" pivotButton="0" quotePrefix="0" xfId="3">
      <alignment horizontal="center" vertical="center"/>
    </xf>
    <xf numFmtId="0" fontId="6" fillId="0" borderId="19" applyAlignment="1" pivotButton="0" quotePrefix="0" xfId="0">
      <alignment vertical="center" wrapText="1"/>
    </xf>
    <xf numFmtId="166" fontId="6" fillId="0" borderId="56" applyAlignment="1" pivotButton="0" quotePrefix="0" xfId="2">
      <alignment horizontal="center" vertical="center"/>
    </xf>
    <xf numFmtId="0" fontId="17" fillId="22" borderId="19" applyAlignment="1" pivotButton="0" quotePrefix="0" xfId="0">
      <alignment horizontal="left" vertical="center" wrapText="1"/>
    </xf>
    <xf numFmtId="0" fontId="6" fillId="22" borderId="19" applyAlignment="1" pivotButton="0" quotePrefix="0" xfId="0">
      <alignment horizontal="center" vertical="center" wrapText="1"/>
    </xf>
    <xf numFmtId="0" fontId="6" fillId="22" borderId="19" applyAlignment="1" pivotButton="0" quotePrefix="0" xfId="0">
      <alignment horizontal="left" vertical="center" wrapText="1"/>
    </xf>
    <xf numFmtId="1" fontId="17" fillId="22" borderId="19" applyAlignment="1" pivotButton="0" quotePrefix="0" xfId="0">
      <alignment horizontal="left" vertical="center" wrapText="1"/>
    </xf>
    <xf numFmtId="1" fontId="6" fillId="22" borderId="19" applyAlignment="1" pivotButton="0" quotePrefix="0" xfId="0">
      <alignment horizontal="left" vertical="center" wrapText="1"/>
    </xf>
    <xf numFmtId="10" fontId="17" fillId="22" borderId="19" applyAlignment="1" pivotButton="0" quotePrefix="0" xfId="3">
      <alignment horizontal="center" vertical="center"/>
    </xf>
    <xf numFmtId="166" fontId="6" fillId="22" borderId="19" applyAlignment="1" pivotButton="0" quotePrefix="0" xfId="2">
      <alignment horizontal="center" vertical="center"/>
    </xf>
    <xf numFmtId="166" fontId="17" fillId="22" borderId="19" applyAlignment="1" pivotButton="0" quotePrefix="0" xfId="2">
      <alignment horizontal="center" vertical="center"/>
    </xf>
    <xf numFmtId="166" fontId="5" fillId="13" borderId="71" applyAlignment="1" pivotButton="0" quotePrefix="0" xfId="2">
      <alignment horizontal="center" vertical="center" wrapText="1"/>
    </xf>
    <xf numFmtId="0" fontId="5" fillId="13" borderId="30" applyAlignment="1" pivotButton="0" quotePrefix="0" xfId="0">
      <alignment horizontal="center" vertical="center" wrapText="1"/>
    </xf>
    <xf numFmtId="0" fontId="9" fillId="22" borderId="19" applyAlignment="1" pivotButton="0" quotePrefix="0" xfId="0">
      <alignment horizontal="left" vertical="center" wrapText="1"/>
    </xf>
    <xf numFmtId="1" fontId="6" fillId="0" borderId="56" applyAlignment="1" pivotButton="0" quotePrefix="0" xfId="0">
      <alignment horizontal="center" vertical="center" wrapText="1"/>
    </xf>
    <xf numFmtId="1" fontId="17" fillId="22" borderId="18" applyAlignment="1" pivotButton="0" quotePrefix="0" xfId="0">
      <alignment horizontal="left" vertical="center" wrapText="1"/>
    </xf>
    <xf numFmtId="0" fontId="6" fillId="20" borderId="56" applyAlignment="1" pivotButton="0" quotePrefix="0" xfId="0">
      <alignment horizontal="center" vertical="center" wrapText="1"/>
    </xf>
    <xf numFmtId="166" fontId="5" fillId="13" borderId="50" applyAlignment="1" pivotButton="0" quotePrefix="0" xfId="2">
      <alignment horizontal="center" vertical="center" wrapText="1"/>
    </xf>
    <xf numFmtId="0" fontId="19" fillId="6" borderId="15" applyAlignment="1" pivotButton="0" quotePrefix="0" xfId="0">
      <alignment horizontal="center" vertical="center" wrapText="1"/>
    </xf>
    <xf numFmtId="0" fontId="21" fillId="6" borderId="15" applyAlignment="1" pivotButton="0" quotePrefix="0" xfId="0">
      <alignment horizontal="center" vertical="center" wrapText="1"/>
    </xf>
    <xf numFmtId="0" fontId="21" fillId="6" borderId="38" applyAlignment="1" pivotButton="0" quotePrefix="0" xfId="0">
      <alignment horizontal="center" vertical="center" wrapText="1"/>
    </xf>
    <xf numFmtId="0" fontId="21" fillId="6" borderId="15" applyAlignment="1" pivotButton="0" quotePrefix="0" xfId="0">
      <alignment vertical="center" wrapText="1"/>
    </xf>
    <xf numFmtId="0" fontId="21" fillId="6" borderId="38" applyAlignment="1" pivotButton="0" quotePrefix="0" xfId="0">
      <alignment vertical="center" wrapText="1"/>
    </xf>
    <xf numFmtId="165" fontId="21" fillId="6" borderId="38" applyAlignment="1" pivotButton="0" quotePrefix="0" xfId="0">
      <alignment vertical="center" wrapText="1"/>
    </xf>
    <xf numFmtId="165" fontId="21" fillId="6" borderId="15" applyAlignment="1" pivotButton="0" quotePrefix="0" xfId="0">
      <alignment vertical="center" wrapText="1"/>
    </xf>
    <xf numFmtId="0" fontId="19" fillId="6" borderId="2" applyAlignment="1" pivotButton="0" quotePrefix="0" xfId="0">
      <alignment horizontal="center" vertical="center" wrapText="1"/>
    </xf>
    <xf numFmtId="0" fontId="9" fillId="0" borderId="5" applyAlignment="1" pivotButton="0" quotePrefix="0" xfId="9">
      <alignment horizontal="center" vertical="center" wrapText="1"/>
    </xf>
    <xf numFmtId="165" fontId="6" fillId="7" borderId="13" pivotButton="0" quotePrefix="0" xfId="1"/>
    <xf numFmtId="165" fontId="6" fillId="7" borderId="15" pivotButton="0" quotePrefix="0" xfId="1"/>
    <xf numFmtId="165" fontId="6" fillId="7" borderId="49" pivotButton="0" quotePrefix="0" xfId="1"/>
    <xf numFmtId="165" fontId="6" fillId="7" borderId="26" pivotButton="0" quotePrefix="0" xfId="1"/>
    <xf numFmtId="0" fontId="50" fillId="0" borderId="56" applyAlignment="1" applyProtection="1" pivotButton="0" quotePrefix="0" xfId="0">
      <alignment horizontal="center" vertical="center" wrapText="1"/>
      <protection locked="0" hidden="0"/>
    </xf>
    <xf numFmtId="10" fontId="17" fillId="22" borderId="67" applyAlignment="1" pivotButton="0" quotePrefix="0" xfId="3">
      <alignment horizontal="center" vertical="center"/>
    </xf>
    <xf numFmtId="166" fontId="6" fillId="22" borderId="67" applyAlignment="1" pivotButton="0" quotePrefix="0" xfId="2">
      <alignment horizontal="center" vertical="center"/>
    </xf>
    <xf numFmtId="0" fontId="6" fillId="22" borderId="16" applyAlignment="1" pivotButton="0" quotePrefix="0" xfId="0">
      <alignment horizontal="left" vertical="center" wrapText="1"/>
    </xf>
    <xf numFmtId="0" fontId="50" fillId="22" borderId="16" applyAlignment="1" applyProtection="1" pivotButton="0" quotePrefix="0" xfId="0">
      <alignment horizontal="center" vertical="center" wrapText="1"/>
      <protection locked="0" hidden="0"/>
    </xf>
    <xf numFmtId="0" fontId="6" fillId="22" borderId="16" applyAlignment="1" pivotButton="0" quotePrefix="0" xfId="0">
      <alignment horizontal="center" vertical="center" wrapText="1"/>
    </xf>
    <xf numFmtId="10" fontId="17" fillId="22" borderId="16" applyAlignment="1" pivotButton="0" quotePrefix="0" xfId="3">
      <alignment horizontal="center" vertical="center"/>
    </xf>
    <xf numFmtId="166" fontId="6" fillId="22" borderId="16" applyAlignment="1" pivotButton="0" quotePrefix="0" xfId="2">
      <alignment horizontal="center" vertical="center"/>
    </xf>
    <xf numFmtId="166" fontId="17" fillId="22" borderId="16" applyAlignment="1" pivotButton="0" quotePrefix="0" xfId="2">
      <alignment horizontal="center" vertical="center"/>
    </xf>
    <xf numFmtId="2" fontId="6" fillId="22" borderId="56" applyAlignment="1" pivotButton="0" quotePrefix="0" xfId="0">
      <alignment horizontal="left" vertical="center" wrapText="1"/>
    </xf>
    <xf numFmtId="0" fontId="17" fillId="22" borderId="56" applyAlignment="1" pivotButton="0" quotePrefix="0" xfId="0">
      <alignment horizontal="left" vertical="center" wrapText="1"/>
    </xf>
    <xf numFmtId="0" fontId="50" fillId="22" borderId="19" applyAlignment="1" applyProtection="1" pivotButton="0" quotePrefix="0" xfId="0">
      <alignment horizontal="center" vertical="center" wrapText="1"/>
      <protection locked="0" hidden="0"/>
    </xf>
    <xf numFmtId="166" fontId="17" fillId="5" borderId="26" applyAlignment="1" pivotButton="0" quotePrefix="0" xfId="2">
      <alignment horizontal="center" vertical="center"/>
    </xf>
    <xf numFmtId="166" fontId="6" fillId="0" borderId="26" applyAlignment="1" pivotButton="0" quotePrefix="0" xfId="2">
      <alignment horizontal="center" vertical="center"/>
    </xf>
    <xf numFmtId="2" fontId="6" fillId="5" borderId="13" applyAlignment="1" pivotButton="0" quotePrefix="0" xfId="0">
      <alignment horizontal="left" vertical="center" wrapText="1"/>
    </xf>
    <xf numFmtId="0" fontId="6" fillId="23" borderId="13" applyAlignment="1" applyProtection="1" pivotButton="0" quotePrefix="0" xfId="0">
      <alignment horizontal="center" vertical="center" wrapText="1"/>
      <protection locked="0" hidden="0"/>
    </xf>
    <xf numFmtId="173" fontId="6" fillId="22" borderId="56" applyAlignment="1" pivotButton="0" quotePrefix="0" xfId="0">
      <alignment horizontal="center" vertical="center" wrapText="1"/>
    </xf>
    <xf numFmtId="1" fontId="17" fillId="22" borderId="30" applyAlignment="1" pivotButton="0" quotePrefix="0" xfId="0">
      <alignment horizontal="left" vertical="center" wrapText="1"/>
    </xf>
    <xf numFmtId="1" fontId="6" fillId="22" borderId="16" applyAlignment="1" pivotButton="0" quotePrefix="0" xfId="0">
      <alignment horizontal="center" vertical="center" wrapText="1"/>
    </xf>
    <xf numFmtId="173" fontId="6" fillId="3" borderId="26" applyAlignment="1" pivotButton="0" quotePrefix="0" xfId="0">
      <alignment horizontal="center" vertical="center" wrapText="1"/>
    </xf>
    <xf numFmtId="0" fontId="32" fillId="0" borderId="13" applyAlignment="1" applyProtection="1" pivotButton="0" quotePrefix="0" xfId="0">
      <alignment horizontal="center" vertical="center" wrapText="1"/>
      <protection locked="0" hidden="0"/>
    </xf>
    <xf numFmtId="0" fontId="32" fillId="0" borderId="26" applyAlignment="1" applyProtection="1" pivotButton="0" quotePrefix="0" xfId="0">
      <alignment horizontal="center" vertical="center" wrapText="1"/>
      <protection locked="0" hidden="0"/>
    </xf>
    <xf numFmtId="0" fontId="6" fillId="20" borderId="13" applyAlignment="1" applyProtection="1" pivotButton="0" quotePrefix="0" xfId="0">
      <alignment horizontal="center" vertical="center" wrapText="1"/>
      <protection locked="0" hidden="0"/>
    </xf>
    <xf numFmtId="0" fontId="32" fillId="22" borderId="13" applyAlignment="1" applyProtection="1" pivotButton="0" quotePrefix="0" xfId="0">
      <alignment horizontal="center" vertical="center" wrapText="1"/>
      <protection locked="0" hidden="0"/>
    </xf>
    <xf numFmtId="10" fontId="6" fillId="22" borderId="13" applyAlignment="1" pivotButton="0" quotePrefix="0" xfId="3">
      <alignment horizontal="center" vertical="center"/>
    </xf>
    <xf numFmtId="1" fontId="6" fillId="5" borderId="57" applyAlignment="1" pivotButton="0" quotePrefix="0" xfId="0">
      <alignment horizontal="left" vertical="center" wrapText="1"/>
    </xf>
    <xf numFmtId="0" fontId="9" fillId="5" borderId="13" applyAlignment="1" pivotButton="0" quotePrefix="0" xfId="0">
      <alignment horizontal="left" vertical="center" wrapText="1"/>
    </xf>
    <xf numFmtId="0" fontId="32" fillId="5" borderId="13" applyAlignment="1" applyProtection="1" pivotButton="0" quotePrefix="0" xfId="0">
      <alignment horizontal="center" vertical="center" wrapText="1"/>
      <protection locked="0" hidden="0"/>
    </xf>
    <xf numFmtId="10" fontId="6" fillId="5" borderId="13" applyAlignment="1" pivotButton="0" quotePrefix="0" xfId="3">
      <alignment horizontal="center" vertical="center"/>
    </xf>
    <xf numFmtId="10" fontId="6" fillId="0" borderId="13" applyAlignment="1" pivotButton="0" quotePrefix="0" xfId="0">
      <alignment horizontal="center" vertical="center"/>
    </xf>
    <xf numFmtId="1" fontId="17" fillId="5" borderId="115" applyAlignment="1" pivotButton="0" quotePrefix="0" xfId="0">
      <alignment horizontal="left" vertical="center" wrapText="1"/>
    </xf>
    <xf numFmtId="166" fontId="6" fillId="5" borderId="56" applyAlignment="1" pivotButton="0" quotePrefix="0" xfId="2">
      <alignment horizontal="center" vertical="center"/>
    </xf>
    <xf numFmtId="166" fontId="6" fillId="26" borderId="49" applyAlignment="1" pivotButton="0" quotePrefix="0" xfId="2">
      <alignment horizontal="center" vertical="center"/>
    </xf>
    <xf numFmtId="166" fontId="17" fillId="26" borderId="26" applyAlignment="1" pivotButton="0" quotePrefix="0" xfId="2">
      <alignment horizontal="center" vertical="center"/>
    </xf>
    <xf numFmtId="166" fontId="6" fillId="26" borderId="67" applyAlignment="1" pivotButton="0" quotePrefix="0" xfId="2">
      <alignment horizontal="center" vertical="center"/>
    </xf>
    <xf numFmtId="0" fontId="7" fillId="0" borderId="0" applyAlignment="1" pivotButton="0" quotePrefix="0" xfId="8">
      <alignment horizontal="left" vertical="top" wrapText="1"/>
    </xf>
    <xf numFmtId="166" fontId="6" fillId="0" borderId="0" applyAlignment="1" pivotButton="0" quotePrefix="0" xfId="2">
      <alignment horizontal="center" vertical="center"/>
    </xf>
    <xf numFmtId="166" fontId="0" fillId="0" borderId="0" applyAlignment="1" pivotButton="0" quotePrefix="0" xfId="2">
      <alignment horizontal="center" vertical="center"/>
    </xf>
    <xf numFmtId="0" fontId="6" fillId="20" borderId="13" applyAlignment="1" pivotButton="0" quotePrefix="0" xfId="0">
      <alignment vertical="center" wrapText="1"/>
    </xf>
    <xf numFmtId="9" fontId="6" fillId="22" borderId="13" applyAlignment="1" pivotButton="0" quotePrefix="0" xfId="3">
      <alignment horizontal="center" vertical="center"/>
    </xf>
    <xf numFmtId="0" fontId="9" fillId="5" borderId="13" applyAlignment="1" pivotButton="0" quotePrefix="0" xfId="0">
      <alignment horizontal="center" vertical="center" wrapText="1"/>
    </xf>
    <xf numFmtId="166" fontId="6" fillId="26" borderId="11" applyAlignment="1" pivotButton="0" quotePrefix="0" xfId="2">
      <alignment horizontal="center" vertical="center"/>
    </xf>
    <xf numFmtId="166" fontId="17" fillId="23" borderId="26" applyAlignment="1" pivotButton="0" quotePrefix="0" xfId="2">
      <alignment horizontal="center" vertical="center"/>
    </xf>
    <xf numFmtId="165" fontId="6" fillId="0" borderId="3" pivotButton="0" quotePrefix="0" xfId="1"/>
    <xf numFmtId="165" fontId="6" fillId="0" borderId="53" pivotButton="0" quotePrefix="0" xfId="1"/>
    <xf numFmtId="0" fontId="22" fillId="5" borderId="41" applyAlignment="1" pivotButton="0" quotePrefix="0" xfId="0">
      <alignment horizontal="left" vertical="center" wrapText="1"/>
    </xf>
    <xf numFmtId="165" fontId="6" fillId="0" borderId="6" pivotButton="0" quotePrefix="0" xfId="1"/>
    <xf numFmtId="0" fontId="6" fillId="0" borderId="1" applyAlignment="1" pivotButton="0" quotePrefix="0" xfId="0">
      <alignment horizontal="center" vertical="center"/>
    </xf>
    <xf numFmtId="0" fontId="6" fillId="0" borderId="11" applyAlignment="1" pivotButton="0" quotePrefix="0" xfId="0">
      <alignment horizontal="center" vertical="center"/>
    </xf>
    <xf numFmtId="0" fontId="6" fillId="0" borderId="62" applyAlignment="1" pivotButton="0" quotePrefix="0" xfId="0">
      <alignment horizontal="center" vertical="center"/>
    </xf>
    <xf numFmtId="0" fontId="12" fillId="23" borderId="15" applyAlignment="1" pivotButton="0" quotePrefix="0" xfId="9">
      <alignment horizontal="center" vertical="center" wrapText="1"/>
    </xf>
    <xf numFmtId="17" fontId="0" fillId="0" borderId="46" applyAlignment="1" pivotButton="0" quotePrefix="0" xfId="0">
      <alignment horizontal="center"/>
    </xf>
    <xf numFmtId="17" fontId="0" fillId="0" borderId="37" applyAlignment="1" pivotButton="0" quotePrefix="0" xfId="0">
      <alignment horizontal="center"/>
    </xf>
    <xf numFmtId="0" fontId="6" fillId="0" borderId="38" applyAlignment="1" pivotButton="0" quotePrefix="0" xfId="0">
      <alignment horizontal="center" vertical="center"/>
    </xf>
    <xf numFmtId="165" fontId="6" fillId="0" borderId="38" pivotButton="0" quotePrefix="0" xfId="1"/>
    <xf numFmtId="165" fontId="6" fillId="7" borderId="38" pivotButton="0" quotePrefix="0" xfId="1"/>
    <xf numFmtId="17" fontId="0" fillId="0" borderId="25" applyAlignment="1" pivotButton="0" quotePrefix="0" xfId="0">
      <alignment horizontal="center"/>
    </xf>
    <xf numFmtId="0" fontId="12" fillId="23" borderId="38" applyAlignment="1" pivotButton="0" quotePrefix="0" xfId="9">
      <alignment horizontal="center" vertical="center" wrapText="1"/>
    </xf>
    <xf numFmtId="0" fontId="9" fillId="0" borderId="44" applyAlignment="1" pivotButton="0" quotePrefix="0" xfId="9">
      <alignment horizontal="center" vertical="center" wrapText="1"/>
    </xf>
    <xf numFmtId="0" fontId="12" fillId="23" borderId="28" applyAlignment="1" pivotButton="0" quotePrefix="0" xfId="9">
      <alignment horizontal="center" vertical="center" wrapText="1"/>
    </xf>
    <xf numFmtId="0" fontId="12" fillId="23" borderId="44" applyAlignment="1" pivotButton="0" quotePrefix="0" xfId="9">
      <alignment horizontal="center" vertical="center" wrapText="1"/>
    </xf>
    <xf numFmtId="165" fontId="6" fillId="0" borderId="11" pivotButton="0" quotePrefix="0" xfId="1"/>
    <xf numFmtId="165" fontId="6" fillId="0" borderId="44" pivotButton="0" quotePrefix="0" xfId="1"/>
    <xf numFmtId="165" fontId="6" fillId="0" borderId="52" pivotButton="0" quotePrefix="0" xfId="1"/>
    <xf numFmtId="165" fontId="6" fillId="0" borderId="12" pivotButton="0" quotePrefix="0" xfId="1"/>
    <xf numFmtId="165" fontId="6" fillId="0" borderId="43" pivotButton="0" quotePrefix="0" xfId="1"/>
    <xf numFmtId="166" fontId="6" fillId="0" borderId="49" pivotButton="0" quotePrefix="0" xfId="2"/>
    <xf numFmtId="166" fontId="6" fillId="0" borderId="11" pivotButton="0" quotePrefix="0" xfId="2"/>
    <xf numFmtId="166" fontId="6" fillId="0" borderId="44" pivotButton="0" quotePrefix="0" xfId="2"/>
    <xf numFmtId="165" fontId="6" fillId="0" borderId="116" pivotButton="0" quotePrefix="0" xfId="1"/>
    <xf numFmtId="0" fontId="19" fillId="0" borderId="1" applyAlignment="1" pivotButton="0" quotePrefix="0" xfId="0">
      <alignment vertical="center"/>
    </xf>
    <xf numFmtId="1" fontId="19" fillId="12" borderId="4" applyAlignment="1" pivotButton="0" quotePrefix="0" xfId="1">
      <alignment horizontal="center" vertical="center"/>
    </xf>
    <xf numFmtId="0" fontId="19" fillId="0" borderId="29" applyAlignment="1" pivotButton="0" quotePrefix="0" xfId="0">
      <alignment horizontal="center" vertical="center" wrapText="1"/>
    </xf>
    <xf numFmtId="166" fontId="19" fillId="12" borderId="43" applyAlignment="1" pivotButton="0" quotePrefix="0" xfId="2">
      <alignment horizontal="center" vertical="center"/>
    </xf>
    <xf numFmtId="0" fontId="19" fillId="0" borderId="28" applyAlignment="1" pivotButton="0" quotePrefix="0" xfId="0">
      <alignment horizontal="center" vertical="center" wrapText="1"/>
    </xf>
    <xf numFmtId="166" fontId="19" fillId="12" borderId="44" applyAlignment="1" pivotButton="0" quotePrefix="0" xfId="2">
      <alignment horizontal="center" vertical="center"/>
    </xf>
    <xf numFmtId="0" fontId="19" fillId="0" borderId="3" applyAlignment="1" pivotButton="0" quotePrefix="0" xfId="0">
      <alignment horizontal="center" vertical="center" wrapText="1"/>
    </xf>
    <xf numFmtId="166" fontId="19" fillId="12" borderId="6" applyAlignment="1" pivotButton="0" quotePrefix="0" xfId="2">
      <alignment horizontal="center" vertical="center"/>
    </xf>
    <xf numFmtId="0" fontId="19" fillId="0" borderId="68" applyAlignment="1" pivotButton="0" quotePrefix="0" xfId="0">
      <alignment horizontal="center" vertical="center" wrapText="1"/>
    </xf>
    <xf numFmtId="166" fontId="19" fillId="12" borderId="69" applyAlignment="1" pivotButton="0" quotePrefix="0" xfId="2">
      <alignment horizontal="center" vertical="center"/>
    </xf>
    <xf numFmtId="0" fontId="19" fillId="0" borderId="2" applyAlignment="1" pivotButton="0" quotePrefix="0" xfId="0">
      <alignment horizontal="center" vertical="center" wrapText="1"/>
    </xf>
    <xf numFmtId="166" fontId="19" fillId="12" borderId="5" applyAlignment="1" pivotButton="0" quotePrefix="0" xfId="2">
      <alignment horizontal="center" vertical="center"/>
    </xf>
    <xf numFmtId="0" fontId="9" fillId="0" borderId="65" applyAlignment="1" pivotButton="0" quotePrefix="0" xfId="9">
      <alignment horizontal="center" vertical="center" wrapText="1"/>
    </xf>
    <xf numFmtId="0" fontId="9" fillId="0" borderId="59" applyAlignment="1" pivotButton="0" quotePrefix="0" xfId="9">
      <alignment horizontal="center" vertical="center" wrapText="1"/>
    </xf>
    <xf numFmtId="0" fontId="2" fillId="2" borderId="1" applyAlignment="1" pivotButton="0" quotePrefix="0" xfId="0">
      <alignment horizontal="center" vertical="center" wrapText="1"/>
    </xf>
    <xf numFmtId="0" fontId="2" fillId="2" borderId="2" applyAlignment="1" pivotButton="0" quotePrefix="0" xfId="0">
      <alignment horizontal="center" vertical="center" wrapText="1"/>
    </xf>
    <xf numFmtId="0" fontId="2" fillId="2" borderId="2" applyAlignment="1" pivotButton="0" quotePrefix="0" xfId="0">
      <alignment horizontal="center" vertical="center"/>
    </xf>
    <xf numFmtId="0" fontId="2" fillId="2" borderId="3" applyAlignment="1" pivotButton="0" quotePrefix="0" xfId="0">
      <alignment horizontal="center" vertical="center"/>
    </xf>
    <xf numFmtId="0" fontId="2" fillId="2" borderId="4" applyAlignment="1" pivotButton="0" quotePrefix="0" xfId="0">
      <alignment horizontal="center" vertical="center"/>
    </xf>
    <xf numFmtId="0" fontId="2" fillId="2" borderId="5" applyAlignment="1" pivotButton="0" quotePrefix="0" xfId="0">
      <alignment horizontal="center" vertical="center"/>
    </xf>
    <xf numFmtId="0" fontId="2" fillId="2" borderId="6" applyAlignment="1" pivotButton="0" quotePrefix="0" xfId="0">
      <alignment horizontal="center" vertical="center"/>
    </xf>
    <xf numFmtId="0" fontId="2" fillId="4" borderId="1" applyAlignment="1" pivotButton="0" quotePrefix="0" xfId="0">
      <alignment horizontal="right" vertical="center" wrapText="1"/>
    </xf>
    <xf numFmtId="0" fontId="2" fillId="4" borderId="2" applyAlignment="1" pivotButton="0" quotePrefix="0" xfId="0">
      <alignment horizontal="right" vertical="center" wrapText="1"/>
    </xf>
    <xf numFmtId="0" fontId="2" fillId="4" borderId="2" applyAlignment="1" pivotButton="0" quotePrefix="0" xfId="0">
      <alignment horizontal="center" vertical="center"/>
    </xf>
    <xf numFmtId="0" fontId="4" fillId="4" borderId="46" applyAlignment="1" pivotButton="0" quotePrefix="0" xfId="0">
      <alignment horizontal="right" vertical="center"/>
    </xf>
    <xf numFmtId="0" fontId="4" fillId="4" borderId="12" applyAlignment="1" pivotButton="0" quotePrefix="0" xfId="0">
      <alignment horizontal="right" vertical="center"/>
    </xf>
    <xf numFmtId="0" fontId="4" fillId="4" borderId="13" applyAlignment="1" pivotButton="0" quotePrefix="0" xfId="0">
      <alignment horizontal="right" vertical="center"/>
    </xf>
    <xf numFmtId="0" fontId="5" fillId="5" borderId="13" applyAlignment="1" pivotButton="0" quotePrefix="0" xfId="1">
      <alignment horizontal="center" vertical="center"/>
    </xf>
    <xf numFmtId="0" fontId="4" fillId="4" borderId="46" applyAlignment="1" pivotButton="0" quotePrefix="0" xfId="0">
      <alignment horizontal="right" vertical="center" wrapText="1"/>
    </xf>
    <xf numFmtId="0" fontId="4" fillId="4" borderId="12" applyAlignment="1" pivotButton="0" quotePrefix="0" xfId="0">
      <alignment horizontal="right" vertical="center" wrapText="1"/>
    </xf>
    <xf numFmtId="0" fontId="4" fillId="4" borderId="13" applyAlignment="1" pivotButton="0" quotePrefix="0" xfId="0">
      <alignment horizontal="right" vertical="center" wrapText="1"/>
    </xf>
    <xf numFmtId="0" fontId="4" fillId="4" borderId="4" applyAlignment="1" pivotButton="0" quotePrefix="0" xfId="0">
      <alignment horizontal="right" vertical="center" wrapText="1"/>
    </xf>
    <xf numFmtId="0" fontId="4" fillId="4" borderId="5" applyAlignment="1" pivotButton="0" quotePrefix="0" xfId="0">
      <alignment horizontal="right" vertical="center" wrapText="1"/>
    </xf>
    <xf numFmtId="0" fontId="4" fillId="4" borderId="43" applyAlignment="1" pivotButton="0" quotePrefix="0" xfId="0">
      <alignment horizontal="right" vertical="center" wrapText="1"/>
    </xf>
    <xf numFmtId="0" fontId="5" fillId="5" borderId="44" applyAlignment="1" pivotButton="0" quotePrefix="0" xfId="1">
      <alignment horizontal="center" vertical="center"/>
    </xf>
    <xf numFmtId="0" fontId="5" fillId="5" borderId="5" applyAlignment="1" pivotButton="0" quotePrefix="0" xfId="1">
      <alignment horizontal="center" vertical="center"/>
    </xf>
    <xf numFmtId="0" fontId="5" fillId="5" borderId="43" applyAlignment="1" pivotButton="0" quotePrefix="0" xfId="1">
      <alignment horizontal="center" vertical="center"/>
    </xf>
    <xf numFmtId="0" fontId="21" fillId="6" borderId="14" applyAlignment="1" pivotButton="0" quotePrefix="0" xfId="0">
      <alignment horizontal="center" vertical="center" wrapText="1"/>
    </xf>
    <xf numFmtId="0" fontId="21" fillId="6" borderId="29" applyAlignment="1" pivotButton="0" quotePrefix="0" xfId="0">
      <alignment horizontal="center" vertical="center" wrapText="1"/>
    </xf>
    <xf numFmtId="0" fontId="21" fillId="6" borderId="15" applyAlignment="1" pivotButton="0" quotePrefix="0" xfId="0">
      <alignment horizontal="center" vertical="center" wrapText="1"/>
    </xf>
    <xf numFmtId="0" fontId="21" fillId="6" borderId="37" applyAlignment="1" pivotButton="0" quotePrefix="0" xfId="0">
      <alignment horizontal="center" vertical="center" wrapText="1"/>
    </xf>
    <xf numFmtId="0" fontId="21" fillId="6" borderId="43" applyAlignment="1" pivotButton="0" quotePrefix="0" xfId="0">
      <alignment horizontal="center" vertical="center" wrapText="1"/>
    </xf>
    <xf numFmtId="0" fontId="21" fillId="6" borderId="38" applyAlignment="1" pivotButton="0" quotePrefix="0" xfId="0">
      <alignment horizontal="center" vertical="center" wrapText="1"/>
    </xf>
    <xf numFmtId="9" fontId="21" fillId="6" borderId="15" applyAlignment="1" applyProtection="1" pivotButton="0" quotePrefix="0" xfId="3">
      <alignment horizontal="center" vertical="center"/>
      <protection locked="0" hidden="0"/>
    </xf>
    <xf numFmtId="9" fontId="21" fillId="6" borderId="38" applyAlignment="1" applyProtection="1" pivotButton="0" quotePrefix="0" xfId="3">
      <alignment horizontal="center" vertical="center"/>
      <protection locked="0" hidden="0"/>
    </xf>
    <xf numFmtId="166" fontId="21" fillId="6" borderId="15" applyAlignment="1" pivotButton="0" quotePrefix="0" xfId="2">
      <alignment horizontal="center" vertical="center"/>
    </xf>
    <xf numFmtId="166" fontId="21" fillId="6" borderId="38" applyAlignment="1" pivotButton="0" quotePrefix="0" xfId="2">
      <alignment horizontal="center" vertical="center"/>
    </xf>
    <xf numFmtId="0" fontId="45" fillId="6" borderId="15" applyAlignment="1" pivotButton="0" quotePrefix="0" xfId="0">
      <alignment horizontal="right" vertical="center" wrapText="1"/>
    </xf>
    <xf numFmtId="0" fontId="45" fillId="6" borderId="38" applyAlignment="1" pivotButton="0" quotePrefix="0" xfId="0">
      <alignment horizontal="right" vertical="center" wrapText="1"/>
    </xf>
    <xf numFmtId="165" fontId="6" fillId="0" borderId="71" applyAlignment="1" pivotButton="0" quotePrefix="0" xfId="1">
      <alignment horizontal="center" vertical="center"/>
    </xf>
    <xf numFmtId="165" fontId="6" fillId="0" borderId="72" applyAlignment="1" pivotButton="0" quotePrefix="0" xfId="1">
      <alignment horizontal="center" vertical="center"/>
    </xf>
    <xf numFmtId="165" fontId="6" fillId="0" borderId="98" applyAlignment="1" pivotButton="0" quotePrefix="0" xfId="1">
      <alignment horizontal="center" vertical="center"/>
    </xf>
    <xf numFmtId="166" fontId="45" fillId="6" borderId="15" applyAlignment="1" pivotButton="0" quotePrefix="0" xfId="2">
      <alignment horizontal="center" vertical="center"/>
    </xf>
    <xf numFmtId="166" fontId="45" fillId="6" borderId="17" applyAlignment="1" pivotButton="0" quotePrefix="0" xfId="2">
      <alignment horizontal="center" vertical="center"/>
    </xf>
    <xf numFmtId="166" fontId="45" fillId="6" borderId="38" applyAlignment="1" pivotButton="0" quotePrefix="0" xfId="2">
      <alignment horizontal="center" vertical="center"/>
    </xf>
    <xf numFmtId="166" fontId="45" fillId="6" borderId="39" applyAlignment="1" pivotButton="0" quotePrefix="0" xfId="2">
      <alignment horizontal="center" vertical="center"/>
    </xf>
    <xf numFmtId="0" fontId="9" fillId="0" borderId="1" applyAlignment="1" pivotButton="0" quotePrefix="0" xfId="9">
      <alignment horizontal="center" vertical="center"/>
    </xf>
    <xf numFmtId="0" fontId="9" fillId="0" borderId="4" applyAlignment="1" pivotButton="0" quotePrefix="0" xfId="9">
      <alignment horizontal="center" vertical="center"/>
    </xf>
    <xf numFmtId="0" fontId="19" fillId="6" borderId="15" applyAlignment="1" pivotButton="0" quotePrefix="0" xfId="0">
      <alignment horizontal="center" vertical="center" wrapText="1"/>
    </xf>
    <xf numFmtId="0" fontId="19" fillId="6" borderId="28" applyAlignment="1" pivotButton="0" quotePrefix="0" xfId="0">
      <alignment horizontal="center" vertical="center" wrapText="1"/>
    </xf>
    <xf numFmtId="0" fontId="9" fillId="0" borderId="29" applyAlignment="1" pivotButton="0" quotePrefix="0" xfId="9">
      <alignment horizontal="center" vertical="center" wrapText="1"/>
    </xf>
    <xf numFmtId="0" fontId="9" fillId="0" borderId="43" applyAlignment="1" pivotButton="0" quotePrefix="0" xfId="9">
      <alignment horizontal="center" vertical="center" wrapText="1"/>
    </xf>
    <xf numFmtId="0" fontId="12" fillId="23" borderId="68" applyAlignment="1" pivotButton="0" quotePrefix="0" xfId="9">
      <alignment horizontal="center" vertical="center" wrapText="1"/>
    </xf>
    <xf numFmtId="0" fontId="12" fillId="23" borderId="69" applyAlignment="1" pivotButton="0" quotePrefix="0" xfId="9">
      <alignment horizontal="center" vertical="center" wrapText="1"/>
    </xf>
    <xf numFmtId="0" fontId="12" fillId="23" borderId="3" applyAlignment="1" pivotButton="0" quotePrefix="0" xfId="9">
      <alignment horizontal="center" vertical="center" wrapText="1"/>
    </xf>
    <xf numFmtId="0" fontId="12" fillId="23" borderId="6" applyAlignment="1" pivotButton="0" quotePrefix="0" xfId="9">
      <alignment horizontal="center" vertical="center" wrapText="1"/>
    </xf>
    <xf numFmtId="0" fontId="12" fillId="23" borderId="17" applyAlignment="1" pivotButton="0" quotePrefix="0" xfId="9">
      <alignment horizontal="center" vertical="center" wrapText="1"/>
    </xf>
    <xf numFmtId="0" fontId="12" fillId="23" borderId="39" applyAlignment="1" pivotButton="0" quotePrefix="0" xfId="9">
      <alignment horizontal="center" vertical="center" wrapText="1"/>
    </xf>
    <xf numFmtId="0" fontId="12" fillId="23" borderId="71" applyAlignment="1" pivotButton="0" quotePrefix="0" xfId="9">
      <alignment horizontal="center" vertical="center" wrapText="1"/>
    </xf>
    <xf numFmtId="0" fontId="12" fillId="23" borderId="50" applyAlignment="1" pivotButton="0" quotePrefix="0" xfId="9">
      <alignment horizontal="center" vertical="center" wrapText="1"/>
    </xf>
    <xf numFmtId="0" fontId="9" fillId="0" borderId="16" applyAlignment="1" pivotButton="0" quotePrefix="0" xfId="9">
      <alignment horizontal="center" vertical="center" wrapText="1"/>
    </xf>
    <xf numFmtId="0" fontId="9" fillId="0" borderId="23" applyAlignment="1" pivotButton="0" quotePrefix="0" xfId="9">
      <alignment horizontal="center" vertical="center" wrapText="1"/>
    </xf>
    <xf numFmtId="0" fontId="20" fillId="0" borderId="7" applyAlignment="1" pivotButton="0" quotePrefix="0" xfId="0">
      <alignment horizontal="left" vertical="center" wrapText="1"/>
    </xf>
    <xf numFmtId="0" fontId="20" fillId="0" borderId="8" applyAlignment="1" pivotButton="0" quotePrefix="0" xfId="0">
      <alignment horizontal="left" vertical="center" wrapText="1"/>
    </xf>
    <xf numFmtId="0" fontId="20" fillId="0" borderId="9" applyAlignment="1" pivotButton="0" quotePrefix="0" xfId="0">
      <alignment horizontal="left" vertical="center" wrapText="1"/>
    </xf>
    <xf numFmtId="0" fontId="12" fillId="23" borderId="14" applyAlignment="1" pivotButton="0" quotePrefix="0" xfId="9">
      <alignment horizontal="center" vertical="center" wrapText="1"/>
    </xf>
    <xf numFmtId="0" fontId="12" fillId="23" borderId="37" applyAlignment="1" pivotButton="0" quotePrefix="0" xfId="9">
      <alignment horizontal="center" vertical="center" wrapText="1"/>
    </xf>
    <xf numFmtId="0" fontId="46" fillId="0" borderId="71" applyAlignment="1" pivotButton="0" quotePrefix="0" xfId="9">
      <alignment horizontal="center" vertical="center" wrapText="1"/>
    </xf>
    <xf numFmtId="0" fontId="46" fillId="0" borderId="72" applyAlignment="1" pivotButton="0" quotePrefix="0" xfId="9">
      <alignment horizontal="center" vertical="center" wrapText="1"/>
    </xf>
    <xf numFmtId="0" fontId="46" fillId="0" borderId="50" applyAlignment="1" pivotButton="0" quotePrefix="0" xfId="9">
      <alignment horizontal="center" vertical="center" wrapText="1"/>
    </xf>
    <xf numFmtId="166" fontId="18" fillId="12" borderId="71" applyAlignment="1" pivotButton="0" quotePrefix="0" xfId="2">
      <alignment horizontal="center" vertical="center"/>
    </xf>
    <xf numFmtId="166" fontId="18" fillId="12" borderId="72" applyAlignment="1" pivotButton="0" quotePrefix="0" xfId="2">
      <alignment horizontal="center" vertical="center"/>
    </xf>
    <xf numFmtId="166" fontId="18" fillId="12" borderId="50" applyAlignment="1" pivotButton="0" quotePrefix="0" xfId="2">
      <alignment horizontal="center" vertical="center"/>
    </xf>
    <xf numFmtId="0" fontId="45" fillId="0" borderId="15" applyAlignment="1" pivotButton="0" quotePrefix="0" xfId="0">
      <alignment horizontal="center" vertical="center" wrapText="1"/>
    </xf>
    <xf numFmtId="0" fontId="45" fillId="0" borderId="38" applyAlignment="1" pivotButton="0" quotePrefix="0" xfId="0">
      <alignment horizontal="center" vertical="center" wrapText="1"/>
    </xf>
    <xf numFmtId="166" fontId="45" fillId="12" borderId="15" applyAlignment="1" pivotButton="0" quotePrefix="0" xfId="2">
      <alignment horizontal="center" vertical="center"/>
    </xf>
    <xf numFmtId="166" fontId="45" fillId="12" borderId="38" applyAlignment="1" pivotButton="0" quotePrefix="0" xfId="2">
      <alignment horizontal="center" vertical="center"/>
    </xf>
    <xf numFmtId="0" fontId="46" fillId="0" borderId="15" applyAlignment="1" pivotButton="0" quotePrefix="0" xfId="9">
      <alignment horizontal="center" vertical="center" wrapText="1"/>
    </xf>
    <xf numFmtId="0" fontId="46" fillId="0" borderId="38" applyAlignment="1" pivotButton="0" quotePrefix="0" xfId="9">
      <alignment horizontal="center" vertical="center" wrapText="1"/>
    </xf>
    <xf numFmtId="166" fontId="18" fillId="12" borderId="17" applyAlignment="1" pivotButton="0" quotePrefix="0" xfId="2">
      <alignment horizontal="center" vertical="center"/>
    </xf>
    <xf numFmtId="166" fontId="18" fillId="12" borderId="39" applyAlignment="1" pivotButton="0" quotePrefix="0" xfId="2">
      <alignment horizontal="center" vertical="center"/>
    </xf>
    <xf numFmtId="0" fontId="18" fillId="6" borderId="14" applyAlignment="1" pivotButton="0" quotePrefix="0" xfId="0">
      <alignment horizontal="right" vertical="center" wrapText="1"/>
    </xf>
    <xf numFmtId="0" fontId="18" fillId="6" borderId="15" applyAlignment="1" pivotButton="0" quotePrefix="0" xfId="0">
      <alignment horizontal="right" vertical="center" wrapText="1"/>
    </xf>
    <xf numFmtId="166" fontId="18" fillId="6" borderId="15" applyAlignment="1" pivotButton="0" quotePrefix="0" xfId="2">
      <alignment horizontal="center" vertical="center" wrapText="1"/>
    </xf>
    <xf numFmtId="166" fontId="18" fillId="6" borderId="17" applyAlignment="1" pivotButton="0" quotePrefix="0" xfId="2">
      <alignment horizontal="center" vertical="center" wrapText="1"/>
    </xf>
    <xf numFmtId="0" fontId="18" fillId="6" borderId="37" applyAlignment="1" pivotButton="0" quotePrefix="0" xfId="0">
      <alignment horizontal="right" vertical="center" wrapText="1"/>
    </xf>
    <xf numFmtId="0" fontId="18" fillId="6" borderId="38" applyAlignment="1" pivotButton="0" quotePrefix="0" xfId="0">
      <alignment horizontal="right" vertical="center" wrapText="1"/>
    </xf>
    <xf numFmtId="166" fontId="18" fillId="6" borderId="38" applyAlignment="1" pivotButton="0" quotePrefix="0" xfId="2">
      <alignment horizontal="center" vertical="center" wrapText="1"/>
    </xf>
    <xf numFmtId="166" fontId="18" fillId="6" borderId="39" applyAlignment="1" pivotButton="0" quotePrefix="0" xfId="2">
      <alignment horizontal="center" vertical="center" wrapText="1"/>
    </xf>
    <xf numFmtId="0" fontId="4" fillId="5" borderId="4" applyAlignment="1" pivotButton="0" quotePrefix="0" xfId="0">
      <alignment horizontal="right" vertical="center" wrapText="1"/>
    </xf>
    <xf numFmtId="0" fontId="4" fillId="5" borderId="43" applyAlignment="1" pivotButton="0" quotePrefix="0" xfId="0">
      <alignment horizontal="right" vertical="center" wrapText="1"/>
    </xf>
    <xf numFmtId="0" fontId="2" fillId="5" borderId="13" applyAlignment="1" pivotButton="0" quotePrefix="0" xfId="0">
      <alignment horizontal="left" vertical="center"/>
    </xf>
    <xf numFmtId="0" fontId="2" fillId="5" borderId="47" applyAlignment="1" pivotButton="0" quotePrefix="0" xfId="0">
      <alignment horizontal="left" vertical="center"/>
    </xf>
    <xf numFmtId="2" fontId="19" fillId="2" borderId="7" applyAlignment="1" pivotButton="0" quotePrefix="0" xfId="0">
      <alignment horizontal="center" vertical="center" wrapText="1"/>
    </xf>
    <xf numFmtId="2" fontId="19" fillId="2" borderId="8" applyAlignment="1" pivotButton="0" quotePrefix="0" xfId="0">
      <alignment horizontal="center" vertical="center" wrapText="1"/>
    </xf>
    <xf numFmtId="2" fontId="19" fillId="2" borderId="9" applyAlignment="1" pivotButton="0" quotePrefix="0" xfId="0">
      <alignment horizontal="center" vertical="center" wrapText="1"/>
    </xf>
    <xf numFmtId="0" fontId="2" fillId="5" borderId="11" applyAlignment="1" pivotButton="0" quotePrefix="0" xfId="0">
      <alignment horizontal="left" vertical="center" wrapText="1"/>
    </xf>
    <xf numFmtId="0" fontId="2" fillId="5" borderId="53" applyAlignment="1" pivotButton="0" quotePrefix="0" xfId="0">
      <alignment horizontal="left" vertical="center" wrapText="1"/>
    </xf>
    <xf numFmtId="0" fontId="4" fillId="4" borderId="1" applyAlignment="1" pivotButton="0" quotePrefix="0" xfId="0">
      <alignment horizontal="center" vertical="center" wrapText="1"/>
    </xf>
    <xf numFmtId="0" fontId="4" fillId="4" borderId="2" applyAlignment="1" pivotButton="0" quotePrefix="0" xfId="0">
      <alignment horizontal="center" vertical="center" wrapText="1"/>
    </xf>
    <xf numFmtId="0" fontId="4" fillId="4" borderId="29" applyAlignment="1" pivotButton="0" quotePrefix="0" xfId="0">
      <alignment horizontal="center" vertical="center" wrapText="1"/>
    </xf>
    <xf numFmtId="0" fontId="0" fillId="0" borderId="32" applyAlignment="1" pivotButton="0" quotePrefix="0" xfId="15">
      <alignment horizontal="center"/>
    </xf>
    <xf numFmtId="0" fontId="0" fillId="0" borderId="33" applyAlignment="1" pivotButton="0" quotePrefix="0" xfId="15">
      <alignment horizontal="center"/>
    </xf>
    <xf numFmtId="0" fontId="42" fillId="0" borderId="33" pivotButton="0" quotePrefix="0" xfId="15"/>
    <xf numFmtId="0" fontId="42" fillId="0" borderId="34" pivotButton="0" quotePrefix="0" xfId="15"/>
    <xf numFmtId="0" fontId="42" fillId="0" borderId="35" pivotButton="0" quotePrefix="0" xfId="15"/>
    <xf numFmtId="0" fontId="42" fillId="0" borderId="0" pivotButton="0" quotePrefix="0" xfId="15"/>
    <xf numFmtId="0" fontId="0" fillId="0" borderId="0" pivotButton="0" quotePrefix="0" xfId="15"/>
    <xf numFmtId="0" fontId="42" fillId="0" borderId="36" pivotButton="0" quotePrefix="0" xfId="15"/>
    <xf numFmtId="0" fontId="42" fillId="0" borderId="40" pivotButton="0" quotePrefix="0" xfId="15"/>
    <xf numFmtId="0" fontId="42" fillId="0" borderId="41" pivotButton="0" quotePrefix="0" xfId="15"/>
    <xf numFmtId="0" fontId="42" fillId="0" borderId="42" pivotButton="0" quotePrefix="0" xfId="15"/>
    <xf numFmtId="0" fontId="33" fillId="0" borderId="35" applyAlignment="1" pivotButton="0" quotePrefix="0" xfId="15">
      <alignment horizontal="center" vertical="center"/>
    </xf>
    <xf numFmtId="0" fontId="33" fillId="0" borderId="0" applyAlignment="1" pivotButton="0" quotePrefix="0" xfId="15">
      <alignment horizontal="center" vertical="center"/>
    </xf>
    <xf numFmtId="0" fontId="42" fillId="0" borderId="74" pivotButton="0" quotePrefix="0" xfId="15"/>
    <xf numFmtId="0" fontId="42" fillId="0" borderId="75" pivotButton="0" quotePrefix="0" xfId="15"/>
    <xf numFmtId="0" fontId="42" fillId="0" borderId="76" pivotButton="0" quotePrefix="0" xfId="15"/>
    <xf numFmtId="0" fontId="33" fillId="27" borderId="77" applyAlignment="1" pivotButton="0" quotePrefix="0" xfId="15">
      <alignment horizontal="center" vertical="center"/>
    </xf>
    <xf numFmtId="0" fontId="33" fillId="27" borderId="78" applyAlignment="1" pivotButton="0" quotePrefix="0" xfId="15">
      <alignment horizontal="center" vertical="center"/>
    </xf>
    <xf numFmtId="0" fontId="42" fillId="0" borderId="78" pivotButton="0" quotePrefix="0" xfId="15"/>
    <xf numFmtId="0" fontId="42" fillId="0" borderId="79" pivotButton="0" quotePrefix="0" xfId="15"/>
    <xf numFmtId="0" fontId="33" fillId="27" borderId="40" applyAlignment="1" pivotButton="0" quotePrefix="0" xfId="15">
      <alignment horizontal="right" vertical="center"/>
    </xf>
    <xf numFmtId="0" fontId="33" fillId="27" borderId="41" applyAlignment="1" pivotButton="0" quotePrefix="0" xfId="15">
      <alignment horizontal="right" vertical="center"/>
    </xf>
    <xf numFmtId="0" fontId="33" fillId="0" borderId="35" applyAlignment="1" pivotButton="0" quotePrefix="0" xfId="15">
      <alignment horizontal="left"/>
    </xf>
    <xf numFmtId="0" fontId="33" fillId="0" borderId="0" applyAlignment="1" pivotButton="0" quotePrefix="0" xfId="15">
      <alignment horizontal="left"/>
    </xf>
    <xf numFmtId="0" fontId="0" fillId="0" borderId="0" applyAlignment="1" pivotButton="0" quotePrefix="0" xfId="15">
      <alignment horizontal="left"/>
    </xf>
    <xf numFmtId="17" fontId="0" fillId="0" borderId="0" applyAlignment="1" pivotButton="0" quotePrefix="0" xfId="15">
      <alignment horizontal="left"/>
    </xf>
    <xf numFmtId="0" fontId="33" fillId="0" borderId="40" applyAlignment="1" pivotButton="0" quotePrefix="0" xfId="15">
      <alignment horizontal="left"/>
    </xf>
    <xf numFmtId="0" fontId="33" fillId="0" borderId="41" applyAlignment="1" pivotButton="0" quotePrefix="0" xfId="15">
      <alignment horizontal="left"/>
    </xf>
    <xf numFmtId="0" fontId="0" fillId="0" borderId="41" applyAlignment="1" pivotButton="0" quotePrefix="0" xfId="15">
      <alignment horizontal="left"/>
    </xf>
    <xf numFmtId="0" fontId="33" fillId="0" borderId="7" applyAlignment="1" pivotButton="0" quotePrefix="0" xfId="15">
      <alignment horizontal="center" vertical="center"/>
    </xf>
    <xf numFmtId="0" fontId="33" fillId="0" borderId="8" applyAlignment="1" pivotButton="0" quotePrefix="0" xfId="15">
      <alignment horizontal="center" vertical="center"/>
    </xf>
    <xf numFmtId="0" fontId="33" fillId="28" borderId="7" applyAlignment="1" pivotButton="0" quotePrefix="0" xfId="15">
      <alignment horizontal="center" vertical="center"/>
    </xf>
    <xf numFmtId="0" fontId="33" fillId="28" borderId="9" applyAlignment="1" pivotButton="0" quotePrefix="0" xfId="15">
      <alignment horizontal="center" vertical="center"/>
    </xf>
    <xf numFmtId="0" fontId="33" fillId="11" borderId="7" applyAlignment="1" pivotButton="0" quotePrefix="0" xfId="15">
      <alignment horizontal="center" vertical="center"/>
    </xf>
    <xf numFmtId="0" fontId="33" fillId="11" borderId="8" applyAlignment="1" pivotButton="0" quotePrefix="0" xfId="15">
      <alignment horizontal="center" vertical="center"/>
    </xf>
    <xf numFmtId="0" fontId="33" fillId="11" borderId="9" applyAlignment="1" pivotButton="0" quotePrefix="0" xfId="15">
      <alignment horizontal="center" vertical="center"/>
    </xf>
    <xf numFmtId="0" fontId="33" fillId="29" borderId="7" applyAlignment="1" pivotButton="0" quotePrefix="0" xfId="15">
      <alignment horizontal="center" vertical="center"/>
    </xf>
    <xf numFmtId="0" fontId="42" fillId="0" borderId="9" pivotButton="0" quotePrefix="0" xfId="15"/>
    <xf numFmtId="0" fontId="33" fillId="0" borderId="80" applyAlignment="1" pivotButton="0" quotePrefix="0" xfId="15">
      <alignment horizontal="center" vertical="center" wrapText="1"/>
    </xf>
    <xf numFmtId="0" fontId="42" fillId="0" borderId="87" pivotButton="0" quotePrefix="0" xfId="15"/>
    <xf numFmtId="0" fontId="33" fillId="0" borderId="81" applyAlignment="1" pivotButton="0" quotePrefix="0" xfId="15">
      <alignment horizontal="center" vertical="center" wrapText="1"/>
    </xf>
    <xf numFmtId="0" fontId="33" fillId="0" borderId="88" applyAlignment="1" pivotButton="0" quotePrefix="0" xfId="15">
      <alignment horizontal="center" vertical="center" wrapText="1"/>
    </xf>
    <xf numFmtId="0" fontId="33" fillId="0" borderId="82" applyAlignment="1" pivotButton="0" quotePrefix="0" xfId="15">
      <alignment horizontal="center" vertical="center" wrapText="1"/>
    </xf>
    <xf numFmtId="0" fontId="42" fillId="0" borderId="89" applyAlignment="1" pivotButton="0" quotePrefix="0" xfId="15">
      <alignment wrapText="1"/>
    </xf>
    <xf numFmtId="0" fontId="42" fillId="0" borderId="33" applyAlignment="1" pivotButton="0" quotePrefix="0" xfId="15">
      <alignment wrapText="1"/>
    </xf>
    <xf numFmtId="0" fontId="42" fillId="0" borderId="83" applyAlignment="1" pivotButton="0" quotePrefix="0" xfId="15">
      <alignment wrapText="1"/>
    </xf>
    <xf numFmtId="0" fontId="42" fillId="0" borderId="41" applyAlignment="1" pivotButton="0" quotePrefix="0" xfId="15">
      <alignment wrapText="1"/>
    </xf>
    <xf numFmtId="0" fontId="42" fillId="0" borderId="90" applyAlignment="1" pivotButton="0" quotePrefix="0" xfId="15">
      <alignment wrapText="1"/>
    </xf>
    <xf numFmtId="0" fontId="39" fillId="0" borderId="82" applyAlignment="1" pivotButton="0" quotePrefix="0" xfId="15">
      <alignment horizontal="center" vertical="center" wrapText="1"/>
    </xf>
    <xf numFmtId="0" fontId="39" fillId="0" borderId="89" applyAlignment="1" pivotButton="0" quotePrefix="0" xfId="15">
      <alignment horizontal="center" vertical="center" wrapText="1"/>
    </xf>
    <xf numFmtId="0" fontId="39" fillId="0" borderId="81" applyAlignment="1" pivotButton="0" quotePrefix="0" xfId="15">
      <alignment horizontal="center" vertical="center" wrapText="1"/>
    </xf>
    <xf numFmtId="0" fontId="39" fillId="0" borderId="88" applyAlignment="1" pivotButton="0" quotePrefix="0" xfId="15">
      <alignment horizontal="center" vertical="center" wrapText="1"/>
    </xf>
    <xf numFmtId="0" fontId="39" fillId="22" borderId="71" applyAlignment="1" pivotButton="0" quotePrefix="0" xfId="15">
      <alignment horizontal="center" vertical="center" wrapText="1"/>
    </xf>
    <xf numFmtId="0" fontId="39" fillId="22" borderId="50" applyAlignment="1" pivotButton="0" quotePrefix="0" xfId="15">
      <alignment horizontal="center" vertical="center" wrapText="1"/>
    </xf>
    <xf numFmtId="0" fontId="33" fillId="29" borderId="86" applyAlignment="1" pivotButton="0" quotePrefix="0" xfId="15">
      <alignment horizontal="center" vertical="center"/>
    </xf>
    <xf numFmtId="0" fontId="33" fillId="29" borderId="93" applyAlignment="1" pivotButton="0" quotePrefix="0" xfId="15">
      <alignment horizontal="center" vertical="center"/>
    </xf>
    <xf numFmtId="0" fontId="33" fillId="11" borderId="34" applyAlignment="1" pivotButton="0" quotePrefix="0" xfId="15">
      <alignment horizontal="center" vertical="center" wrapText="1"/>
    </xf>
    <xf numFmtId="0" fontId="33" fillId="11" borderId="42" applyAlignment="1" pivotButton="0" quotePrefix="0" xfId="15">
      <alignment horizontal="center" vertical="center" wrapText="1"/>
    </xf>
    <xf numFmtId="0" fontId="33" fillId="29" borderId="85" applyAlignment="1" pivotButton="0" quotePrefix="0" xfId="15">
      <alignment horizontal="center" vertical="center" wrapText="1"/>
    </xf>
    <xf numFmtId="0" fontId="33" fillId="29" borderId="92" applyAlignment="1" pivotButton="0" quotePrefix="0" xfId="15">
      <alignment horizontal="center" vertical="center" wrapText="1"/>
    </xf>
    <xf numFmtId="0" fontId="55" fillId="29" borderId="7" applyAlignment="1" pivotButton="0" quotePrefix="0" xfId="15">
      <alignment horizontal="right" vertical="center"/>
    </xf>
    <xf numFmtId="0" fontId="55" fillId="29" borderId="8" applyAlignment="1" pivotButton="0" quotePrefix="0" xfId="15">
      <alignment horizontal="right" vertical="center"/>
    </xf>
    <xf numFmtId="0" fontId="39" fillId="28" borderId="80" applyAlignment="1" pivotButton="0" quotePrefix="0" xfId="15">
      <alignment horizontal="center" vertical="center" wrapText="1"/>
    </xf>
    <xf numFmtId="0" fontId="39" fillId="28" borderId="87" applyAlignment="1" pivotButton="0" quotePrefix="0" xfId="15">
      <alignment horizontal="center" vertical="center" wrapText="1"/>
    </xf>
    <xf numFmtId="0" fontId="39" fillId="28" borderId="84" applyAlignment="1" pivotButton="0" quotePrefix="0" xfId="15">
      <alignment horizontal="center" vertical="center" wrapText="1"/>
    </xf>
    <xf numFmtId="0" fontId="39" fillId="28" borderId="91" applyAlignment="1" pivotButton="0" quotePrefix="0" xfId="15">
      <alignment horizontal="center" vertical="center" wrapText="1"/>
    </xf>
    <xf numFmtId="0" fontId="39" fillId="11" borderId="80" applyAlignment="1" pivotButton="0" quotePrefix="0" xfId="15">
      <alignment horizontal="center" vertical="center" wrapText="1"/>
    </xf>
    <xf numFmtId="0" fontId="39" fillId="11" borderId="87" applyAlignment="1" pivotButton="0" quotePrefix="0" xfId="15">
      <alignment horizontal="center" vertical="center" wrapText="1"/>
    </xf>
    <xf numFmtId="0" fontId="39" fillId="11" borderId="81" applyAlignment="1" pivotButton="0" quotePrefix="0" xfId="15">
      <alignment horizontal="center" vertical="center" wrapText="1"/>
    </xf>
    <xf numFmtId="0" fontId="39" fillId="11" borderId="88" applyAlignment="1" pivotButton="0" quotePrefix="0" xfId="15">
      <alignment horizontal="center" vertical="center" wrapText="1"/>
    </xf>
    <xf numFmtId="0" fontId="0" fillId="0" borderId="96" applyAlignment="1" pivotButton="0" quotePrefix="0" xfId="15">
      <alignment horizontal="left" vertical="center" wrapText="1"/>
    </xf>
    <xf numFmtId="0" fontId="0" fillId="0" borderId="54" applyAlignment="1" pivotButton="0" quotePrefix="0" xfId="15">
      <alignment horizontal="left" vertical="center" wrapText="1"/>
    </xf>
    <xf numFmtId="0" fontId="0" fillId="0" borderId="10" applyAlignment="1" pivotButton="0" quotePrefix="0" xfId="15">
      <alignment horizontal="left" vertical="center" wrapText="1"/>
    </xf>
    <xf numFmtId="0" fontId="0" fillId="0" borderId="102" applyAlignment="1" pivotButton="0" quotePrefix="0" xfId="15">
      <alignment horizontal="left" vertical="center" wrapText="1"/>
    </xf>
    <xf numFmtId="0" fontId="0" fillId="0" borderId="5" applyAlignment="1" pivotButton="0" quotePrefix="0" xfId="15">
      <alignment horizontal="left" vertical="center" wrapText="1"/>
    </xf>
    <xf numFmtId="0" fontId="56" fillId="0" borderId="32" applyAlignment="1" pivotButton="0" quotePrefix="0" xfId="15">
      <alignment horizontal="right" vertical="center"/>
    </xf>
    <xf numFmtId="0" fontId="56" fillId="0" borderId="33" applyAlignment="1" pivotButton="0" quotePrefix="0" xfId="15">
      <alignment horizontal="right" vertical="center"/>
    </xf>
    <xf numFmtId="0" fontId="56" fillId="0" borderId="34" applyAlignment="1" pivotButton="0" quotePrefix="0" xfId="15">
      <alignment horizontal="right" vertical="center"/>
    </xf>
    <xf numFmtId="0" fontId="56" fillId="0" borderId="40" applyAlignment="1" pivotButton="0" quotePrefix="0" xfId="15">
      <alignment horizontal="right" vertical="center"/>
    </xf>
    <xf numFmtId="0" fontId="56" fillId="0" borderId="41" applyAlignment="1" pivotButton="0" quotePrefix="0" xfId="15">
      <alignment horizontal="right" vertical="center"/>
    </xf>
    <xf numFmtId="0" fontId="56" fillId="0" borderId="42" applyAlignment="1" pivotButton="0" quotePrefix="0" xfId="15">
      <alignment horizontal="right" vertical="center"/>
    </xf>
    <xf numFmtId="166" fontId="36" fillId="31" borderId="32" applyAlignment="1" pivotButton="0" quotePrefix="0" xfId="15">
      <alignment horizontal="center" vertical="center"/>
    </xf>
    <xf numFmtId="166" fontId="36" fillId="31" borderId="34" applyAlignment="1" pivotButton="0" quotePrefix="0" xfId="15">
      <alignment horizontal="center" vertical="center"/>
    </xf>
    <xf numFmtId="166" fontId="36" fillId="31" borderId="40" applyAlignment="1" pivotButton="0" quotePrefix="0" xfId="15">
      <alignment horizontal="center" vertical="center"/>
    </xf>
    <xf numFmtId="166" fontId="36" fillId="31" borderId="42" applyAlignment="1" pivotButton="0" quotePrefix="0" xfId="15">
      <alignment horizontal="center" vertical="center"/>
    </xf>
    <xf numFmtId="0" fontId="33" fillId="27" borderId="105" applyAlignment="1" pivotButton="0" quotePrefix="0" xfId="15">
      <alignment horizontal="center" vertical="center"/>
    </xf>
    <xf numFmtId="0" fontId="33" fillId="27" borderId="106" applyAlignment="1" pivotButton="0" quotePrefix="0" xfId="15">
      <alignment horizontal="center" vertical="center"/>
    </xf>
    <xf numFmtId="0" fontId="42" fillId="0" borderId="106" pivotButton="0" quotePrefix="0" xfId="15"/>
    <xf numFmtId="0" fontId="42" fillId="0" borderId="107" pivotButton="0" quotePrefix="0" xfId="15"/>
    <xf numFmtId="0" fontId="52" fillId="0" borderId="108" applyAlignment="1" pivotButton="0" quotePrefix="0" xfId="15">
      <alignment horizontal="left" vertical="top" wrapText="1"/>
    </xf>
    <xf numFmtId="0" fontId="0" fillId="0" borderId="78" applyAlignment="1" pivotButton="0" quotePrefix="0" xfId="15">
      <alignment horizontal="left" vertical="top" wrapText="1"/>
    </xf>
    <xf numFmtId="0" fontId="0" fillId="0" borderId="109" applyAlignment="1" pivotButton="0" quotePrefix="0" xfId="15">
      <alignment horizontal="left" vertical="top" wrapText="1"/>
    </xf>
    <xf numFmtId="0" fontId="0" fillId="0" borderId="110" applyAlignment="1" pivotButton="0" quotePrefix="0" xfId="15">
      <alignment horizontal="left" vertical="top" wrapText="1"/>
    </xf>
    <xf numFmtId="0" fontId="0" fillId="0" borderId="75" applyAlignment="1" pivotButton="0" quotePrefix="0" xfId="15">
      <alignment horizontal="left" vertical="top" wrapText="1"/>
    </xf>
    <xf numFmtId="0" fontId="0" fillId="0" borderId="104" applyAlignment="1" pivotButton="0" quotePrefix="0" xfId="15">
      <alignment horizontal="left" vertical="top" wrapText="1"/>
    </xf>
    <xf numFmtId="0" fontId="0" fillId="29" borderId="113" applyAlignment="1" pivotButton="0" quotePrefix="0" xfId="15">
      <alignment horizontal="center"/>
    </xf>
    <xf numFmtId="14" fontId="0" fillId="29" borderId="113" applyAlignment="1" pivotButton="0" quotePrefix="0" xfId="15">
      <alignment horizontal="center"/>
    </xf>
    <xf numFmtId="0" fontId="33" fillId="29" borderId="114" applyAlignment="1" pivotButton="0" quotePrefix="0" xfId="15">
      <alignment horizontal="center" vertical="center"/>
    </xf>
    <xf numFmtId="0" fontId="42" fillId="0" borderId="114" pivotButton="0" quotePrefix="0" xfId="15"/>
    <xf numFmtId="0" fontId="33" fillId="27" borderId="108" applyAlignment="1" pivotButton="0" quotePrefix="0" xfId="15">
      <alignment horizontal="center" vertical="center"/>
    </xf>
    <xf numFmtId="0" fontId="42" fillId="0" borderId="109" pivotButton="0" quotePrefix="0" xfId="15"/>
    <xf numFmtId="0" fontId="6" fillId="4" borderId="46" applyAlignment="1" pivotButton="0" quotePrefix="0" xfId="0">
      <alignment horizontal="right" vertical="center" wrapText="1"/>
    </xf>
    <xf numFmtId="0" fontId="6" fillId="4" borderId="13" applyAlignment="1" pivotButton="0" quotePrefix="0" xfId="0">
      <alignment horizontal="right" vertical="center" wrapText="1"/>
    </xf>
    <xf numFmtId="0" fontId="5" fillId="5" borderId="13" applyAlignment="1" applyProtection="1" pivotButton="0" quotePrefix="0" xfId="1">
      <alignment horizontal="center" vertical="center"/>
      <protection locked="0" hidden="0"/>
    </xf>
    <xf numFmtId="3" fontId="5" fillId="5" borderId="13" applyAlignment="1" applyProtection="1" pivotButton="0" quotePrefix="0" xfId="1">
      <alignment horizontal="center" vertical="center"/>
      <protection locked="0" hidden="0"/>
    </xf>
    <xf numFmtId="0" fontId="5" fillId="5" borderId="11" applyAlignment="1" applyProtection="1" pivotButton="0" quotePrefix="0" xfId="1">
      <alignment horizontal="center" vertical="center"/>
      <protection locked="0" hidden="0"/>
    </xf>
    <xf numFmtId="0" fontId="5" fillId="5" borderId="10" applyAlignment="1" applyProtection="1" pivotButton="0" quotePrefix="0" xfId="1">
      <alignment horizontal="center" vertical="center"/>
      <protection locked="0" hidden="0"/>
    </xf>
    <xf numFmtId="0" fontId="5" fillId="5" borderId="12" applyAlignment="1" applyProtection="1" pivotButton="0" quotePrefix="0" xfId="1">
      <alignment horizontal="center" vertical="center"/>
      <protection locked="0" hidden="0"/>
    </xf>
    <xf numFmtId="0" fontId="8" fillId="9" borderId="43" applyAlignment="1" pivotButton="0" quotePrefix="0" xfId="4">
      <alignment horizontal="right" vertical="center" wrapText="1"/>
    </xf>
    <xf numFmtId="0" fontId="8" fillId="9" borderId="38" applyAlignment="1" pivotButton="0" quotePrefix="0" xfId="4">
      <alignment horizontal="right" vertical="center" wrapText="1"/>
    </xf>
    <xf numFmtId="0" fontId="8" fillId="9" borderId="29" applyAlignment="1" pivotButton="0" quotePrefix="0" xfId="4">
      <alignment horizontal="right" vertical="center" wrapText="1"/>
    </xf>
    <xf numFmtId="0" fontId="8" fillId="9" borderId="15" applyAlignment="1" pivotButton="0" quotePrefix="0" xfId="4">
      <alignment horizontal="right" vertical="center" wrapText="1"/>
    </xf>
    <xf numFmtId="0" fontId="4" fillId="4" borderId="44" applyAlignment="1" pivotButton="0" quotePrefix="0" xfId="0">
      <alignment horizontal="center" vertical="center" wrapText="1"/>
    </xf>
    <xf numFmtId="0" fontId="4" fillId="4" borderId="5" applyAlignment="1" pivotButton="0" quotePrefix="0" xfId="0">
      <alignment horizontal="center" vertical="center" wrapText="1"/>
    </xf>
    <xf numFmtId="0" fontId="4" fillId="4" borderId="6" applyAlignment="1" pivotButton="0" quotePrefix="0" xfId="0">
      <alignment horizontal="center" vertical="center" wrapText="1"/>
    </xf>
    <xf numFmtId="0" fontId="9" fillId="6" borderId="41" applyAlignment="1" pivotButton="0" quotePrefix="0" xfId="0">
      <alignment horizontal="center" vertical="center"/>
    </xf>
    <xf numFmtId="166" fontId="11" fillId="9" borderId="15" applyAlignment="1" pivotButton="0" quotePrefix="0" xfId="2">
      <alignment horizontal="center" vertical="center"/>
    </xf>
    <xf numFmtId="166" fontId="11" fillId="9" borderId="17" applyAlignment="1" pivotButton="0" quotePrefix="0" xfId="2">
      <alignment horizontal="center" vertical="center"/>
    </xf>
    <xf numFmtId="175" fontId="11" fillId="9" borderId="38" applyAlignment="1" pivotButton="0" quotePrefix="0" xfId="2">
      <alignment horizontal="center" vertical="center"/>
    </xf>
    <xf numFmtId="175" fontId="11" fillId="9" borderId="39" applyAlignment="1" pivotButton="0" quotePrefix="0" xfId="2">
      <alignment horizontal="center" vertical="center"/>
    </xf>
    <xf numFmtId="0" fontId="11" fillId="9" borderId="14" applyAlignment="1" pivotButton="0" quotePrefix="0" xfId="4">
      <alignment horizontal="right" vertical="center" wrapText="1"/>
    </xf>
    <xf numFmtId="0" fontId="11" fillId="9" borderId="29" applyAlignment="1" pivotButton="0" quotePrefix="0" xfId="4">
      <alignment horizontal="right" vertical="center" wrapText="1"/>
    </xf>
    <xf numFmtId="0" fontId="11" fillId="9" borderId="15" applyAlignment="1" pivotButton="0" quotePrefix="0" xfId="4">
      <alignment horizontal="right" vertical="center" wrapText="1"/>
    </xf>
    <xf numFmtId="0" fontId="11" fillId="9" borderId="37" applyAlignment="1" pivotButton="0" quotePrefix="0" xfId="4">
      <alignment horizontal="right" vertical="center" wrapText="1"/>
    </xf>
    <xf numFmtId="0" fontId="11" fillId="9" borderId="43" applyAlignment="1" pivotButton="0" quotePrefix="0" xfId="4">
      <alignment horizontal="right" vertical="center" wrapText="1"/>
    </xf>
    <xf numFmtId="0" fontId="11" fillId="9" borderId="38" applyAlignment="1" pivotButton="0" quotePrefix="0" xfId="4">
      <alignment horizontal="right" vertical="center" wrapText="1"/>
    </xf>
    <xf numFmtId="49" fontId="7" fillId="6" borderId="40" applyAlignment="1" pivotButton="0" quotePrefix="0" xfId="0">
      <alignment horizontal="left" vertical="center" wrapText="1" readingOrder="1"/>
    </xf>
    <xf numFmtId="49" fontId="7" fillId="6" borderId="41" applyAlignment="1" pivotButton="0" quotePrefix="0" xfId="0">
      <alignment horizontal="left" vertical="center" wrapText="1" readingOrder="1"/>
    </xf>
    <xf numFmtId="49" fontId="7" fillId="6" borderId="41" applyAlignment="1" pivotButton="0" quotePrefix="0" xfId="0">
      <alignment horizontal="left" vertical="center" readingOrder="1"/>
    </xf>
    <xf numFmtId="49" fontId="7" fillId="6" borderId="42" applyAlignment="1" pivotButton="0" quotePrefix="0" xfId="0">
      <alignment horizontal="left" vertical="center" readingOrder="1"/>
    </xf>
    <xf numFmtId="0" fontId="2" fillId="2" borderId="14" applyAlignment="1" pivotButton="0" quotePrefix="0" xfId="0">
      <alignment horizontal="center" vertical="center" wrapText="1"/>
    </xf>
    <xf numFmtId="0" fontId="2" fillId="2" borderId="29" applyAlignment="1" pivotButton="0" quotePrefix="0" xfId="0">
      <alignment horizontal="center" vertical="center" wrapText="1"/>
    </xf>
    <xf numFmtId="0" fontId="2" fillId="2" borderId="15" applyAlignment="1" pivotButton="0" quotePrefix="0" xfId="0">
      <alignment horizontal="center" vertical="center" wrapText="1"/>
    </xf>
    <xf numFmtId="0" fontId="2" fillId="2" borderId="17" applyAlignment="1" pivotButton="0" quotePrefix="0" xfId="0">
      <alignment horizontal="center" vertical="center" wrapText="1"/>
    </xf>
    <xf numFmtId="0" fontId="2" fillId="2" borderId="37" applyAlignment="1" pivotButton="0" quotePrefix="0" xfId="0">
      <alignment horizontal="center" vertical="center"/>
    </xf>
    <xf numFmtId="0" fontId="2" fillId="2" borderId="43" applyAlignment="1" pivotButton="0" quotePrefix="0" xfId="0">
      <alignment horizontal="center" vertical="center"/>
    </xf>
    <xf numFmtId="0" fontId="2" fillId="2" borderId="38" applyAlignment="1" pivotButton="0" quotePrefix="0" xfId="0">
      <alignment horizontal="center" vertical="center"/>
    </xf>
    <xf numFmtId="0" fontId="2" fillId="2" borderId="39" applyAlignment="1" pivotButton="0" quotePrefix="0" xfId="0">
      <alignment horizontal="center" vertical="center"/>
    </xf>
    <xf numFmtId="4" fontId="12" fillId="7" borderId="15" applyAlignment="1" pivotButton="0" quotePrefix="0" xfId="4">
      <alignment horizontal="center" vertical="center" wrapText="1"/>
    </xf>
    <xf numFmtId="0" fontId="17" fillId="7" borderId="28" applyAlignment="1" pivotButton="0" quotePrefix="0" xfId="0">
      <alignment horizontal="center" vertical="center"/>
    </xf>
    <xf numFmtId="0" fontId="17" fillId="7" borderId="2" applyAlignment="1" pivotButton="0" quotePrefix="0" xfId="0">
      <alignment horizontal="center" vertical="center"/>
    </xf>
    <xf numFmtId="0" fontId="17" fillId="7" borderId="29" applyAlignment="1" pivotButton="0" quotePrefix="0" xfId="0">
      <alignment horizontal="center" vertical="center"/>
    </xf>
    <xf numFmtId="14" fontId="5" fillId="5" borderId="20" applyAlignment="1" applyProtection="1" pivotButton="0" quotePrefix="0" xfId="1">
      <alignment horizontal="center" vertical="center"/>
      <protection locked="0" hidden="0"/>
    </xf>
    <xf numFmtId="165" fontId="5" fillId="5" borderId="27" applyAlignment="1" applyProtection="1" pivotButton="0" quotePrefix="0" xfId="1">
      <alignment horizontal="center" vertical="center"/>
      <protection locked="0" hidden="0"/>
    </xf>
    <xf numFmtId="3" fontId="5" fillId="5" borderId="11" applyAlignment="1" applyProtection="1" pivotButton="0" quotePrefix="0" xfId="1">
      <alignment horizontal="center" vertical="center"/>
      <protection locked="0" hidden="0"/>
    </xf>
    <xf numFmtId="3" fontId="5" fillId="5" borderId="10" applyAlignment="1" applyProtection="1" pivotButton="0" quotePrefix="0" xfId="1">
      <alignment horizontal="center" vertical="center"/>
      <protection locked="0" hidden="0"/>
    </xf>
    <xf numFmtId="3" fontId="5" fillId="5" borderId="12" applyAlignment="1" applyProtection="1" pivotButton="0" quotePrefix="0" xfId="1">
      <alignment horizontal="center" vertical="center"/>
      <protection locked="0" hidden="0"/>
    </xf>
    <xf numFmtId="0" fontId="2" fillId="4" borderId="2" applyAlignment="1" pivotButton="0" quotePrefix="0" xfId="0">
      <alignment horizontal="right" vertical="center"/>
    </xf>
    <xf numFmtId="0" fontId="2" fillId="4" borderId="1" applyAlignment="1" pivotButton="0" quotePrefix="0" xfId="0">
      <alignment horizontal="center" vertical="center" wrapText="1"/>
    </xf>
    <xf numFmtId="0" fontId="2" fillId="4" borderId="2" applyAlignment="1" pivotButton="0" quotePrefix="0" xfId="0">
      <alignment horizontal="center" vertical="center" wrapText="1"/>
    </xf>
    <xf numFmtId="0" fontId="5" fillId="5" borderId="28" applyAlignment="1" applyProtection="1" pivotButton="0" quotePrefix="0" xfId="1">
      <alignment horizontal="center" vertical="center"/>
      <protection locked="0" hidden="0"/>
    </xf>
    <xf numFmtId="0" fontId="5" fillId="5" borderId="29" applyAlignment="1" applyProtection="1" pivotButton="0" quotePrefix="0" xfId="1">
      <alignment horizontal="center" vertical="center"/>
      <protection locked="0" hidden="0"/>
    </xf>
    <xf numFmtId="0" fontId="6" fillId="4" borderId="28" applyAlignment="1" pivotButton="0" quotePrefix="0" xfId="0">
      <alignment horizontal="right" vertical="center" wrapText="1"/>
    </xf>
    <xf numFmtId="0" fontId="6" fillId="4" borderId="2" applyAlignment="1" pivotButton="0" quotePrefix="0" xfId="0">
      <alignment horizontal="right" vertical="center" wrapText="1"/>
    </xf>
    <xf numFmtId="0" fontId="6" fillId="4" borderId="29" applyAlignment="1" pivotButton="0" quotePrefix="0" xfId="0">
      <alignment horizontal="right" vertical="center" wrapText="1"/>
    </xf>
    <xf numFmtId="0" fontId="4" fillId="4" borderId="19" applyAlignment="1" pivotButton="0" quotePrefix="0" xfId="0">
      <alignment horizontal="right" vertical="center" wrapText="1"/>
    </xf>
    <xf numFmtId="0" fontId="4" fillId="4" borderId="26" applyAlignment="1" pivotButton="0" quotePrefix="0" xfId="0">
      <alignment horizontal="right" vertical="center" wrapText="1"/>
    </xf>
    <xf numFmtId="166" fontId="2" fillId="13" borderId="32" applyAlignment="1" pivotButton="0" quotePrefix="0" xfId="2">
      <alignment horizontal="center" vertical="center" wrapText="1"/>
    </xf>
    <xf numFmtId="166" fontId="2" fillId="13" borderId="33" applyAlignment="1" pivotButton="0" quotePrefix="0" xfId="2">
      <alignment horizontal="center" vertical="center" wrapText="1"/>
    </xf>
    <xf numFmtId="166" fontId="2" fillId="13" borderId="34" applyAlignment="1" pivotButton="0" quotePrefix="0" xfId="2">
      <alignment horizontal="center" vertical="center" wrapText="1"/>
    </xf>
    <xf numFmtId="0" fontId="5" fillId="13" borderId="7" applyAlignment="1" pivotButton="0" quotePrefix="0" xfId="0">
      <alignment horizontal="center" vertical="center" wrapText="1"/>
    </xf>
    <xf numFmtId="0" fontId="5" fillId="13" borderId="8" applyAlignment="1" pivotButton="0" quotePrefix="0" xfId="0">
      <alignment horizontal="center" vertical="center" wrapText="1"/>
    </xf>
    <xf numFmtId="0" fontId="5" fillId="13" borderId="9" applyAlignment="1" pivotButton="0" quotePrefix="0" xfId="0">
      <alignment horizontal="center" vertical="center" wrapText="1"/>
    </xf>
    <xf numFmtId="166" fontId="2" fillId="13" borderId="7" applyAlignment="1" pivotButton="0" quotePrefix="0" xfId="2">
      <alignment horizontal="center" vertical="center" wrapText="1"/>
    </xf>
    <xf numFmtId="166" fontId="2" fillId="13" borderId="8" applyAlignment="1" pivotButton="0" quotePrefix="0" xfId="2">
      <alignment horizontal="center" vertical="center" wrapText="1"/>
    </xf>
    <xf numFmtId="166" fontId="2" fillId="13" borderId="9" applyAlignment="1" pivotButton="0" quotePrefix="0" xfId="2">
      <alignment horizontal="center" vertical="center" wrapText="1"/>
    </xf>
    <xf numFmtId="166" fontId="2" fillId="13" borderId="41" applyAlignment="1" pivotButton="0" quotePrefix="0" xfId="2">
      <alignment horizontal="center" vertical="center" wrapText="1"/>
    </xf>
    <xf numFmtId="166" fontId="5" fillId="13" borderId="7" applyAlignment="1" pivotButton="0" quotePrefix="0" xfId="2">
      <alignment horizontal="center" vertical="center" wrapText="1"/>
    </xf>
    <xf numFmtId="166" fontId="5" fillId="13" borderId="8" applyAlignment="1" pivotButton="0" quotePrefix="0" xfId="2">
      <alignment horizontal="center" vertical="center" wrapText="1"/>
    </xf>
    <xf numFmtId="166" fontId="5" fillId="13" borderId="9" applyAlignment="1" pivotButton="0" quotePrefix="0" xfId="2">
      <alignment horizontal="center" vertical="center" wrapText="1"/>
    </xf>
    <xf numFmtId="0" fontId="7" fillId="0" borderId="7" applyAlignment="1" pivotButton="0" quotePrefix="0" xfId="8">
      <alignment horizontal="left" vertical="top" wrapText="1"/>
    </xf>
    <xf numFmtId="0" fontId="7" fillId="0" borderId="8" applyAlignment="1" pivotButton="0" quotePrefix="0" xfId="8">
      <alignment horizontal="left" vertical="top" wrapText="1"/>
    </xf>
    <xf numFmtId="0" fontId="7" fillId="0" borderId="9" applyAlignment="1" pivotButton="0" quotePrefix="0" xfId="8">
      <alignment horizontal="left" vertical="top" wrapText="1"/>
    </xf>
    <xf numFmtId="166" fontId="2" fillId="13" borderId="40" applyAlignment="1" pivotButton="0" quotePrefix="0" xfId="2">
      <alignment horizontal="center" vertical="center" wrapText="1"/>
    </xf>
    <xf numFmtId="166" fontId="2" fillId="13" borderId="42" applyAlignment="1" pivotButton="0" quotePrefix="0" xfId="2">
      <alignment horizontal="center" vertical="center" wrapText="1"/>
    </xf>
    <xf numFmtId="0" fontId="0" fillId="0" borderId="0" applyAlignment="1" pivotButton="0" quotePrefix="0" xfId="0">
      <alignment horizontal="center"/>
    </xf>
    <xf numFmtId="0" fontId="33" fillId="25" borderId="13" applyAlignment="1" pivotButton="0" quotePrefix="0" xfId="0">
      <alignment horizontal="center" vertical="center"/>
    </xf>
    <xf numFmtId="0" fontId="2" fillId="4" borderId="29" applyAlignment="1" pivotButton="0" quotePrefix="0" xfId="0">
      <alignment horizontal="center" vertical="center" wrapText="1"/>
    </xf>
    <xf numFmtId="0" fontId="2" fillId="2" borderId="3" applyAlignment="1" pivotButton="0" quotePrefix="0" xfId="0">
      <alignment horizontal="center" vertical="center" wrapText="1"/>
    </xf>
    <xf numFmtId="164" fontId="5" fillId="5" borderId="28" applyAlignment="1" pivotButton="0" quotePrefix="0" xfId="1">
      <alignment horizontal="center" vertical="center"/>
    </xf>
    <xf numFmtId="164" fontId="5" fillId="5" borderId="2" applyAlignment="1" pivotButton="0" quotePrefix="0" xfId="1">
      <alignment horizontal="center" vertical="center"/>
    </xf>
    <xf numFmtId="164" fontId="5" fillId="5" borderId="3" applyAlignment="1" pivotButton="0" quotePrefix="0" xfId="1">
      <alignment horizontal="center" vertical="center"/>
    </xf>
    <xf numFmtId="0" fontId="5" fillId="5" borderId="11" applyAlignment="1" pivotButton="0" quotePrefix="0" xfId="1">
      <alignment horizontal="center" vertical="center"/>
    </xf>
    <xf numFmtId="0" fontId="5" fillId="5" borderId="10" applyAlignment="1" pivotButton="0" quotePrefix="0" xfId="1">
      <alignment horizontal="center" vertical="center"/>
    </xf>
    <xf numFmtId="0" fontId="4" fillId="4" borderId="11" applyAlignment="1" pivotButton="0" quotePrefix="0" xfId="0">
      <alignment horizontal="right" vertical="center" wrapText="1"/>
    </xf>
    <xf numFmtId="0" fontId="4" fillId="4" borderId="10" applyAlignment="1" pivotButton="0" quotePrefix="0" xfId="0">
      <alignment horizontal="right" vertical="center" wrapText="1"/>
    </xf>
    <xf numFmtId="14" fontId="5" fillId="5" borderId="44" applyAlignment="1" pivotButton="0" quotePrefix="0" xfId="1">
      <alignment horizontal="center" vertical="center"/>
    </xf>
    <xf numFmtId="14" fontId="5" fillId="5" borderId="5" applyAlignment="1" pivotButton="0" quotePrefix="0" xfId="1">
      <alignment horizontal="center" vertical="center"/>
    </xf>
    <xf numFmtId="14" fontId="5" fillId="5" borderId="6" applyAlignment="1" pivotButton="0" quotePrefix="0" xfId="1">
      <alignment horizontal="center" vertical="center"/>
    </xf>
    <xf numFmtId="0" fontId="4" fillId="4" borderId="4" applyAlignment="1" pivotButton="0" quotePrefix="0" xfId="0">
      <alignment horizontal="center" vertical="center"/>
    </xf>
    <xf numFmtId="0" fontId="4" fillId="4" borderId="5" applyAlignment="1" pivotButton="0" quotePrefix="0" xfId="0">
      <alignment horizontal="center" vertical="center"/>
    </xf>
    <xf numFmtId="0" fontId="4" fillId="4" borderId="43" applyAlignment="1" pivotButton="0" quotePrefix="0" xfId="0">
      <alignment horizontal="center" vertical="center"/>
    </xf>
    <xf numFmtId="0" fontId="9" fillId="0" borderId="14" applyAlignment="1" pivotButton="0" quotePrefix="0" xfId="9">
      <alignment horizontal="center" vertical="center"/>
    </xf>
    <xf numFmtId="0" fontId="9" fillId="0" borderId="37" applyAlignment="1" pivotButton="0" quotePrefix="0" xfId="9">
      <alignment horizontal="center" vertical="center"/>
    </xf>
    <xf numFmtId="0" fontId="9" fillId="0" borderId="31" applyAlignment="1" pivotButton="0" quotePrefix="0" xfId="9">
      <alignment horizontal="center" vertical="center" wrapText="1"/>
    </xf>
    <xf numFmtId="0" fontId="9" fillId="0" borderId="45" applyAlignment="1" pivotButton="0" quotePrefix="0" xfId="9">
      <alignment horizontal="center" vertical="center" wrapText="1"/>
    </xf>
    <xf numFmtId="0" fontId="17" fillId="2" borderId="7" applyAlignment="1" applyProtection="1" pivotButton="0" quotePrefix="0" xfId="0">
      <alignment horizontal="center" vertical="center"/>
      <protection locked="0" hidden="0"/>
    </xf>
    <xf numFmtId="0" fontId="17" fillId="2" borderId="9" applyAlignment="1" applyProtection="1" pivotButton="0" quotePrefix="0" xfId="0">
      <alignment horizontal="center" vertical="center"/>
      <protection locked="0" hidden="0"/>
    </xf>
    <xf numFmtId="49" fontId="2" fillId="5" borderId="11" applyAlignment="1" pivotButton="0" quotePrefix="0" xfId="0">
      <alignment horizontal="center" vertical="center" wrapText="1"/>
    </xf>
    <xf numFmtId="49" fontId="2" fillId="5" borderId="10" applyAlignment="1" pivotButton="0" quotePrefix="0" xfId="0">
      <alignment horizontal="center" vertical="center" wrapText="1"/>
    </xf>
    <xf numFmtId="49" fontId="2" fillId="5" borderId="53" applyAlignment="1" pivotButton="0" quotePrefix="0" xfId="0">
      <alignment horizontal="center" vertical="center" wrapText="1"/>
    </xf>
    <xf numFmtId="0" fontId="47" fillId="0" borderId="41" applyAlignment="1" applyProtection="1" pivotButton="0" quotePrefix="0" xfId="0">
      <alignment horizontal="center" vertical="top" wrapText="1"/>
      <protection locked="0" hidden="0"/>
    </xf>
    <xf numFmtId="0" fontId="4" fillId="4" borderId="51" applyAlignment="1" pivotButton="0" quotePrefix="0" xfId="0">
      <alignment horizontal="right" vertical="center"/>
    </xf>
    <xf numFmtId="0" fontId="2" fillId="5" borderId="13" applyAlignment="1" pivotButton="0" quotePrefix="0" xfId="0">
      <alignment horizontal="center" vertical="center"/>
    </xf>
    <xf numFmtId="0" fontId="2" fillId="5" borderId="47" applyAlignment="1" pivotButton="0" quotePrefix="0" xfId="0">
      <alignment horizontal="center" vertical="center"/>
    </xf>
    <xf numFmtId="0" fontId="2" fillId="5" borderId="38" applyAlignment="1" pivotButton="0" quotePrefix="0" xfId="0">
      <alignment horizontal="left" vertical="center"/>
    </xf>
    <xf numFmtId="0" fontId="2" fillId="5" borderId="39" applyAlignment="1" pivotButton="0" quotePrefix="0" xfId="0">
      <alignment horizontal="left" vertical="center"/>
    </xf>
    <xf numFmtId="0" fontId="2" fillId="5" borderId="38" applyAlignment="1" pivotButton="0" quotePrefix="0" xfId="0">
      <alignment horizontal="center" vertical="center"/>
    </xf>
    <xf numFmtId="0" fontId="2" fillId="5" borderId="39" applyAlignment="1" pivotButton="0" quotePrefix="0" xfId="0">
      <alignment horizontal="center" vertical="center"/>
    </xf>
    <xf numFmtId="0" fontId="14" fillId="0" borderId="13" applyAlignment="1" pivotButton="0" quotePrefix="0" xfId="0">
      <alignment horizontal="center" vertical="center" wrapText="1"/>
    </xf>
    <xf numFmtId="0" fontId="14" fillId="0" borderId="19" applyAlignment="1" pivotButton="0" quotePrefix="0" xfId="0">
      <alignment horizontal="center" vertical="center" wrapText="1"/>
    </xf>
    <xf numFmtId="0" fontId="0" fillId="0" borderId="13" applyAlignment="1" pivotButton="0" quotePrefix="0" xfId="0">
      <alignment horizontal="center" vertical="center" wrapText="1"/>
    </xf>
    <xf numFmtId="0" fontId="34" fillId="0" borderId="7" applyAlignment="1" pivotButton="0" quotePrefix="0" xfId="0">
      <alignment horizontal="right" vertical="center"/>
    </xf>
    <xf numFmtId="0" fontId="34" fillId="0" borderId="8" applyAlignment="1" pivotButton="0" quotePrefix="0" xfId="0">
      <alignment horizontal="right" vertical="center"/>
    </xf>
    <xf numFmtId="0" fontId="34" fillId="0" borderId="64" applyAlignment="1" pivotButton="0" quotePrefix="0" xfId="0">
      <alignment horizontal="right" vertical="center"/>
    </xf>
    <xf numFmtId="0" fontId="37" fillId="18" borderId="31" applyAlignment="1" pivotButton="0" quotePrefix="0" xfId="6">
      <alignment horizontal="center" vertical="center" wrapText="1"/>
    </xf>
    <xf numFmtId="0" fontId="37" fillId="18" borderId="45" applyAlignment="1" pivotButton="0" quotePrefix="0" xfId="6">
      <alignment horizontal="center" vertical="center" wrapText="1"/>
    </xf>
    <xf numFmtId="0" fontId="37" fillId="18" borderId="65" applyAlignment="1" pivotButton="0" quotePrefix="0" xfId="0">
      <alignment horizontal="center" vertical="center" wrapText="1"/>
    </xf>
    <xf numFmtId="0" fontId="37" fillId="18" borderId="59" applyAlignment="1" pivotButton="0" quotePrefix="0" xfId="0">
      <alignment horizontal="center" vertical="center" wrapText="1"/>
    </xf>
    <xf numFmtId="0" fontId="37" fillId="18" borderId="16" applyAlignment="1" pivotButton="0" quotePrefix="0" xfId="0">
      <alignment horizontal="center" vertical="center" wrapText="1"/>
    </xf>
    <xf numFmtId="0" fontId="37" fillId="18" borderId="23" applyAlignment="1" pivotButton="0" quotePrefix="0" xfId="0">
      <alignment horizontal="center" vertical="center" wrapText="1"/>
    </xf>
    <xf numFmtId="0" fontId="38" fillId="18" borderId="16" applyAlignment="1" pivotButton="0" quotePrefix="0" xfId="6">
      <alignment horizontal="center" vertical="center" wrapText="1"/>
    </xf>
    <xf numFmtId="0" fontId="38" fillId="18" borderId="23" applyAlignment="1" pivotButton="0" quotePrefix="0" xfId="6">
      <alignment horizontal="center" vertical="center" wrapText="1"/>
    </xf>
    <xf numFmtId="0" fontId="37" fillId="18" borderId="16" applyAlignment="1" pivotButton="0" quotePrefix="0" xfId="6">
      <alignment horizontal="center" vertical="center" wrapText="1"/>
    </xf>
    <xf numFmtId="0" fontId="37" fillId="18" borderId="23" applyAlignment="1" pivotButton="0" quotePrefix="0" xfId="6">
      <alignment horizontal="center" vertical="center" wrapText="1"/>
    </xf>
    <xf numFmtId="0" fontId="35" fillId="5" borderId="7" applyAlignment="1" pivotButton="0" quotePrefix="0" xfId="4">
      <alignment horizontal="left" vertical="center" wrapText="1"/>
    </xf>
    <xf numFmtId="0" fontId="35" fillId="5" borderId="8" applyAlignment="1" pivotButton="0" quotePrefix="0" xfId="4">
      <alignment horizontal="left" vertical="center" wrapText="1"/>
    </xf>
    <xf numFmtId="0" fontId="35" fillId="5" borderId="9" applyAlignment="1" pivotButton="0" quotePrefix="0" xfId="4">
      <alignment horizontal="left" vertical="center" wrapText="1"/>
    </xf>
    <xf numFmtId="0" fontId="34" fillId="0" borderId="14" applyAlignment="1" pivotButton="0" quotePrefix="0" xfId="4">
      <alignment horizontal="center" vertical="center"/>
    </xf>
    <xf numFmtId="0" fontId="34" fillId="0" borderId="15" applyAlignment="1" pivotButton="0" quotePrefix="0" xfId="4">
      <alignment horizontal="center" vertical="center"/>
    </xf>
    <xf numFmtId="0" fontId="34" fillId="0" borderId="17" applyAlignment="1" pivotButton="0" quotePrefix="0" xfId="4">
      <alignment horizontal="center" vertical="center"/>
    </xf>
    <xf numFmtId="0" fontId="6" fillId="4" borderId="11" applyAlignment="1" pivotButton="0" quotePrefix="0" xfId="0">
      <alignment horizontal="right" vertical="center" wrapText="1"/>
    </xf>
    <xf numFmtId="0" fontId="6" fillId="4" borderId="12" applyAlignment="1" pivotButton="0" quotePrefix="0" xfId="0">
      <alignment horizontal="right" vertical="center" wrapText="1"/>
    </xf>
    <xf numFmtId="0" fontId="34" fillId="0" borderId="60" applyAlignment="1" pivotButton="0" quotePrefix="0" xfId="4">
      <alignment horizontal="center" vertical="center" wrapText="1"/>
    </xf>
    <xf numFmtId="0" fontId="34" fillId="0" borderId="61" applyAlignment="1" pivotButton="0" quotePrefix="0" xfId="4">
      <alignment horizontal="center" vertical="center" wrapText="1"/>
    </xf>
    <xf numFmtId="0" fontId="34" fillId="0" borderId="63" applyAlignment="1" pivotButton="0" quotePrefix="0" xfId="4">
      <alignment horizontal="center" vertical="center" wrapText="1"/>
    </xf>
    <xf numFmtId="0" fontId="34" fillId="0" borderId="62" applyAlignment="1" pivotButton="0" quotePrefix="0" xfId="4">
      <alignment horizontal="center" vertical="center" wrapText="1"/>
    </xf>
    <xf numFmtId="0" fontId="34" fillId="0" borderId="54" applyAlignment="1" pivotButton="0" quotePrefix="0" xfId="4">
      <alignment horizontal="center" vertical="center" wrapText="1"/>
    </xf>
    <xf numFmtId="0" fontId="34" fillId="0" borderId="52" applyAlignment="1" pivotButton="0" quotePrefix="0" xfId="4">
      <alignment horizontal="center" vertical="center" wrapText="1"/>
    </xf>
    <xf numFmtId="0" fontId="6" fillId="4" borderId="46" applyAlignment="1" pivotButton="0" quotePrefix="0" xfId="0">
      <alignment horizontal="right" vertical="center"/>
    </xf>
    <xf numFmtId="0" fontId="6" fillId="4" borderId="13" applyAlignment="1" pivotButton="0" quotePrefix="0" xfId="0">
      <alignment horizontal="right" vertical="center"/>
    </xf>
    <xf numFmtId="0" fontId="33" fillId="0" borderId="13" applyAlignment="1" pivotButton="0" quotePrefix="0" xfId="0">
      <alignment horizontal="center" vertical="center"/>
    </xf>
    <xf numFmtId="0" fontId="44" fillId="19" borderId="40" applyAlignment="1" pivotButton="0" quotePrefix="0" xfId="0">
      <alignment horizontal="right" vertical="center"/>
    </xf>
    <xf numFmtId="0" fontId="44" fillId="19" borderId="59" applyAlignment="1" pivotButton="0" quotePrefix="0" xfId="0">
      <alignment horizontal="right" vertical="center"/>
    </xf>
    <xf numFmtId="0" fontId="4" fillId="4" borderId="37" applyAlignment="1" pivotButton="0" quotePrefix="0" xfId="0">
      <alignment horizontal="right" vertical="center" wrapText="1"/>
    </xf>
    <xf numFmtId="0" fontId="4" fillId="4" borderId="38" applyAlignment="1" pivotButton="0" quotePrefix="0" xfId="0">
      <alignment horizontal="right" vertical="center" wrapText="1"/>
    </xf>
    <xf numFmtId="0" fontId="0" fillId="0" borderId="15" applyAlignment="1" pivotButton="0" quotePrefix="0" xfId="0">
      <alignment horizontal="center" vertical="center" wrapText="1"/>
    </xf>
    <xf numFmtId="2" fontId="19" fillId="2" borderId="24" applyAlignment="1" pivotButton="0" quotePrefix="0" xfId="0">
      <alignment horizontal="center" vertical="center" wrapText="1"/>
    </xf>
    <xf numFmtId="0" fontId="0" fillId="0" borderId="8" pivotButton="0" quotePrefix="0" xfId="0"/>
    <xf numFmtId="0" fontId="0" fillId="0" borderId="9" pivotButton="0" quotePrefix="0" xfId="0"/>
    <xf numFmtId="0" fontId="4" fillId="4" borderId="14" applyAlignment="1" pivotButton="0" quotePrefix="0" xfId="0">
      <alignment horizontal="center" vertical="center" wrapText="1"/>
    </xf>
    <xf numFmtId="0" fontId="0" fillId="0" borderId="2" pivotButton="0" quotePrefix="0" xfId="0"/>
    <xf numFmtId="0" fontId="0" fillId="0" borderId="29" pivotButton="0" quotePrefix="0" xfId="0"/>
    <xf numFmtId="0" fontId="0" fillId="0" borderId="12" pivotButton="0" quotePrefix="0" xfId="0"/>
    <xf numFmtId="171" fontId="2" fillId="5" borderId="13" applyAlignment="1" pivotButton="0" quotePrefix="0" xfId="0">
      <alignment horizontal="center" vertical="center" wrapText="1"/>
    </xf>
    <xf numFmtId="0" fontId="2" fillId="5" borderId="47" applyAlignment="1" pivotButton="0" quotePrefix="0" xfId="0">
      <alignment horizontal="left" vertical="center" wrapText="1"/>
    </xf>
    <xf numFmtId="0" fontId="0" fillId="0" borderId="53" pivotButton="0" quotePrefix="0" xfId="0"/>
    <xf numFmtId="172" fontId="2" fillId="5" borderId="13" applyAlignment="1" pivotButton="0" quotePrefix="0" xfId="0">
      <alignment horizontal="center" vertical="center" wrapText="1"/>
    </xf>
    <xf numFmtId="164" fontId="5" fillId="5" borderId="47" applyAlignment="1" pivotButton="0" quotePrefix="0" xfId="1">
      <alignment horizontal="center" vertical="center"/>
    </xf>
    <xf numFmtId="0" fontId="4" fillId="5" borderId="37" applyAlignment="1" pivotButton="0" quotePrefix="0" xfId="0">
      <alignment horizontal="right" vertical="center" wrapText="1"/>
    </xf>
    <xf numFmtId="0" fontId="0" fillId="0" borderId="43" pivotButton="0" quotePrefix="0" xfId="0"/>
    <xf numFmtId="0" fontId="0" fillId="0" borderId="24" applyAlignment="1" pivotButton="0" quotePrefix="0" xfId="15">
      <alignment horizontal="center"/>
    </xf>
    <xf numFmtId="0" fontId="0" fillId="0" borderId="34" pivotButton="0" quotePrefix="0" xfId="0"/>
    <xf numFmtId="0" fontId="0" fillId="0" borderId="35" pivotButton="0" quotePrefix="0" xfId="0"/>
    <xf numFmtId="0" fontId="0" fillId="0" borderId="36" pivotButton="0" quotePrefix="0" xfId="0"/>
    <xf numFmtId="0" fontId="33" fillId="0" borderId="131" applyAlignment="1" pivotButton="0" quotePrefix="0" xfId="15">
      <alignment horizontal="center" vertical="center"/>
    </xf>
    <xf numFmtId="0" fontId="0" fillId="0" borderId="74" pivotButton="0" quotePrefix="0" xfId="0"/>
    <xf numFmtId="0" fontId="0" fillId="0" borderId="75" pivotButton="0" quotePrefix="0" xfId="0"/>
    <xf numFmtId="0" fontId="0" fillId="0" borderId="76" pivotButton="0" quotePrefix="0" xfId="0"/>
    <xf numFmtId="0" fontId="33" fillId="27" borderId="132" applyAlignment="1" pivotButton="0" quotePrefix="0" xfId="15">
      <alignment horizontal="center" vertical="center"/>
    </xf>
    <xf numFmtId="0" fontId="0" fillId="0" borderId="78" pivotButton="0" quotePrefix="0" xfId="0"/>
    <xf numFmtId="0" fontId="0" fillId="0" borderId="79" pivotButton="0" quotePrefix="0" xfId="0"/>
    <xf numFmtId="0" fontId="0" fillId="0" borderId="36" applyAlignment="1" pivotButton="0" quotePrefix="0" xfId="15">
      <alignment horizontal="left"/>
    </xf>
    <xf numFmtId="17" fontId="0" fillId="0" borderId="36" applyAlignment="1" pivotButton="0" quotePrefix="0" xfId="15">
      <alignment horizontal="left"/>
    </xf>
    <xf numFmtId="0" fontId="0" fillId="0" borderId="42" applyAlignment="1" pivotButton="0" quotePrefix="0" xfId="15">
      <alignment horizontal="left"/>
    </xf>
    <xf numFmtId="0" fontId="33" fillId="28" borderId="24" applyAlignment="1" pivotButton="0" quotePrefix="0" xfId="15">
      <alignment horizontal="center" vertical="center"/>
    </xf>
    <xf numFmtId="0" fontId="33" fillId="11" borderId="24" applyAlignment="1" pivotButton="0" quotePrefix="0" xfId="15">
      <alignment horizontal="center" vertical="center"/>
    </xf>
    <xf numFmtId="0" fontId="33" fillId="29" borderId="24" applyAlignment="1" pivotButton="0" quotePrefix="0" xfId="15">
      <alignment horizontal="center" vertical="center"/>
    </xf>
    <xf numFmtId="0" fontId="33" fillId="0" borderId="120" applyAlignment="1" pivotButton="0" quotePrefix="0" xfId="15">
      <alignment horizontal="center" vertical="center" wrapText="1"/>
    </xf>
    <xf numFmtId="0" fontId="33" fillId="0" borderId="123" applyAlignment="1" pivotButton="0" quotePrefix="0" xfId="15">
      <alignment horizontal="center" vertical="center" wrapText="1"/>
    </xf>
    <xf numFmtId="0" fontId="33" fillId="0" borderId="125" applyAlignment="1" pivotButton="0" quotePrefix="0" xfId="15">
      <alignment horizontal="center" vertical="center" wrapText="1"/>
    </xf>
    <xf numFmtId="0" fontId="0" fillId="0" borderId="83" pivotButton="0" quotePrefix="0" xfId="0"/>
    <xf numFmtId="0" fontId="39" fillId="0" borderId="125" applyAlignment="1" pivotButton="0" quotePrefix="0" xfId="15">
      <alignment horizontal="center" vertical="center" wrapText="1"/>
    </xf>
    <xf numFmtId="0" fontId="39" fillId="0" borderId="123" applyAlignment="1" pivotButton="0" quotePrefix="0" xfId="15">
      <alignment horizontal="center" vertical="center" wrapText="1"/>
    </xf>
    <xf numFmtId="0" fontId="39" fillId="22" borderId="24" applyAlignment="1" pivotButton="0" quotePrefix="0" xfId="15">
      <alignment horizontal="center" vertical="center" wrapText="1"/>
    </xf>
    <xf numFmtId="0" fontId="39" fillId="28" borderId="120" applyAlignment="1" pivotButton="0" quotePrefix="0" xfId="15">
      <alignment horizontal="center" vertical="center" wrapText="1"/>
    </xf>
    <xf numFmtId="0" fontId="39" fillId="28" borderId="122" applyAlignment="1" pivotButton="0" quotePrefix="0" xfId="15">
      <alignment horizontal="center" vertical="center" wrapText="1"/>
    </xf>
    <xf numFmtId="0" fontId="39" fillId="11" borderId="120" applyAlignment="1" pivotButton="0" quotePrefix="0" xfId="15">
      <alignment horizontal="center" vertical="center" wrapText="1"/>
    </xf>
    <xf numFmtId="0" fontId="39" fillId="11" borderId="123" applyAlignment="1" pivotButton="0" quotePrefix="0" xfId="15">
      <alignment horizontal="center" vertical="center" wrapText="1"/>
    </xf>
    <xf numFmtId="0" fontId="33" fillId="11" borderId="9" applyAlignment="1" pivotButton="0" quotePrefix="0" xfId="15">
      <alignment horizontal="center" vertical="center" wrapText="1"/>
    </xf>
    <xf numFmtId="0" fontId="33" fillId="29" borderId="129" applyAlignment="1" pivotButton="0" quotePrefix="0" xfId="15">
      <alignment horizontal="center" vertical="center" wrapText="1"/>
    </xf>
    <xf numFmtId="0" fontId="33" fillId="29" borderId="127" applyAlignment="1" pivotButton="0" quotePrefix="0" xfId="15">
      <alignment horizontal="center" vertical="center"/>
    </xf>
    <xf numFmtId="0" fontId="0" fillId="0" borderId="87" pivotButton="0" quotePrefix="0" xfId="0"/>
    <xf numFmtId="0" fontId="0" fillId="0" borderId="88" pivotButton="0" quotePrefix="0" xfId="0"/>
    <xf numFmtId="0" fontId="0" fillId="0" borderId="89" pivotButton="0" quotePrefix="0" xfId="0"/>
    <xf numFmtId="0" fontId="0" fillId="0" borderId="90" pivotButton="0" quotePrefix="0" xfId="0"/>
    <xf numFmtId="0" fontId="0" fillId="0" borderId="50" pivotButton="0" quotePrefix="0" xfId="0"/>
    <xf numFmtId="0" fontId="0" fillId="0" borderId="91" pivotButton="0" quotePrefix="0" xfId="0"/>
    <xf numFmtId="0" fontId="0" fillId="0" borderId="92" pivotButton="0" quotePrefix="0" xfId="0"/>
    <xf numFmtId="0" fontId="0" fillId="0" borderId="93" pivotButton="0" quotePrefix="0" xfId="0"/>
    <xf numFmtId="0" fontId="0" fillId="0" borderId="54" pivotButton="0" quotePrefix="0" xfId="0"/>
    <xf numFmtId="166" fontId="0" fillId="0" borderId="54" applyAlignment="1" pivotButton="0" quotePrefix="0" xfId="15">
      <alignment horizontal="center" vertical="center" wrapText="1"/>
    </xf>
    <xf numFmtId="166" fontId="42" fillId="0" borderId="97" applyAlignment="1" pivotButton="0" quotePrefix="0" xfId="15">
      <alignment horizontal="center" vertical="center"/>
    </xf>
    <xf numFmtId="166" fontId="42" fillId="0" borderId="96" applyAlignment="1" pivotButton="0" quotePrefix="0" xfId="15">
      <alignment horizontal="center" vertical="center"/>
    </xf>
    <xf numFmtId="166" fontId="42" fillId="22" borderId="98" applyAlignment="1" pivotButton="0" quotePrefix="0" xfId="15">
      <alignment horizontal="center" vertical="center"/>
    </xf>
    <xf numFmtId="166" fontId="42" fillId="28" borderId="62" applyAlignment="1" pivotButton="0" quotePrefix="0" xfId="15">
      <alignment horizontal="center" vertical="center"/>
    </xf>
    <xf numFmtId="166" fontId="42" fillId="28" borderId="99" applyAlignment="1" pivotButton="0" quotePrefix="0" xfId="15">
      <alignment horizontal="center" vertical="center"/>
    </xf>
    <xf numFmtId="166" fontId="42" fillId="11" borderId="25" applyAlignment="1" pivotButton="0" quotePrefix="0" xfId="15">
      <alignment horizontal="center" vertical="center"/>
    </xf>
    <xf numFmtId="166" fontId="42" fillId="11" borderId="26" applyAlignment="1" pivotButton="0" quotePrefix="0" xfId="15">
      <alignment horizontal="center" vertical="center"/>
    </xf>
    <xf numFmtId="167" fontId="0" fillId="11" borderId="27" applyAlignment="1" pivotButton="0" quotePrefix="0" xfId="15">
      <alignment horizontal="center" vertical="center"/>
    </xf>
    <xf numFmtId="0" fontId="0" fillId="0" borderId="10" pivotButton="0" quotePrefix="0" xfId="0"/>
    <xf numFmtId="166" fontId="0" fillId="0" borderId="10" applyAlignment="1" pivotButton="0" quotePrefix="0" xfId="15">
      <alignment horizontal="center" vertical="center" wrapText="1"/>
    </xf>
    <xf numFmtId="166" fontId="42" fillId="0" borderId="100" applyAlignment="1" pivotButton="0" quotePrefix="0" xfId="15">
      <alignment horizontal="center" vertical="center"/>
    </xf>
    <xf numFmtId="166" fontId="42" fillId="22" borderId="73" applyAlignment="1" pivotButton="0" quotePrefix="0" xfId="15">
      <alignment horizontal="center" vertical="center"/>
    </xf>
    <xf numFmtId="166" fontId="42" fillId="28" borderId="47" applyAlignment="1" pivotButton="0" quotePrefix="0" xfId="15">
      <alignment horizontal="center" vertical="center"/>
    </xf>
    <xf numFmtId="166" fontId="42" fillId="11" borderId="46" applyAlignment="1" pivotButton="0" quotePrefix="0" xfId="15">
      <alignment horizontal="center" vertical="center"/>
    </xf>
    <xf numFmtId="166" fontId="42" fillId="11" borderId="13" applyAlignment="1" pivotButton="0" quotePrefix="0" xfId="15">
      <alignment horizontal="center" vertical="center"/>
    </xf>
    <xf numFmtId="167" fontId="0" fillId="11" borderId="47" applyAlignment="1" pivotButton="0" quotePrefix="0" xfId="15">
      <alignment horizontal="center" vertical="center"/>
    </xf>
    <xf numFmtId="166" fontId="42" fillId="28" borderId="51" applyAlignment="1" pivotButton="0" quotePrefix="0" xfId="15">
      <alignment horizontal="center" vertical="center"/>
    </xf>
    <xf numFmtId="0" fontId="0" fillId="0" borderId="5" pivotButton="0" quotePrefix="0" xfId="0"/>
    <xf numFmtId="166" fontId="0" fillId="0" borderId="5" applyAlignment="1" pivotButton="0" quotePrefix="0" xfId="15">
      <alignment horizontal="center" vertical="center" wrapText="1"/>
    </xf>
    <xf numFmtId="166" fontId="42" fillId="0" borderId="103" applyAlignment="1" pivotButton="0" quotePrefix="0" xfId="15">
      <alignment horizontal="center" vertical="center"/>
    </xf>
    <xf numFmtId="166" fontId="42" fillId="0" borderId="89" applyAlignment="1" pivotButton="0" quotePrefix="0" xfId="15">
      <alignment horizontal="center" vertical="center"/>
    </xf>
    <xf numFmtId="166" fontId="42" fillId="22" borderId="69" applyAlignment="1" pivotButton="0" quotePrefix="0" xfId="15">
      <alignment horizontal="center" vertical="center"/>
    </xf>
    <xf numFmtId="166" fontId="42" fillId="28" borderId="4" applyAlignment="1" pivotButton="0" quotePrefix="0" xfId="15">
      <alignment horizontal="center" vertical="center"/>
    </xf>
    <xf numFmtId="166" fontId="42" fillId="28" borderId="91" applyAlignment="1" pivotButton="0" quotePrefix="0" xfId="15">
      <alignment horizontal="center" vertical="center"/>
    </xf>
    <xf numFmtId="166" fontId="42" fillId="11" borderId="37" applyAlignment="1" pivotButton="0" quotePrefix="0" xfId="15">
      <alignment horizontal="center" vertical="center"/>
    </xf>
    <xf numFmtId="166" fontId="42" fillId="11" borderId="38" applyAlignment="1" pivotButton="0" quotePrefix="0" xfId="15">
      <alignment horizontal="center" vertical="center"/>
    </xf>
    <xf numFmtId="167" fontId="0" fillId="11" borderId="39" applyAlignment="1" pivotButton="0" quotePrefix="0" xfId="15">
      <alignment horizontal="center" vertical="center"/>
    </xf>
    <xf numFmtId="166" fontId="42" fillId="0" borderId="48" pivotButton="0" quotePrefix="0" xfId="15"/>
    <xf numFmtId="166" fontId="42" fillId="0" borderId="22" pivotButton="0" quotePrefix="0" xfId="15"/>
    <xf numFmtId="166" fontId="39" fillId="0" borderId="24" pivotButton="0" quotePrefix="0" xfId="15"/>
    <xf numFmtId="166" fontId="42" fillId="0" borderId="0" pivotButton="0" quotePrefix="0" xfId="15"/>
    <xf numFmtId="166" fontId="39" fillId="0" borderId="0" pivotButton="0" quotePrefix="0" xfId="15"/>
    <xf numFmtId="0" fontId="56" fillId="0" borderId="24" applyAlignment="1" pivotButton="0" quotePrefix="0" xfId="15">
      <alignment horizontal="right" vertical="center"/>
    </xf>
    <xf numFmtId="166" fontId="36" fillId="31" borderId="24" applyAlignment="1" pivotButton="0" quotePrefix="0" xfId="15">
      <alignment horizontal="center" vertical="center"/>
    </xf>
    <xf numFmtId="0" fontId="33" fillId="27" borderId="119" applyAlignment="1" pivotButton="0" quotePrefix="0" xfId="15">
      <alignment horizontal="center" vertical="center"/>
    </xf>
    <xf numFmtId="0" fontId="0" fillId="0" borderId="106" pivotButton="0" quotePrefix="0" xfId="0"/>
    <xf numFmtId="0" fontId="0" fillId="0" borderId="107" pivotButton="0" quotePrefix="0" xfId="0"/>
    <xf numFmtId="0" fontId="52" fillId="0" borderId="119" applyAlignment="1" pivotButton="0" quotePrefix="0" xfId="15">
      <alignment horizontal="left" vertical="top" wrapText="1"/>
    </xf>
    <xf numFmtId="0" fontId="0" fillId="0" borderId="109" pivotButton="0" quotePrefix="0" xfId="0"/>
    <xf numFmtId="0" fontId="0" fillId="0" borderId="110" pivotButton="0" quotePrefix="0" xfId="0"/>
    <xf numFmtId="0" fontId="0" fillId="0" borderId="104" pivotButton="0" quotePrefix="0" xfId="0"/>
    <xf numFmtId="0" fontId="0" fillId="0" borderId="113" pivotButton="0" quotePrefix="0" xfId="0"/>
    <xf numFmtId="0" fontId="0" fillId="0" borderId="114" pivotButton="0" quotePrefix="0" xfId="0"/>
    <xf numFmtId="0" fontId="33" fillId="27" borderId="118" applyAlignment="1" pivotButton="0" quotePrefix="0" xfId="15">
      <alignment horizontal="center" vertical="center"/>
    </xf>
    <xf numFmtId="165" fontId="0" fillId="0" borderId="0" applyAlignment="1" pivotButton="0" quotePrefix="0" xfId="1">
      <alignment horizontal="center" vertical="center"/>
    </xf>
    <xf numFmtId="165" fontId="0" fillId="0" borderId="0" applyAlignment="1" pivotButton="0" quotePrefix="0" xfId="1">
      <alignment horizontal="right" vertical="center"/>
    </xf>
    <xf numFmtId="165" fontId="7" fillId="3" borderId="0" applyAlignment="1" pivotButton="0" quotePrefix="0" xfId="1">
      <alignment horizontal="center" vertical="center" wrapText="1"/>
    </xf>
    <xf numFmtId="0" fontId="5" fillId="5" borderId="15" applyAlignment="1" applyProtection="1" pivotButton="0" quotePrefix="0" xfId="1">
      <alignment horizontal="center" vertical="center"/>
      <protection locked="0" hidden="0"/>
    </xf>
    <xf numFmtId="0" fontId="0" fillId="0" borderId="29" applyProtection="1" pivotButton="0" quotePrefix="0" xfId="0">
      <protection locked="0" hidden="0"/>
    </xf>
    <xf numFmtId="0" fontId="6" fillId="4" borderId="15" applyAlignment="1" pivotButton="0" quotePrefix="0" xfId="0">
      <alignment horizontal="right" vertical="center" wrapText="1"/>
    </xf>
    <xf numFmtId="168" fontId="5" fillId="5" borderId="17" applyAlignment="1" applyProtection="1" pivotButton="0" quotePrefix="0" xfId="1">
      <alignment horizontal="center" vertical="center" wrapText="1"/>
      <protection locked="0" hidden="0"/>
    </xf>
    <xf numFmtId="0" fontId="0" fillId="0" borderId="10" applyProtection="1" pivotButton="0" quotePrefix="0" xfId="0">
      <protection locked="0" hidden="0"/>
    </xf>
    <xf numFmtId="0" fontId="0" fillId="0" borderId="12" applyProtection="1" pivotButton="0" quotePrefix="0" xfId="0">
      <protection locked="0" hidden="0"/>
    </xf>
    <xf numFmtId="14" fontId="5" fillId="5" borderId="47" applyAlignment="1" applyProtection="1" pivotButton="0" quotePrefix="0" xfId="1">
      <alignment horizontal="center" vertical="center"/>
      <protection locked="0" hidden="0"/>
    </xf>
    <xf numFmtId="0" fontId="0" fillId="0" borderId="26" pivotButton="0" quotePrefix="0" xfId="0"/>
    <xf numFmtId="0" fontId="0" fillId="0" borderId="27" applyProtection="1" pivotButton="0" quotePrefix="0" xfId="0">
      <protection locked="0" hidden="0"/>
    </xf>
    <xf numFmtId="0" fontId="4" fillId="4" borderId="39" applyAlignment="1" pivotButton="0" quotePrefix="0" xfId="0">
      <alignment horizontal="center" vertical="center" wrapText="1"/>
    </xf>
    <xf numFmtId="0" fontId="0" fillId="0" borderId="6" pivotButton="0" quotePrefix="0" xfId="0"/>
    <xf numFmtId="165" fontId="3" fillId="3" borderId="41" applyAlignment="1" pivotButton="0" quotePrefix="0" xfId="1">
      <alignment horizontal="center" vertical="center" wrapText="1"/>
    </xf>
    <xf numFmtId="165" fontId="3" fillId="3" borderId="42" applyAlignment="1" pivotButton="0" quotePrefix="0" xfId="1">
      <alignment horizontal="right" vertical="center" wrapText="1"/>
    </xf>
    <xf numFmtId="165" fontId="12" fillId="6" borderId="16" applyAlignment="1" pivotButton="0" quotePrefix="0" xfId="1">
      <alignment vertical="center" wrapText="1"/>
    </xf>
    <xf numFmtId="0" fontId="17" fillId="7" borderId="15" applyAlignment="1" pivotButton="0" quotePrefix="0" xfId="0">
      <alignment horizontal="center" vertical="center"/>
    </xf>
    <xf numFmtId="165" fontId="12" fillId="6" borderId="31" applyAlignment="1" pivotButton="0" quotePrefix="0" xfId="1">
      <alignment vertical="center" wrapText="1"/>
    </xf>
    <xf numFmtId="165" fontId="12" fillId="6" borderId="23" applyAlignment="1" pivotButton="0" quotePrefix="0" xfId="1">
      <alignment horizontal="center" vertical="center" wrapText="1"/>
    </xf>
    <xf numFmtId="165" fontId="12" fillId="6" borderId="45" applyAlignment="1" pivotButton="0" quotePrefix="0" xfId="1">
      <alignment horizontal="center" vertical="center" wrapText="1"/>
    </xf>
    <xf numFmtId="165" fontId="2" fillId="15" borderId="8" applyAlignment="1" pivotButton="0" quotePrefix="0" xfId="1">
      <alignment horizontal="center" vertical="center" wrapText="1"/>
    </xf>
    <xf numFmtId="165" fontId="2" fillId="15" borderId="48" applyAlignment="1" pivotButton="0" quotePrefix="0" xfId="1">
      <alignment horizontal="right" vertical="center" wrapText="1"/>
    </xf>
    <xf numFmtId="166" fontId="0" fillId="0" borderId="0" pivotButton="0" quotePrefix="0" xfId="2"/>
    <xf numFmtId="165" fontId="9" fillId="6" borderId="13" applyAlignment="1" applyProtection="1" pivotButton="0" quotePrefix="0" xfId="14">
      <alignment vertical="center"/>
      <protection locked="0" hidden="0"/>
    </xf>
    <xf numFmtId="165" fontId="9" fillId="6" borderId="13" applyAlignment="1" applyProtection="1" pivotButton="0" quotePrefix="0" xfId="1">
      <alignment horizontal="center" vertical="center"/>
      <protection locked="0" hidden="0"/>
    </xf>
    <xf numFmtId="43" fontId="9" fillId="10" borderId="13" applyAlignment="1" pivotButton="0" quotePrefix="0" xfId="1">
      <alignment horizontal="center" vertical="center"/>
    </xf>
    <xf numFmtId="43" fontId="9" fillId="10" borderId="13" applyAlignment="1" pivotButton="0" quotePrefix="0" xfId="1">
      <alignment horizontal="right" vertical="center"/>
    </xf>
    <xf numFmtId="43" fontId="9" fillId="10" borderId="13" applyAlignment="1" pivotButton="0" quotePrefix="0" xfId="1">
      <alignment vertical="center"/>
    </xf>
    <xf numFmtId="165" fontId="9" fillId="6" borderId="27" applyAlignment="1" pivotButton="0" quotePrefix="0" xfId="1">
      <alignment horizontal="right" vertical="center"/>
    </xf>
    <xf numFmtId="165" fontId="9" fillId="5" borderId="13" applyAlignment="1" applyProtection="1" pivotButton="0" quotePrefix="0" xfId="14">
      <alignment vertical="center"/>
      <protection locked="0" hidden="0"/>
    </xf>
    <xf numFmtId="165" fontId="9" fillId="5" borderId="13" applyAlignment="1" applyProtection="1" pivotButton="0" quotePrefix="0" xfId="1">
      <alignment horizontal="center" vertical="center"/>
      <protection locked="0" hidden="0"/>
    </xf>
    <xf numFmtId="43" fontId="9" fillId="21" borderId="13" applyAlignment="1" pivotButton="0" quotePrefix="0" xfId="1">
      <alignment horizontal="center" vertical="center"/>
    </xf>
    <xf numFmtId="43" fontId="9" fillId="21" borderId="13" applyAlignment="1" pivotButton="0" quotePrefix="0" xfId="1">
      <alignment horizontal="right" vertical="center"/>
    </xf>
    <xf numFmtId="43" fontId="9" fillId="21" borderId="13" applyAlignment="1" pivotButton="0" quotePrefix="0" xfId="1">
      <alignment vertical="center"/>
    </xf>
    <xf numFmtId="165" fontId="9" fillId="5" borderId="27" applyAlignment="1" pivotButton="0" quotePrefix="0" xfId="1">
      <alignment horizontal="right" vertical="center"/>
    </xf>
    <xf numFmtId="165" fontId="9" fillId="6" borderId="13" applyAlignment="1" applyProtection="1" pivotButton="0" quotePrefix="0" xfId="1">
      <alignment vertical="center"/>
      <protection locked="0" hidden="0"/>
    </xf>
    <xf numFmtId="165" fontId="7" fillId="6" borderId="13" applyAlignment="1" applyProtection="1" pivotButton="0" quotePrefix="0" xfId="1">
      <alignment vertical="center"/>
      <protection locked="0" hidden="0"/>
    </xf>
    <xf numFmtId="165" fontId="7" fillId="6" borderId="13" applyAlignment="1" applyProtection="1" pivotButton="0" quotePrefix="0" xfId="1">
      <alignment horizontal="center" vertical="center"/>
      <protection locked="0" hidden="0"/>
    </xf>
    <xf numFmtId="43" fontId="7" fillId="10" borderId="13" applyAlignment="1" pivotButton="0" quotePrefix="0" xfId="1">
      <alignment horizontal="center" vertical="center"/>
    </xf>
    <xf numFmtId="43" fontId="7" fillId="10" borderId="13" applyAlignment="1" pivotButton="0" quotePrefix="0" xfId="1">
      <alignment horizontal="right" vertical="center"/>
    </xf>
    <xf numFmtId="43" fontId="7" fillId="10" borderId="13" applyAlignment="1" pivotButton="0" quotePrefix="0" xfId="1">
      <alignment vertical="center"/>
    </xf>
    <xf numFmtId="165" fontId="7" fillId="6" borderId="27" applyAlignment="1" pivotButton="0" quotePrefix="0" xfId="1">
      <alignment horizontal="right" vertical="center"/>
    </xf>
    <xf numFmtId="165" fontId="7" fillId="5" borderId="13" applyAlignment="1" applyProtection="1" pivotButton="0" quotePrefix="0" xfId="1">
      <alignment vertical="center"/>
      <protection locked="0" hidden="0"/>
    </xf>
    <xf numFmtId="165" fontId="7" fillId="5" borderId="13" applyAlignment="1" applyProtection="1" pivotButton="0" quotePrefix="0" xfId="1">
      <alignment horizontal="center" vertical="center"/>
      <protection locked="0" hidden="0"/>
    </xf>
    <xf numFmtId="43" fontId="7" fillId="21" borderId="13" applyAlignment="1" pivotButton="0" quotePrefix="0" xfId="1">
      <alignment horizontal="center" vertical="center"/>
    </xf>
    <xf numFmtId="43" fontId="7" fillId="21" borderId="13" applyAlignment="1" pivotButton="0" quotePrefix="0" xfId="1">
      <alignment horizontal="right" vertical="center"/>
    </xf>
    <xf numFmtId="43" fontId="7" fillId="21" borderId="13" applyAlignment="1" pivotButton="0" quotePrefix="0" xfId="1">
      <alignment vertical="center"/>
    </xf>
    <xf numFmtId="165" fontId="7" fillId="5" borderId="27" applyAlignment="1" pivotButton="0" quotePrefix="0" xfId="1">
      <alignment horizontal="right" vertical="center"/>
    </xf>
    <xf numFmtId="165" fontId="7" fillId="6" borderId="13" applyAlignment="1" pivotButton="0" quotePrefix="0" xfId="1">
      <alignment horizontal="right" vertical="center"/>
    </xf>
    <xf numFmtId="165" fontId="9" fillId="5" borderId="13" applyAlignment="1" pivotButton="0" quotePrefix="0" xfId="1">
      <alignment horizontal="right" vertical="center"/>
    </xf>
    <xf numFmtId="165" fontId="7" fillId="5" borderId="13" applyAlignment="1" pivotButton="0" quotePrefix="0" xfId="1">
      <alignment horizontal="right" vertical="center"/>
    </xf>
    <xf numFmtId="165" fontId="7" fillId="6" borderId="13" applyAlignment="1" applyProtection="1" pivotButton="0" quotePrefix="0" xfId="12">
      <alignment vertical="center"/>
      <protection locked="0" hidden="0"/>
    </xf>
    <xf numFmtId="165" fontId="0" fillId="0" borderId="0" pivotButton="0" quotePrefix="0" xfId="0"/>
    <xf numFmtId="165" fontId="7" fillId="6" borderId="13" applyAlignment="1" pivotButton="0" quotePrefix="0" xfId="1">
      <alignment vertical="center"/>
    </xf>
    <xf numFmtId="165" fontId="7" fillId="6" borderId="13" applyAlignment="1" pivotButton="0" quotePrefix="0" xfId="1">
      <alignment horizontal="center" vertical="center"/>
    </xf>
    <xf numFmtId="165" fontId="8" fillId="9" borderId="17" applyAlignment="1" pivotButton="0" quotePrefix="0" xfId="1">
      <alignment horizontal="right" vertical="center"/>
    </xf>
    <xf numFmtId="165" fontId="8" fillId="9" borderId="39" applyAlignment="1" pivotButton="0" quotePrefix="0" xfId="1">
      <alignment horizontal="right" vertical="center"/>
    </xf>
    <xf numFmtId="165" fontId="3" fillId="3" borderId="8" applyAlignment="1" pivotButton="0" quotePrefix="0" xfId="1">
      <alignment horizontal="center" vertical="center" wrapText="1"/>
    </xf>
    <xf numFmtId="165" fontId="3" fillId="3" borderId="9" applyAlignment="1" pivotButton="0" quotePrefix="0" xfId="1">
      <alignment horizontal="right" vertical="center" wrapText="1"/>
    </xf>
    <xf numFmtId="174" fontId="0" fillId="0" borderId="0" pivotButton="0" quotePrefix="0" xfId="3"/>
    <xf numFmtId="165" fontId="6" fillId="0" borderId="0" applyAlignment="1" pivotButton="0" quotePrefix="0" xfId="1">
      <alignment horizontal="center" vertical="center"/>
    </xf>
    <xf numFmtId="165" fontId="6" fillId="0" borderId="0" applyAlignment="1" pivotButton="0" quotePrefix="0" xfId="1">
      <alignment horizontal="right" vertical="center"/>
    </xf>
    <xf numFmtId="43" fontId="3" fillId="6" borderId="33" applyAlignment="1" pivotButton="0" quotePrefix="0" xfId="1">
      <alignment horizontal="center" vertical="center"/>
    </xf>
    <xf numFmtId="43" fontId="3" fillId="6" borderId="33" applyAlignment="1" pivotButton="0" quotePrefix="0" xfId="1">
      <alignment horizontal="right" vertical="center"/>
    </xf>
    <xf numFmtId="165" fontId="3" fillId="6" borderId="33" applyAlignment="1" pivotButton="0" quotePrefix="0" xfId="1">
      <alignment horizontal="center" vertical="center"/>
    </xf>
    <xf numFmtId="165" fontId="3" fillId="6" borderId="34" applyAlignment="1" pivotButton="0" quotePrefix="0" xfId="1">
      <alignment horizontal="right" vertical="center"/>
    </xf>
    <xf numFmtId="166" fontId="11" fillId="9" borderId="15" applyAlignment="1" pivotButton="0" quotePrefix="0" xfId="2">
      <alignment horizontal="center" vertical="center"/>
    </xf>
    <xf numFmtId="165" fontId="9" fillId="6" borderId="36" applyAlignment="1" pivotButton="0" quotePrefix="0" xfId="1">
      <alignment horizontal="right" vertical="center"/>
    </xf>
    <xf numFmtId="175" fontId="11" fillId="9" borderId="38" applyAlignment="1" pivotButton="0" quotePrefix="0" xfId="2">
      <alignment horizontal="center" vertical="center"/>
    </xf>
    <xf numFmtId="165" fontId="12" fillId="6" borderId="0" applyAlignment="1" pivotButton="0" quotePrefix="0" xfId="4">
      <alignment vertical="center"/>
    </xf>
    <xf numFmtId="165" fontId="12" fillId="6" borderId="0" applyAlignment="1" pivotButton="0" quotePrefix="0" xfId="1">
      <alignment horizontal="center" vertical="center"/>
    </xf>
    <xf numFmtId="165" fontId="12" fillId="6" borderId="0" applyAlignment="1" pivotButton="0" quotePrefix="0" xfId="4">
      <alignment horizontal="center" vertical="center"/>
    </xf>
    <xf numFmtId="165" fontId="12" fillId="6" borderId="33" applyAlignment="1" pivotButton="0" quotePrefix="0" xfId="4">
      <alignment vertical="center"/>
    </xf>
    <xf numFmtId="165" fontId="12" fillId="6" borderId="33" applyAlignment="1" pivotButton="0" quotePrefix="0" xfId="1">
      <alignment horizontal="center" vertical="center"/>
    </xf>
    <xf numFmtId="165" fontId="12" fillId="6" borderId="33" applyAlignment="1" pivotButton="0" quotePrefix="0" xfId="4">
      <alignment horizontal="center" vertical="center"/>
    </xf>
    <xf numFmtId="165" fontId="12" fillId="6" borderId="34" applyAlignment="1" pivotButton="0" quotePrefix="0" xfId="4">
      <alignment vertical="center"/>
    </xf>
    <xf numFmtId="49" fontId="7" fillId="6" borderId="50" applyAlignment="1" pivotButton="0" quotePrefix="0" xfId="0">
      <alignment horizontal="left" vertical="center" wrapText="1" readingOrder="1"/>
    </xf>
    <xf numFmtId="165" fontId="29" fillId="6" borderId="36" applyAlignment="1" pivotButton="0" quotePrefix="0" xfId="1">
      <alignment horizontal="right" vertical="center" wrapText="1"/>
    </xf>
    <xf numFmtId="165" fontId="9" fillId="6" borderId="41" applyAlignment="1" pivotButton="0" quotePrefix="0" xfId="1">
      <alignment horizontal="center" vertical="center"/>
    </xf>
    <xf numFmtId="165" fontId="9" fillId="6" borderId="42" applyAlignment="1" pivotButton="0" quotePrefix="0" xfId="1">
      <alignment horizontal="right" vertical="center"/>
    </xf>
    <xf numFmtId="166" fontId="0" fillId="0" borderId="0" applyAlignment="1" pivotButton="0" quotePrefix="0" xfId="2">
      <alignment horizontal="center" vertical="center"/>
    </xf>
    <xf numFmtId="0" fontId="2" fillId="2" borderId="68" applyAlignment="1" pivotButton="0" quotePrefix="0" xfId="0">
      <alignment horizontal="center" vertical="center" wrapText="1"/>
    </xf>
    <xf numFmtId="0" fontId="0" fillId="0" borderId="3" pivotButton="0" quotePrefix="0" xfId="0"/>
    <xf numFmtId="0" fontId="2" fillId="2" borderId="69" applyAlignment="1" pivotButton="0" quotePrefix="0" xfId="0">
      <alignment horizontal="center" vertical="center"/>
    </xf>
    <xf numFmtId="166" fontId="4" fillId="5" borderId="36" applyAlignment="1" pivotButton="0" quotePrefix="0" xfId="2">
      <alignment horizontal="center" vertical="center"/>
    </xf>
    <xf numFmtId="164" fontId="5" fillId="5" borderId="17" applyAlignment="1" pivotButton="0" quotePrefix="0" xfId="1">
      <alignment horizontal="center" vertical="center"/>
    </xf>
    <xf numFmtId="166" fontId="5" fillId="5" borderId="47" applyAlignment="1" pivotButton="0" quotePrefix="0" xfId="2">
      <alignment horizontal="center" vertical="center"/>
    </xf>
    <xf numFmtId="0" fontId="4" fillId="4" borderId="37" applyAlignment="1" pivotButton="0" quotePrefix="0" xfId="0">
      <alignment horizontal="center" vertical="center"/>
    </xf>
    <xf numFmtId="0" fontId="5" fillId="5" borderId="38" applyAlignment="1" pivotButton="0" quotePrefix="0" xfId="1">
      <alignment horizontal="center" vertical="center"/>
    </xf>
    <xf numFmtId="166" fontId="0" fillId="0" borderId="0" pivotButton="0" quotePrefix="0" xfId="0"/>
    <xf numFmtId="166" fontId="3" fillId="3" borderId="36" applyAlignment="1" pivotButton="0" quotePrefix="0" xfId="2">
      <alignment horizontal="center" vertical="center" wrapText="1"/>
    </xf>
    <xf numFmtId="166" fontId="2" fillId="13" borderId="66" applyAlignment="1" pivotButton="0" quotePrefix="0" xfId="2">
      <alignment horizontal="center" vertical="center" wrapText="1"/>
    </xf>
    <xf numFmtId="166" fontId="2" fillId="13" borderId="22" applyAlignment="1" pivotButton="0" quotePrefix="0" xfId="2">
      <alignment horizontal="center" vertical="center" wrapText="1"/>
    </xf>
    <xf numFmtId="166" fontId="2" fillId="13" borderId="0" applyAlignment="1" pivotButton="0" quotePrefix="0" xfId="2">
      <alignment horizontal="center" vertical="center" wrapText="1"/>
    </xf>
    <xf numFmtId="166" fontId="2" fillId="13" borderId="24" applyAlignment="1" pivotButton="0" quotePrefix="0" xfId="2">
      <alignment horizontal="center" vertical="center" wrapText="1"/>
    </xf>
    <xf numFmtId="166" fontId="6" fillId="22" borderId="49" applyAlignment="1" pivotButton="0" quotePrefix="0" xfId="2">
      <alignment horizontal="center" vertical="center"/>
    </xf>
    <xf numFmtId="166" fontId="17" fillId="22" borderId="27" applyAlignment="1" pivotButton="0" quotePrefix="0" xfId="2">
      <alignment horizontal="center" vertical="center"/>
    </xf>
    <xf numFmtId="173" fontId="6" fillId="5" borderId="56" applyAlignment="1" pivotButton="0" quotePrefix="0" xfId="0">
      <alignment horizontal="center" vertical="center" wrapText="1"/>
    </xf>
    <xf numFmtId="166" fontId="6" fillId="5" borderId="67" applyAlignment="1" pivotButton="0" quotePrefix="0" xfId="2">
      <alignment horizontal="center" vertical="center"/>
    </xf>
    <xf numFmtId="166" fontId="6" fillId="5" borderId="58" applyAlignment="1" pivotButton="0" quotePrefix="0" xfId="2">
      <alignment horizontal="center" vertical="center"/>
    </xf>
    <xf numFmtId="166" fontId="6" fillId="5" borderId="27" applyAlignment="1" pivotButton="0" quotePrefix="0" xfId="2">
      <alignment horizontal="center" vertical="center"/>
    </xf>
    <xf numFmtId="173" fontId="6" fillId="5" borderId="13" applyAlignment="1" pivotButton="0" quotePrefix="0" xfId="0">
      <alignment horizontal="center" vertical="center" wrapText="1"/>
    </xf>
    <xf numFmtId="166" fontId="6" fillId="5" borderId="13" applyAlignment="1" pivotButton="0" quotePrefix="0" xfId="2">
      <alignment horizontal="center" vertical="center"/>
    </xf>
    <xf numFmtId="166" fontId="6" fillId="0" borderId="27" applyAlignment="1" pivotButton="0" quotePrefix="0" xfId="2">
      <alignment horizontal="center" vertical="center"/>
    </xf>
    <xf numFmtId="166" fontId="6" fillId="0" borderId="13" applyAlignment="1" pivotButton="0" quotePrefix="0" xfId="2">
      <alignment horizontal="center" vertical="center"/>
    </xf>
    <xf numFmtId="173" fontId="6" fillId="5" borderId="26" applyAlignment="1" pivotButton="0" quotePrefix="0" xfId="0">
      <alignment horizontal="center" vertical="center" wrapText="1"/>
    </xf>
    <xf numFmtId="166" fontId="6" fillId="0" borderId="49" applyAlignment="1" pivotButton="0" quotePrefix="0" xfId="2">
      <alignment horizontal="center" vertical="center"/>
    </xf>
    <xf numFmtId="166" fontId="6" fillId="26" borderId="27" applyAlignment="1" pivotButton="0" quotePrefix="0" xfId="2">
      <alignment horizontal="center" vertical="center"/>
    </xf>
    <xf numFmtId="166" fontId="17" fillId="22" borderId="13" applyAlignment="1" pivotButton="0" quotePrefix="0" xfId="2">
      <alignment horizontal="center" vertical="center"/>
    </xf>
    <xf numFmtId="166" fontId="6" fillId="0" borderId="47" applyAlignment="1" pivotButton="0" quotePrefix="0" xfId="2">
      <alignment horizontal="center" vertical="center"/>
    </xf>
    <xf numFmtId="173" fontId="6" fillId="22" borderId="26" applyAlignment="1" pivotButton="0" quotePrefix="0" xfId="0">
      <alignment horizontal="center" vertical="center" wrapText="1"/>
    </xf>
    <xf numFmtId="166" fontId="17" fillId="22" borderId="26" applyAlignment="1" pivotButton="0" quotePrefix="0" xfId="2">
      <alignment horizontal="center" vertical="center"/>
    </xf>
    <xf numFmtId="166" fontId="6" fillId="22" borderId="27" applyAlignment="1" pivotButton="0" quotePrefix="0" xfId="2">
      <alignment horizontal="center" vertical="center"/>
    </xf>
    <xf numFmtId="166" fontId="2" fillId="13" borderId="21" applyAlignment="1" pivotButton="0" quotePrefix="0" xfId="2">
      <alignment horizontal="center" vertical="center" wrapText="1"/>
    </xf>
    <xf numFmtId="166" fontId="2" fillId="13" borderId="9" applyAlignment="1" pivotButton="0" quotePrefix="0" xfId="2">
      <alignment horizontal="center" vertical="center" wrapText="1"/>
    </xf>
    <xf numFmtId="166" fontId="6" fillId="22" borderId="67" applyAlignment="1" pivotButton="0" quotePrefix="0" xfId="2">
      <alignment horizontal="center" vertical="center"/>
    </xf>
    <xf numFmtId="166" fontId="17" fillId="22" borderId="56" applyAlignment="1" pivotButton="0" quotePrefix="0" xfId="2">
      <alignment horizontal="center" vertical="center"/>
    </xf>
    <xf numFmtId="166" fontId="6" fillId="5" borderId="26" applyAlignment="1" pivotButton="0" quotePrefix="0" xfId="2">
      <alignment horizontal="center" vertical="center"/>
    </xf>
    <xf numFmtId="166" fontId="6" fillId="26" borderId="49" applyAlignment="1" pivotButton="0" quotePrefix="0" xfId="2">
      <alignment horizontal="center" vertical="center"/>
    </xf>
    <xf numFmtId="166" fontId="6" fillId="22" borderId="13" applyAlignment="1" pivotButton="0" quotePrefix="0" xfId="2">
      <alignment horizontal="center" vertical="center"/>
    </xf>
    <xf numFmtId="166" fontId="17" fillId="26" borderId="26" applyAlignment="1" pivotButton="0" quotePrefix="0" xfId="2">
      <alignment horizontal="center" vertical="center"/>
    </xf>
    <xf numFmtId="166" fontId="6" fillId="26" borderId="67" applyAlignment="1" pivotButton="0" quotePrefix="0" xfId="2">
      <alignment horizontal="center" vertical="center"/>
    </xf>
    <xf numFmtId="166" fontId="5" fillId="13" borderId="24" applyAlignment="1" pivotButton="0" quotePrefix="0" xfId="2">
      <alignment horizontal="center" vertical="center" wrapText="1"/>
    </xf>
    <xf numFmtId="166" fontId="6" fillId="22" borderId="16" applyAlignment="1" pivotButton="0" quotePrefix="0" xfId="2">
      <alignment horizontal="center" vertical="center"/>
    </xf>
    <xf numFmtId="166" fontId="17" fillId="22" borderId="16" applyAlignment="1" pivotButton="0" quotePrefix="0" xfId="2">
      <alignment horizontal="center" vertical="center"/>
    </xf>
    <xf numFmtId="166" fontId="17" fillId="22" borderId="15" applyAlignment="1" pivotButton="0" quotePrefix="0" xfId="2">
      <alignment horizontal="center" vertical="center"/>
    </xf>
    <xf numFmtId="166" fontId="6" fillId="0" borderId="11" applyAlignment="1" pivotButton="0" quotePrefix="0" xfId="2">
      <alignment horizontal="center" vertical="center"/>
    </xf>
    <xf numFmtId="166" fontId="6" fillId="22" borderId="26" applyAlignment="1" pivotButton="0" quotePrefix="0" xfId="2">
      <alignment horizontal="center" vertical="center"/>
    </xf>
    <xf numFmtId="166" fontId="6" fillId="26" borderId="11" applyAlignment="1" pivotButton="0" quotePrefix="0" xfId="2">
      <alignment horizontal="center" vertical="center"/>
    </xf>
    <xf numFmtId="166" fontId="6" fillId="26" borderId="13" applyAlignment="1" pivotButton="0" quotePrefix="0" xfId="2">
      <alignment horizontal="center" vertical="center"/>
    </xf>
    <xf numFmtId="166" fontId="17" fillId="23" borderId="26" applyAlignment="1" pivotButton="0" quotePrefix="0" xfId="2">
      <alignment horizontal="center" vertical="center"/>
    </xf>
    <xf numFmtId="166" fontId="6" fillId="22" borderId="56" applyAlignment="1" pivotButton="0" quotePrefix="0" xfId="2">
      <alignment horizontal="center" vertical="center"/>
    </xf>
    <xf numFmtId="166" fontId="6" fillId="5" borderId="47" applyAlignment="1" pivotButton="0" quotePrefix="0" xfId="2">
      <alignment horizontal="center" vertical="center"/>
    </xf>
    <xf numFmtId="166" fontId="2" fillId="13" borderId="7" applyAlignment="1" pivotButton="0" quotePrefix="0" xfId="2">
      <alignment vertical="center" wrapText="1"/>
    </xf>
    <xf numFmtId="166" fontId="2" fillId="13" borderId="24" applyAlignment="1" pivotButton="0" quotePrefix="0" xfId="2">
      <alignment vertical="center" wrapText="1"/>
    </xf>
    <xf numFmtId="166" fontId="6" fillId="0" borderId="26" applyAlignment="1" pivotButton="0" quotePrefix="0" xfId="2">
      <alignment horizontal="center" vertical="center"/>
    </xf>
    <xf numFmtId="166" fontId="6" fillId="0" borderId="67" applyAlignment="1" pivotButton="0" quotePrefix="0" xfId="2">
      <alignment horizontal="center" vertical="center"/>
    </xf>
    <xf numFmtId="166" fontId="6" fillId="0" borderId="56" applyAlignment="1" pivotButton="0" quotePrefix="0" xfId="2">
      <alignment horizontal="center" vertical="center"/>
    </xf>
    <xf numFmtId="166" fontId="6" fillId="5" borderId="49" applyAlignment="1" pivotButton="0" quotePrefix="0" xfId="2">
      <alignment horizontal="center" vertical="center"/>
    </xf>
    <xf numFmtId="166" fontId="6" fillId="5" borderId="56" applyAlignment="1" pivotButton="0" quotePrefix="0" xfId="2">
      <alignment horizontal="center" vertical="center"/>
    </xf>
    <xf numFmtId="166" fontId="17" fillId="5" borderId="26" applyAlignment="1" pivotButton="0" quotePrefix="0" xfId="2">
      <alignment horizontal="center" vertical="center"/>
    </xf>
    <xf numFmtId="166" fontId="17" fillId="5" borderId="13" applyAlignment="1" pivotButton="0" quotePrefix="0" xfId="2">
      <alignment horizontal="center" vertical="center"/>
    </xf>
    <xf numFmtId="173" fontId="6" fillId="20" borderId="26" applyAlignment="1" pivotButton="0" quotePrefix="0" xfId="0">
      <alignment horizontal="center" vertical="center" wrapText="1"/>
    </xf>
    <xf numFmtId="166" fontId="17" fillId="22" borderId="38" applyAlignment="1" pivotButton="0" quotePrefix="0" xfId="2">
      <alignment horizontal="center" vertical="center"/>
    </xf>
    <xf numFmtId="166" fontId="6" fillId="22" borderId="19" applyAlignment="1" pivotButton="0" quotePrefix="0" xfId="2">
      <alignment horizontal="center" vertical="center"/>
    </xf>
    <xf numFmtId="166" fontId="6" fillId="5" borderId="11" applyAlignment="1" pivotButton="0" quotePrefix="0" xfId="2">
      <alignment horizontal="center" vertical="center"/>
    </xf>
    <xf numFmtId="166" fontId="6" fillId="0" borderId="11" applyAlignment="1" pivotButton="0" quotePrefix="0" xfId="2">
      <alignment horizontal="center" vertical="center" wrapText="1"/>
    </xf>
    <xf numFmtId="166" fontId="5" fillId="13" borderId="21" applyAlignment="1" pivotButton="0" quotePrefix="0" xfId="0">
      <alignment horizontal="center" vertical="center" wrapText="1"/>
    </xf>
    <xf numFmtId="166" fontId="17" fillId="22" borderId="19" applyAlignment="1" pivotButton="0" quotePrefix="0" xfId="2">
      <alignment horizontal="center" vertical="center"/>
    </xf>
    <xf numFmtId="173" fontId="6" fillId="22" borderId="56" applyAlignment="1" pivotButton="0" quotePrefix="0" xfId="0">
      <alignment horizontal="center" vertical="center" wrapText="1"/>
    </xf>
    <xf numFmtId="173" fontId="6" fillId="22" borderId="13" applyAlignment="1" pivotButton="0" quotePrefix="0" xfId="0">
      <alignment horizontal="center" vertical="center" wrapText="1"/>
    </xf>
    <xf numFmtId="166" fontId="6" fillId="0" borderId="20" applyAlignment="1" pivotButton="0" quotePrefix="0" xfId="2">
      <alignment horizontal="center" vertical="center"/>
    </xf>
    <xf numFmtId="166" fontId="2" fillId="13" borderId="71" applyAlignment="1" pivotButton="0" quotePrefix="0" xfId="2">
      <alignment horizontal="center" vertical="center" wrapText="1"/>
    </xf>
    <xf numFmtId="166" fontId="5" fillId="13" borderId="71" applyAlignment="1" pivotButton="0" quotePrefix="0" xfId="2">
      <alignment horizontal="center" vertical="center" wrapText="1"/>
    </xf>
    <xf numFmtId="166" fontId="2" fillId="13" borderId="50" applyAlignment="1" pivotButton="0" quotePrefix="0" xfId="2">
      <alignment horizontal="center" vertical="center" wrapText="1"/>
    </xf>
    <xf numFmtId="166" fontId="5" fillId="13" borderId="50" applyAlignment="1" pivotButton="0" quotePrefix="0" xfId="2">
      <alignment horizontal="center" vertical="center" wrapText="1"/>
    </xf>
    <xf numFmtId="166" fontId="5" fillId="13" borderId="9" applyAlignment="1" pivotButton="0" quotePrefix="0" xfId="0">
      <alignment horizontal="center" vertical="center" wrapText="1"/>
    </xf>
    <xf numFmtId="173" fontId="6" fillId="3" borderId="13" applyAlignment="1" pivotButton="0" quotePrefix="0" xfId="0">
      <alignment horizontal="center" vertical="center" wrapText="1"/>
    </xf>
    <xf numFmtId="173" fontId="6" fillId="3" borderId="26" applyAlignment="1" pivotButton="0" quotePrefix="0" xfId="0">
      <alignment horizontal="center" vertical="center" wrapText="1"/>
    </xf>
    <xf numFmtId="173" fontId="6" fillId="5" borderId="19" applyAlignment="1" pivotButton="0" quotePrefix="0" xfId="0">
      <alignment horizontal="center" vertical="center" wrapText="1"/>
    </xf>
    <xf numFmtId="166" fontId="17" fillId="22" borderId="47" applyAlignment="1" pivotButton="0" quotePrefix="0" xfId="2">
      <alignment horizontal="center" vertical="center"/>
    </xf>
    <xf numFmtId="166" fontId="6" fillId="22" borderId="15" applyAlignment="1" pivotButton="0" quotePrefix="0" xfId="2">
      <alignment horizontal="center" vertical="center"/>
    </xf>
    <xf numFmtId="166" fontId="2" fillId="14" borderId="24" applyAlignment="1" pivotButton="0" quotePrefix="0" xfId="2">
      <alignment horizontal="right" vertical="center"/>
    </xf>
    <xf numFmtId="166" fontId="2" fillId="14" borderId="9" applyAlignment="1" pivotButton="0" quotePrefix="0" xfId="2">
      <alignment horizontal="center" vertical="center"/>
    </xf>
    <xf numFmtId="166" fontId="17" fillId="5" borderId="24" applyAlignment="1" pivotButton="0" quotePrefix="0" xfId="2">
      <alignment horizontal="center" vertical="center"/>
    </xf>
    <xf numFmtId="0" fontId="7" fillId="0" borderId="24" applyAlignment="1" pivotButton="0" quotePrefix="0" xfId="8">
      <alignment horizontal="left" vertical="top" wrapText="1"/>
    </xf>
    <xf numFmtId="166" fontId="6" fillId="0" borderId="9" applyAlignment="1" pivotButton="0" quotePrefix="0" xfId="2">
      <alignment horizontal="center" vertical="center"/>
    </xf>
    <xf numFmtId="166" fontId="6" fillId="0" borderId="0" applyAlignment="1" pivotButton="0" quotePrefix="0" xfId="2">
      <alignment horizontal="center" vertical="center"/>
    </xf>
    <xf numFmtId="166" fontId="6" fillId="0" borderId="0" applyAlignment="1" pivotButton="0" quotePrefix="0" xfId="0">
      <alignment horizontal="center" vertical="center"/>
    </xf>
    <xf numFmtId="166" fontId="0" fillId="0" borderId="0" applyAlignment="1" pivotButton="0" quotePrefix="0" xfId="0">
      <alignment horizontal="center" vertical="center"/>
    </xf>
    <xf numFmtId="0" fontId="0" fillId="0" borderId="65" pivotButton="0" quotePrefix="0" xfId="0"/>
    <xf numFmtId="166" fontId="21" fillId="6" borderId="15" applyAlignment="1" pivotButton="0" quotePrefix="0" xfId="2">
      <alignment horizontal="center" vertical="center"/>
    </xf>
    <xf numFmtId="166" fontId="45" fillId="6" borderId="15" applyAlignment="1" pivotButton="0" quotePrefix="0" xfId="2">
      <alignment horizontal="center" vertical="center"/>
    </xf>
    <xf numFmtId="0" fontId="0" fillId="0" borderId="62" pivotButton="0" quotePrefix="0" xfId="0"/>
    <xf numFmtId="0" fontId="0" fillId="0" borderId="52" pivotButton="0" quotePrefix="0" xfId="0"/>
    <xf numFmtId="0" fontId="0" fillId="0" borderId="26" applyProtection="1" pivotButton="0" quotePrefix="0" xfId="0">
      <protection locked="0" hidden="0"/>
    </xf>
    <xf numFmtId="0" fontId="0" fillId="0" borderId="49" pivotButton="0" quotePrefix="0" xfId="0"/>
    <xf numFmtId="0" fontId="9" fillId="0" borderId="22" applyAlignment="1" pivotButton="0" quotePrefix="0" xfId="9">
      <alignment horizontal="center" vertical="center" wrapText="1"/>
    </xf>
    <xf numFmtId="0" fontId="12" fillId="23" borderId="24" applyAlignment="1" pivotButton="0" quotePrefix="0" xfId="9">
      <alignment horizontal="center" vertical="center" wrapText="1"/>
    </xf>
    <xf numFmtId="166" fontId="18" fillId="6" borderId="15" applyAlignment="1" pivotButton="0" quotePrefix="0" xfId="2">
      <alignment horizontal="center" vertical="center" wrapText="1"/>
    </xf>
    <xf numFmtId="0" fontId="0" fillId="0" borderId="25" pivotButton="0" quotePrefix="0" xfId="0"/>
    <xf numFmtId="0" fontId="0" fillId="0" borderId="45" pivotButton="0" quotePrefix="0" xfId="0"/>
    <xf numFmtId="0" fontId="0" fillId="0" borderId="27" pivotButton="0" quotePrefix="0" xfId="0"/>
    <xf numFmtId="166" fontId="18" fillId="6" borderId="38" applyAlignment="1" pivotButton="0" quotePrefix="0" xfId="2">
      <alignment horizontal="center" vertical="center" wrapText="1"/>
    </xf>
    <xf numFmtId="165" fontId="6" fillId="0" borderId="13" pivotButton="0" quotePrefix="0" xfId="1"/>
    <xf numFmtId="165" fontId="6" fillId="0" borderId="15" pivotButton="0" quotePrefix="0" xfId="1"/>
    <xf numFmtId="165" fontId="6" fillId="0" borderId="17" pivotButton="0" quotePrefix="0" xfId="1"/>
    <xf numFmtId="165" fontId="6" fillId="0" borderId="49" pivotButton="0" quotePrefix="0" xfId="1"/>
    <xf numFmtId="165" fontId="6" fillId="0" borderId="68" pivotButton="0" quotePrefix="0" xfId="1"/>
    <xf numFmtId="165" fontId="6" fillId="0" borderId="26" pivotButton="0" quotePrefix="0" xfId="1"/>
    <xf numFmtId="167" fontId="6" fillId="16" borderId="32" applyAlignment="1" pivotButton="0" quotePrefix="0" xfId="0">
      <alignment vertical="center"/>
    </xf>
    <xf numFmtId="167" fontId="6" fillId="16" borderId="33" applyAlignment="1" pivotButton="0" quotePrefix="0" xfId="0">
      <alignment vertical="center"/>
    </xf>
    <xf numFmtId="167" fontId="6" fillId="16" borderId="34" applyAlignment="1" pivotButton="0" quotePrefix="0" xfId="0">
      <alignment vertical="center"/>
    </xf>
    <xf numFmtId="165" fontId="6" fillId="0" borderId="47" pivotButton="0" quotePrefix="0" xfId="1"/>
    <xf numFmtId="165" fontId="6" fillId="0" borderId="73" pivotButton="0" quotePrefix="0" xfId="1"/>
    <xf numFmtId="167" fontId="6" fillId="16" borderId="35" applyAlignment="1" pivotButton="0" quotePrefix="0" xfId="0">
      <alignment vertical="center"/>
    </xf>
    <xf numFmtId="167" fontId="6" fillId="16" borderId="0" applyAlignment="1" pivotButton="0" quotePrefix="0" xfId="0">
      <alignment vertical="center"/>
    </xf>
    <xf numFmtId="167" fontId="6" fillId="16" borderId="36" applyAlignment="1" pivotButton="0" quotePrefix="0" xfId="0">
      <alignment vertical="center"/>
    </xf>
    <xf numFmtId="0" fontId="46" fillId="0" borderId="24" applyAlignment="1" pivotButton="0" quotePrefix="0" xfId="9">
      <alignment horizontal="center" vertical="center" wrapText="1"/>
    </xf>
    <xf numFmtId="166" fontId="18" fillId="12" borderId="24" applyAlignment="1" pivotButton="0" quotePrefix="0" xfId="2">
      <alignment horizontal="center" vertical="center"/>
    </xf>
    <xf numFmtId="0" fontId="0" fillId="0" borderId="72" pivotButton="0" quotePrefix="0" xfId="0"/>
    <xf numFmtId="165" fontId="6" fillId="0" borderId="69" pivotButton="0" quotePrefix="0" xfId="1"/>
    <xf numFmtId="167" fontId="6" fillId="16" borderId="40" applyAlignment="1" pivotButton="0" quotePrefix="0" xfId="0">
      <alignment vertical="center"/>
    </xf>
    <xf numFmtId="167" fontId="6" fillId="16" borderId="41" applyAlignment="1" pivotButton="0" quotePrefix="0" xfId="0">
      <alignment vertical="center"/>
    </xf>
    <xf numFmtId="166" fontId="45" fillId="12" borderId="15" applyAlignment="1" pivotButton="0" quotePrefix="0" xfId="2">
      <alignment horizontal="center" vertical="center"/>
    </xf>
    <xf numFmtId="166" fontId="18" fillId="12" borderId="17" applyAlignment="1" pivotButton="0" quotePrefix="0" xfId="2">
      <alignment horizontal="center" vertical="center"/>
    </xf>
    <xf numFmtId="166" fontId="19" fillId="12" borderId="38" applyAlignment="1" pivotButton="0" quotePrefix="0" xfId="2">
      <alignment horizontal="center" vertical="center"/>
    </xf>
    <xf numFmtId="0" fontId="20" fillId="0" borderId="24" applyAlignment="1" pivotButton="0" quotePrefix="0" xfId="0">
      <alignment horizontal="left" vertical="center" wrapText="1"/>
    </xf>
    <xf numFmtId="165" fontId="21" fillId="6" borderId="15" applyAlignment="1" pivotButton="0" quotePrefix="0" xfId="0">
      <alignment vertical="center" wrapText="1"/>
    </xf>
    <xf numFmtId="165" fontId="21" fillId="6" borderId="38" applyAlignment="1" pivotButton="0" quotePrefix="0" xfId="0">
      <alignment vertical="center" wrapText="1"/>
    </xf>
    <xf numFmtId="165" fontId="6" fillId="7" borderId="13" pivotButton="0" quotePrefix="0" xfId="1"/>
    <xf numFmtId="165" fontId="6" fillId="7" borderId="15" pivotButton="0" quotePrefix="0" xfId="1"/>
    <xf numFmtId="165" fontId="6" fillId="7" borderId="49" pivotButton="0" quotePrefix="0" xfId="1"/>
    <xf numFmtId="165" fontId="6" fillId="0" borderId="68" applyAlignment="1" pivotButton="0" quotePrefix="0" xfId="1">
      <alignment horizontal="center" vertical="center"/>
    </xf>
    <xf numFmtId="165" fontId="6" fillId="7" borderId="26" pivotButton="0" quotePrefix="0" xfId="1"/>
    <xf numFmtId="0" fontId="0" fillId="0" borderId="98" pivotButton="0" quotePrefix="0" xfId="0"/>
    <xf numFmtId="0" fontId="0" fillId="0" borderId="41" applyProtection="1" pivotButton="0" quotePrefix="0" xfId="0">
      <protection locked="0" hidden="0"/>
    </xf>
    <xf numFmtId="49" fontId="2" fillId="5" borderId="47" applyAlignment="1" pivotButton="0" quotePrefix="0" xfId="0">
      <alignment horizontal="center" vertical="center" wrapText="1"/>
    </xf>
    <xf numFmtId="0" fontId="17" fillId="2" borderId="24" applyAlignment="1" applyProtection="1" pivotButton="0" quotePrefix="0" xfId="0">
      <alignment horizontal="center" vertical="center"/>
      <protection locked="0" hidden="0"/>
    </xf>
    <xf numFmtId="0" fontId="0" fillId="0" borderId="9" applyProtection="1" pivotButton="0" quotePrefix="0" xfId="0">
      <protection locked="0" hidden="0"/>
    </xf>
    <xf numFmtId="0" fontId="34" fillId="0" borderId="46" applyAlignment="1" pivotButton="0" quotePrefix="0" xfId="4">
      <alignment horizontal="center" vertical="center" wrapText="1"/>
    </xf>
    <xf numFmtId="0" fontId="0" fillId="0" borderId="61" pivotButton="0" quotePrefix="0" xfId="0"/>
    <xf numFmtId="0" fontId="0" fillId="0" borderId="63" pivotButton="0" quotePrefix="0" xfId="0"/>
    <xf numFmtId="164" fontId="34" fillId="0" borderId="47" applyAlignment="1" pivotButton="0" quotePrefix="0" xfId="4">
      <alignment horizontal="center" vertical="center"/>
    </xf>
    <xf numFmtId="0" fontId="37" fillId="18" borderId="64" applyAlignment="1" pivotButton="0" quotePrefix="0" xfId="0">
      <alignment horizontal="center" vertical="center" wrapText="1"/>
    </xf>
    <xf numFmtId="0" fontId="37" fillId="18" borderId="48" applyAlignment="1" pivotButton="0" quotePrefix="0" xfId="0">
      <alignment horizontal="center" vertical="center" wrapText="1"/>
    </xf>
    <xf numFmtId="0" fontId="38" fillId="18" borderId="48" applyAlignment="1" pivotButton="0" quotePrefix="0" xfId="6">
      <alignment horizontal="center" vertical="center" wrapText="1"/>
    </xf>
    <xf numFmtId="0" fontId="37" fillId="18" borderId="48" applyAlignment="1" pivotButton="0" quotePrefix="0" xfId="6">
      <alignment horizontal="center" vertical="center" wrapText="1"/>
    </xf>
    <xf numFmtId="0" fontId="37" fillId="18" borderId="22" applyAlignment="1" pivotButton="0" quotePrefix="0" xfId="6">
      <alignment horizontal="center" vertical="center" wrapText="1"/>
    </xf>
    <xf numFmtId="0" fontId="0" fillId="0" borderId="59" pivotButton="0" quotePrefix="0" xfId="0"/>
    <xf numFmtId="0" fontId="0" fillId="0" borderId="23" pivotButton="0" quotePrefix="0" xfId="0"/>
    <xf numFmtId="169" fontId="0" fillId="5" borderId="17" applyAlignment="1" applyProtection="1" pivotButton="0" quotePrefix="0" xfId="0">
      <alignment vertical="center"/>
      <protection locked="0" hidden="0"/>
    </xf>
    <xf numFmtId="0" fontId="0" fillId="0" borderId="56" pivotButton="0" quotePrefix="0" xfId="0"/>
    <xf numFmtId="169" fontId="0" fillId="5" borderId="47" applyAlignment="1" applyProtection="1" pivotButton="0" quotePrefix="0" xfId="0">
      <alignment vertical="center"/>
      <protection locked="0" hidden="0"/>
    </xf>
    <xf numFmtId="169" fontId="0" fillId="5" borderId="20" applyAlignment="1" applyProtection="1" pivotButton="0" quotePrefix="0" xfId="0">
      <alignment vertical="center"/>
      <protection locked="0" hidden="0"/>
    </xf>
    <xf numFmtId="0" fontId="34" fillId="0" borderId="21" applyAlignment="1" pivotButton="0" quotePrefix="0" xfId="0">
      <alignment horizontal="right" vertical="center"/>
    </xf>
    <xf numFmtId="0" fontId="0" fillId="0" borderId="64" pivotButton="0" quotePrefix="0" xfId="0"/>
    <xf numFmtId="169" fontId="43" fillId="5" borderId="22" applyAlignment="1" pivotButton="0" quotePrefix="0" xfId="0">
      <alignment vertical="center"/>
    </xf>
    <xf numFmtId="0" fontId="44" fillId="19" borderId="55" applyAlignment="1" pivotButton="0" quotePrefix="0" xfId="0">
      <alignment horizontal="right" vertical="center"/>
    </xf>
    <xf numFmtId="170" fontId="43" fillId="5" borderId="50" applyAlignment="1" pivotButton="0" quotePrefix="0" xfId="0">
      <alignment vertical="center"/>
    </xf>
    <xf numFmtId="0" fontId="35" fillId="5" borderId="24" applyAlignment="1" pivotButton="0" quotePrefix="0" xfId="4">
      <alignment horizontal="left" vertical="center" wrapText="1"/>
    </xf>
    <xf numFmtId="0" fontId="9" fillId="0" borderId="48" applyAlignment="1" pivotButton="0" quotePrefix="0" xfId="9">
      <alignment horizontal="center" vertical="center" wrapText="1"/>
    </xf>
    <xf numFmtId="0" fontId="0" fillId="0" borderId="116" pivotButton="0" quotePrefix="0" xfId="0"/>
    <xf numFmtId="165" fontId="6" fillId="0" borderId="52" pivotButton="0" quotePrefix="0" xfId="1"/>
    <xf numFmtId="166" fontId="6" fillId="0" borderId="49" pivotButton="0" quotePrefix="0" xfId="2"/>
    <xf numFmtId="165" fontId="6" fillId="0" borderId="116" pivotButton="0" quotePrefix="0" xfId="1"/>
    <xf numFmtId="165" fontId="6" fillId="0" borderId="3" pivotButton="0" quotePrefix="0" xfId="1"/>
    <xf numFmtId="165" fontId="6" fillId="0" borderId="11" pivotButton="0" quotePrefix="0" xfId="1"/>
    <xf numFmtId="165" fontId="6" fillId="0" borderId="12" pivotButton="0" quotePrefix="0" xfId="1"/>
    <xf numFmtId="166" fontId="6" fillId="0" borderId="11" pivotButton="0" quotePrefix="0" xfId="2"/>
    <xf numFmtId="165" fontId="6" fillId="0" borderId="53" pivotButton="0" quotePrefix="0" xfId="1"/>
    <xf numFmtId="165" fontId="6" fillId="0" borderId="38" pivotButton="0" quotePrefix="0" xfId="1"/>
    <xf numFmtId="165" fontId="6" fillId="0" borderId="44" pivotButton="0" quotePrefix="0" xfId="1"/>
    <xf numFmtId="165" fontId="6" fillId="0" borderId="43" pivotButton="0" quotePrefix="0" xfId="1"/>
    <xf numFmtId="165" fontId="6" fillId="7" borderId="38" pivotButton="0" quotePrefix="0" xfId="1"/>
    <xf numFmtId="166" fontId="6" fillId="0" borderId="44" pivotButton="0" quotePrefix="0" xfId="2"/>
    <xf numFmtId="165" fontId="6" fillId="0" borderId="6" pivotButton="0" quotePrefix="0" xfId="1"/>
    <xf numFmtId="166" fontId="19" fillId="12" borderId="44" applyAlignment="1" pivotButton="0" quotePrefix="0" xfId="2">
      <alignment horizontal="center" vertical="center"/>
    </xf>
    <xf numFmtId="166" fontId="19" fillId="12" borderId="69" applyAlignment="1" pivotButton="0" quotePrefix="0" xfId="2">
      <alignment horizontal="center" vertical="center"/>
    </xf>
    <xf numFmtId="166" fontId="19" fillId="12" borderId="6" applyAlignment="1" pivotButton="0" quotePrefix="0" xfId="2">
      <alignment horizontal="center" vertical="center"/>
    </xf>
    <xf numFmtId="166" fontId="19" fillId="12" borderId="5" applyAlignment="1" pivotButton="0" quotePrefix="0" xfId="2">
      <alignment horizontal="center" vertical="center"/>
    </xf>
    <xf numFmtId="166" fontId="19" fillId="12" borderId="43" applyAlignment="1" pivotButton="0" quotePrefix="0" xfId="2">
      <alignment horizontal="center" vertical="center"/>
    </xf>
    <xf numFmtId="0" fontId="57" fillId="33" borderId="0" applyAlignment="1" pivotButton="0" quotePrefix="0" xfId="0">
      <alignment horizontal="left" vertical="center"/>
    </xf>
    <xf numFmtId="0" fontId="58" fillId="33" borderId="0" applyAlignment="1" pivotButton="0" quotePrefix="0" xfId="0">
      <alignment horizontal="left" vertical="center" wrapText="1"/>
    </xf>
    <xf numFmtId="0" fontId="62" fillId="0" borderId="0" applyAlignment="1" pivotButton="0" quotePrefix="0" xfId="0">
      <alignment vertical="center"/>
    </xf>
    <xf numFmtId="0" fontId="59" fillId="34" borderId="133" applyAlignment="1" pivotButton="0" quotePrefix="0" xfId="0">
      <alignment horizontal="center" vertical="center" wrapText="1"/>
    </xf>
    <xf numFmtId="177" fontId="60" fillId="35" borderId="134" applyAlignment="1" pivotButton="0" quotePrefix="0" xfId="0">
      <alignment vertical="center"/>
    </xf>
    <xf numFmtId="178" fontId="60" fillId="35" borderId="134" applyAlignment="1" pivotButton="0" quotePrefix="0" xfId="0">
      <alignment horizontal="right" vertical="center"/>
    </xf>
    <xf numFmtId="174" fontId="60" fillId="35" borderId="134" applyAlignment="1" pivotButton="0" quotePrefix="0" xfId="0">
      <alignment horizontal="right" vertical="center"/>
    </xf>
    <xf numFmtId="177" fontId="60" fillId="36" borderId="134" applyAlignment="1" pivotButton="0" quotePrefix="0" xfId="0">
      <alignment vertical="center"/>
    </xf>
    <xf numFmtId="178" fontId="60" fillId="36" borderId="134" applyAlignment="1" pivotButton="0" quotePrefix="0" xfId="0">
      <alignment horizontal="right" vertical="center"/>
    </xf>
    <xf numFmtId="174" fontId="60" fillId="36" borderId="134" applyAlignment="1" pivotButton="0" quotePrefix="0" xfId="0">
      <alignment horizontal="right" vertical="center"/>
    </xf>
    <xf numFmtId="177" fontId="0" fillId="0" borderId="0" pivotButton="0" quotePrefix="0" xfId="0"/>
    <xf numFmtId="178" fontId="0" fillId="0" borderId="0" applyAlignment="1" pivotButton="0" quotePrefix="0" xfId="0">
      <alignment horizontal="right"/>
    </xf>
    <xf numFmtId="174" fontId="0" fillId="0" borderId="0" applyAlignment="1" pivotButton="0" quotePrefix="0" xfId="0">
      <alignment horizontal="right"/>
    </xf>
    <xf numFmtId="177" fontId="61" fillId="37" borderId="135" applyAlignment="1" pivotButton="0" quotePrefix="0" xfId="0">
      <alignment vertical="center"/>
    </xf>
    <xf numFmtId="178" fontId="61" fillId="37" borderId="135" applyAlignment="1" pivotButton="0" quotePrefix="0" xfId="0">
      <alignment horizontal="right" vertical="center"/>
    </xf>
    <xf numFmtId="174" fontId="61" fillId="37" borderId="135" applyAlignment="1" pivotButton="0" quotePrefix="0" xfId="0">
      <alignment horizontal="right" vertical="center"/>
    </xf>
    <xf numFmtId="0" fontId="63" fillId="38" borderId="136" applyAlignment="1" pivotButton="0" quotePrefix="0" xfId="0">
      <alignment vertical="center"/>
    </xf>
    <xf numFmtId="0" fontId="0" fillId="38" borderId="136" pivotButton="0" quotePrefix="0" xfId="0"/>
    <xf numFmtId="0" fontId="63" fillId="39" borderId="136" applyAlignment="1" pivotButton="0" quotePrefix="0" xfId="0">
      <alignment vertical="center"/>
    </xf>
    <xf numFmtId="0" fontId="0" fillId="39" borderId="136" pivotButton="0" quotePrefix="0" xfId="0"/>
    <xf numFmtId="0" fontId="63" fillId="40" borderId="136" applyAlignment="1" pivotButton="0" quotePrefix="0" xfId="0">
      <alignment vertical="center"/>
    </xf>
    <xf numFmtId="0" fontId="0" fillId="40" borderId="136" pivotButton="0" quotePrefix="0" xfId="0"/>
    <xf numFmtId="0" fontId="64" fillId="38" borderId="136" applyAlignment="1" pivotButton="0" quotePrefix="0" xfId="0">
      <alignment vertical="center"/>
    </xf>
    <xf numFmtId="0" fontId="64" fillId="39" borderId="136" applyAlignment="1" pivotButton="0" quotePrefix="0" xfId="0">
      <alignment vertical="center"/>
    </xf>
    <xf numFmtId="0" fontId="64" fillId="40" borderId="136" applyAlignment="1" pivotButton="0" quotePrefix="0" xfId="0">
      <alignment vertical="center"/>
    </xf>
    <xf numFmtId="0" fontId="65" fillId="38" borderId="136" applyAlignment="1" pivotButton="0" quotePrefix="0" xfId="0">
      <alignment vertical="center" wrapText="1"/>
    </xf>
    <xf numFmtId="0" fontId="65" fillId="39" borderId="136" applyAlignment="1" pivotButton="0" quotePrefix="0" xfId="0">
      <alignment vertical="center" wrapText="1"/>
    </xf>
    <xf numFmtId="0" fontId="65" fillId="40" borderId="136" applyAlignment="1" pivotButton="0" quotePrefix="0" xfId="0">
      <alignment vertical="center" wrapText="1"/>
    </xf>
    <xf numFmtId="0" fontId="63" fillId="41" borderId="136" applyAlignment="1" pivotButton="0" quotePrefix="0" xfId="0">
      <alignment vertical="center"/>
    </xf>
    <xf numFmtId="0" fontId="0" fillId="41" borderId="136" pivotButton="0" quotePrefix="0" xfId="0"/>
    <xf numFmtId="0" fontId="63" fillId="42" borderId="136" applyAlignment="1" pivotButton="0" quotePrefix="0" xfId="0">
      <alignment vertical="center"/>
    </xf>
    <xf numFmtId="0" fontId="0" fillId="42" borderId="136" pivotButton="0" quotePrefix="0" xfId="0"/>
    <xf numFmtId="0" fontId="64" fillId="41" borderId="136" applyAlignment="1" pivotButton="0" quotePrefix="0" xfId="0">
      <alignment vertical="center"/>
    </xf>
    <xf numFmtId="0" fontId="64" fillId="42" borderId="136" applyAlignment="1" pivotButton="0" quotePrefix="0" xfId="0">
      <alignment vertical="center"/>
    </xf>
    <xf numFmtId="0" fontId="65" fillId="41" borderId="136" applyAlignment="1" pivotButton="0" quotePrefix="0" xfId="0">
      <alignment vertical="center" wrapText="1"/>
    </xf>
    <xf numFmtId="0" fontId="65" fillId="42" borderId="136" applyAlignment="1" pivotButton="0" quotePrefix="0" xfId="0">
      <alignment vertical="center" wrapText="1"/>
    </xf>
    <xf numFmtId="0" fontId="66" fillId="0" borderId="0" applyAlignment="1" pivotButton="0" quotePrefix="0" xfId="0">
      <alignment vertical="center"/>
    </xf>
    <xf numFmtId="0" fontId="60" fillId="0" borderId="0" applyAlignment="1" pivotButton="0" quotePrefix="0" xfId="0">
      <alignment vertical="center" wrapText="1"/>
    </xf>
    <xf numFmtId="0" fontId="68" fillId="0" borderId="0" applyAlignment="1" pivotButton="0" quotePrefix="0" xfId="0">
      <alignment vertical="center"/>
    </xf>
    <xf numFmtId="178" fontId="0" fillId="0" borderId="0" applyAlignment="1" pivotButton="0" quotePrefix="0" xfId="0">
      <alignment vertical="center"/>
    </xf>
    <xf numFmtId="0" fontId="60" fillId="35" borderId="134" applyAlignment="1" pivotButton="0" quotePrefix="0" xfId="0">
      <alignment vertical="center"/>
    </xf>
    <xf numFmtId="178" fontId="60" fillId="35" borderId="134" applyAlignment="1" pivotButton="0" quotePrefix="0" xfId="0">
      <alignment vertical="center"/>
    </xf>
    <xf numFmtId="0" fontId="60" fillId="35" borderId="134" applyAlignment="1" pivotButton="0" quotePrefix="0" xfId="0">
      <alignment horizontal="center" vertical="center"/>
    </xf>
    <xf numFmtId="0" fontId="60" fillId="35" borderId="134" applyAlignment="1" pivotButton="0" quotePrefix="0" xfId="0">
      <alignment vertical="top" wrapText="1"/>
    </xf>
    <xf numFmtId="0" fontId="60" fillId="36" borderId="134" applyAlignment="1" pivotButton="0" quotePrefix="0" xfId="0">
      <alignment vertical="center"/>
    </xf>
    <xf numFmtId="178" fontId="60" fillId="36" borderId="134" applyAlignment="1" pivotButton="0" quotePrefix="0" xfId="0">
      <alignment vertical="center"/>
    </xf>
    <xf numFmtId="0" fontId="60" fillId="36" borderId="134" applyAlignment="1" pivotButton="0" quotePrefix="0" xfId="0">
      <alignment horizontal="center" vertical="center"/>
    </xf>
    <xf numFmtId="0" fontId="60" fillId="36" borderId="134" applyAlignment="1" pivotButton="0" quotePrefix="0" xfId="0">
      <alignment vertical="top" wrapText="1"/>
    </xf>
  </cellXfs>
  <cellStyles count="16">
    <cellStyle name="Normal" xfId="0" builtinId="0"/>
    <cellStyle name="Vírgula" xfId="1" builtinId="3"/>
    <cellStyle name="Moeda" xfId="2" builtinId="4"/>
    <cellStyle name="Porcentagem" xfId="3" builtinId="5"/>
    <cellStyle name="Normal 2 6" xfId="4"/>
    <cellStyle name="Normal 9" xfId="5"/>
    <cellStyle name="Normal_Anexo_Planilha_Precos_Sumario" xfId="6"/>
    <cellStyle name="Normal 4 17" xfId="7"/>
    <cellStyle name="Normal 5" xfId="8"/>
    <cellStyle name="Normal 3" xfId="9"/>
    <cellStyle name="Normal 4" xfId="10"/>
    <cellStyle name="Normal 4 2" xfId="11"/>
    <cellStyle name="Comma 2" xfId="12"/>
    <cellStyle name="Currency 2" xfId="13"/>
    <cellStyle name="Vírgula 2" xfId="14"/>
    <cellStyle name="Normal 10" xfId="15"/>
  </cellStyles>
  <dxfs count="79">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rgb="00C00000"/>
      </font>
    </dxf>
    <dxf>
      <font>
        <color rgb="0070AD47"/>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externalLink" Target="/xl/externalLinks/externalLink1.xml" Id="rId14"/><Relationship Type="http://schemas.openxmlformats.org/officeDocument/2006/relationships/styles" Target="styles.xml" Id="rId15"/><Relationship Type="http://schemas.openxmlformats.org/officeDocument/2006/relationships/theme" Target="theme/theme1.xml" Id="rId16"/></Relationships>
</file>

<file path=xl/charts/chart1.xml><?xml version="1.0" encoding="utf-8"?>
<chartSpace xmlns="http://schemas.openxmlformats.org/drawingml/2006/chart">
  <chart>
    <plotArea>
      <layout>
        <manualLayout>
          <layoutTarget val="inner"/>
          <xMode val="edge"/>
          <yMode val="edge"/>
          <wMode val="factor"/>
          <hMode val="factor"/>
          <x val="0.05900583825980926"/>
          <y val="0.008667822421076127"/>
          <w val="0.8594663988514242"/>
          <h val="0.9386696123707743"/>
        </manualLayout>
      </layout>
      <barChart>
        <barDir val="col"/>
        <grouping val="clustered"/>
        <varyColors val="0"/>
        <ser>
          <idx val="0"/>
          <order val="0"/>
          <tx>
            <strRef>
              <f>'04_TOTALIZADORA (2)'!$C$13</f>
              <strCache>
                <ptCount val="1"/>
                <pt idx="0">
                  <v>VALOR TOTAL MENSAL  (com todos os impostos) (R$)</v>
                </pt>
              </strCache>
            </strRef>
          </tx>
          <spPr>
            <a:solidFill xmlns:a="http://schemas.openxmlformats.org/drawingml/2006/main">
              <a:schemeClr val="accent1"/>
            </a:solidFill>
            <a:ln xmlns:a="http://schemas.openxmlformats.org/drawingml/2006/main">
              <a:noFill/>
              <a:prstDash val="solid"/>
            </a:ln>
          </spPr>
          <invertIfNegative val="0"/>
          <dLbls>
            <delete val="1"/>
          </dLbls>
          <cat>
            <strRef>
              <f>'04_TOTALIZADORA (2)'!$A$14:$A$82</f>
              <strCache>
                <ptCount val="57"/>
                <pt idx="0">
                  <v>1</v>
                </pt>
                <pt idx="1">
                  <v>2 à 15</v>
                </pt>
                <pt idx="2">
                  <v>15</v>
                </pt>
                <pt idx="3">
                  <v>16</v>
                </pt>
                <pt idx="4">
                  <v>17</v>
                </pt>
                <pt idx="5">
                  <v>18</v>
                </pt>
                <pt idx="6">
                  <v>19</v>
                </pt>
                <pt idx="7">
                  <v>20</v>
                </pt>
                <pt idx="8">
                  <v>21</v>
                </pt>
                <pt idx="9">
                  <v>22</v>
                </pt>
                <pt idx="10">
                  <v>23</v>
                </pt>
                <pt idx="11">
                  <v>24</v>
                </pt>
                <pt idx="12">
                  <v>25</v>
                </pt>
                <pt idx="13">
                  <v>26</v>
                </pt>
                <pt idx="14">
                  <v>27</v>
                </pt>
                <pt idx="15">
                  <v>28</v>
                </pt>
                <pt idx="16">
                  <v>29</v>
                </pt>
                <pt idx="17">
                  <v>30</v>
                </pt>
                <pt idx="18">
                  <v>31</v>
                </pt>
                <pt idx="19">
                  <v>32</v>
                </pt>
                <pt idx="20">
                  <v>33</v>
                </pt>
                <pt idx="21">
                  <v>34</v>
                </pt>
                <pt idx="22">
                  <v>35</v>
                </pt>
                <pt idx="23">
                  <v>36</v>
                </pt>
                <pt idx="24">
                  <v>37</v>
                </pt>
                <pt idx="25">
                  <v>38</v>
                </pt>
                <pt idx="26">
                  <v>39</v>
                </pt>
                <pt idx="27">
                  <v>40</v>
                </pt>
                <pt idx="28">
                  <v>41</v>
                </pt>
                <pt idx="29">
                  <v>42</v>
                </pt>
                <pt idx="30">
                  <v>43</v>
                </pt>
                <pt idx="31">
                  <v>44</v>
                </pt>
                <pt idx="32">
                  <v>45</v>
                </pt>
                <pt idx="33">
                  <v>46</v>
                </pt>
                <pt idx="34">
                  <v>47</v>
                </pt>
                <pt idx="35">
                  <v>48</v>
                </pt>
                <pt idx="36">
                  <v>49</v>
                </pt>
                <pt idx="37">
                  <v>50</v>
                </pt>
                <pt idx="38">
                  <v>51</v>
                </pt>
                <pt idx="39">
                  <v>52</v>
                </pt>
                <pt idx="40">
                  <v>53</v>
                </pt>
                <pt idx="41">
                  <v>54</v>
                </pt>
                <pt idx="42">
                  <v>55</v>
                </pt>
                <pt idx="43">
                  <v>56</v>
                </pt>
                <pt idx="44">
                  <v>57</v>
                </pt>
                <pt idx="45">
                  <v>58</v>
                </pt>
                <pt idx="46">
                  <v>59</v>
                </pt>
                <pt idx="47">
                  <v>60</v>
                </pt>
                <pt idx="48">
                  <v>61</v>
                </pt>
                <pt idx="49">
                  <v>62</v>
                </pt>
                <pt idx="50">
                  <v>63</v>
                </pt>
                <pt idx="51">
                  <v>64</v>
                </pt>
                <pt idx="52">
                  <v>65</v>
                </pt>
                <pt idx="53">
                  <v>66</v>
                </pt>
                <pt idx="54">
                  <v>67</v>
                </pt>
                <pt idx="55">
                  <v>68</v>
                </pt>
                <pt idx="56">
                  <v>69</v>
                </pt>
              </strCache>
            </strRef>
          </cat>
          <val>
            <numRef>
              <f>'04_TOTALIZADORA (2)'!$C$14:$C$82</f>
              <numCache>
                <formatCode>_(* #,##0.00_);_(* \(#,##0.00\);_(* "-"??_);_(@_)</formatCode>
                <ptCount val="57"/>
                <pt idx="0">
                  <v>0</v>
                </pt>
                <pt idx="1">
                  <v>0</v>
                </pt>
                <pt idx="2">
                  <v>0</v>
                </pt>
                <pt idx="3">
                  <v>412245.1763298608</v>
                </pt>
                <pt idx="4">
                  <v>0</v>
                </pt>
                <pt idx="5">
                  <v>0</v>
                </pt>
                <pt idx="6">
                  <v>441511.47</v>
                </pt>
                <pt idx="7">
                  <v>3812821.554456618</v>
                </pt>
                <pt idx="8">
                  <v>655154.8299999998</v>
                </pt>
                <pt idx="9">
                  <v>2732612.892833749</v>
                </pt>
                <pt idx="10">
                  <v>826234.5699999999</v>
                </pt>
                <pt idx="11">
                  <v>1155029.7375</v>
                </pt>
                <pt idx="12">
                  <v>1160023.349319443</v>
                </pt>
                <pt idx="13">
                  <v>3984972.439683495</v>
                </pt>
                <pt idx="14">
                  <v>4942914.62</v>
                </pt>
                <pt idx="15">
                  <v>10534527.22</v>
                </pt>
                <pt idx="16">
                  <v>3520581.38</v>
                </pt>
                <pt idx="17">
                  <v>6938924.957500001</v>
                </pt>
                <pt idx="18">
                  <v>11106954.49</v>
                </pt>
                <pt idx="19">
                  <v>7356733.977000001</v>
                </pt>
                <pt idx="20">
                  <v>5308631.567000001</v>
                </pt>
                <pt idx="21">
                  <v>11561534.6555</v>
                </pt>
                <pt idx="22">
                  <v>4679233.794641106</v>
                </pt>
                <pt idx="23">
                  <v>971574.5800000003</v>
                </pt>
                <pt idx="24">
                  <v>3431951.01</v>
                </pt>
                <pt idx="25">
                  <v>2707327.12</v>
                </pt>
                <pt idx="26">
                  <v>8180418.344021075</v>
                </pt>
                <pt idx="27">
                  <v>2261479.41</v>
                </pt>
                <pt idx="28">
                  <v>0</v>
                </pt>
                <pt idx="29">
                  <v>405825.62</v>
                </pt>
                <pt idx="30">
                  <v>2617584.64</v>
                </pt>
                <pt idx="31">
                  <v>6062885.555000001</v>
                </pt>
                <pt idx="32">
                  <v>4898441.314999999</v>
                </pt>
                <pt idx="33">
                  <v>10417487.7395</v>
                </pt>
                <pt idx="34">
                  <v>1673829.967791691</v>
                </pt>
                <pt idx="35">
                  <v>452567.6375</v>
                </pt>
                <pt idx="36">
                  <v>2973836.8</v>
                </pt>
                <pt idx="37">
                  <v>1618458.85</v>
                </pt>
                <pt idx="38">
                  <v>1240472.15</v>
                </pt>
                <pt idx="39">
                  <v>5772995.847500001</v>
                </pt>
                <pt idx="40">
                  <v>4795019.43</v>
                </pt>
                <pt idx="41">
                  <v>4721548.077500001</v>
                </pt>
                <pt idx="42">
                  <v>5076342.895</v>
                </pt>
                <pt idx="43">
                  <v>476969.0595962093</v>
                </pt>
                <pt idx="44">
                  <v>1490473.86</v>
                </pt>
                <pt idx="45">
                  <v>1227847.99</v>
                </pt>
                <pt idx="46">
                  <v>1074727.8275</v>
                </pt>
                <pt idx="47">
                  <v>2329835.728</v>
                </pt>
                <pt idx="48">
                  <v>7554539.475500002</v>
                </pt>
                <pt idx="49">
                  <v>2422092.6</v>
                </pt>
                <pt idx="50">
                  <v>3426302.0275</v>
                </pt>
                <pt idx="51">
                  <v>930600.0000000001</v>
                </pt>
                <pt idx="52">
                  <v>6477018.61577893</v>
                </pt>
                <pt idx="53">
                  <v>711240.2557916908</v>
                </pt>
                <pt idx="54">
                  <v>2108459.545</v>
                </pt>
                <pt idx="55">
                  <v>177729.245</v>
                </pt>
                <pt idx="56">
                  <v>0</v>
                </pt>
              </numCache>
            </numRef>
          </val>
        </ser>
        <ser>
          <idx val="1"/>
          <order val="1"/>
          <tx>
            <strRef>
              <f>'04_TOTALIZADORA (2)'!$E$13</f>
              <strCache>
                <ptCount val="1"/>
                <pt idx="0">
                  <v>VALOR TOTAL MENSAL  (com todos os impostos) (R$)</v>
                </pt>
              </strCache>
            </strRef>
          </tx>
          <spPr>
            <a:solidFill xmlns:a="http://schemas.openxmlformats.org/drawingml/2006/main">
              <a:srgbClr val="00B050"/>
            </a:solidFill>
            <a:ln xmlns:a="http://schemas.openxmlformats.org/drawingml/2006/main">
              <a:noFill/>
              <a:prstDash val="solid"/>
            </a:ln>
          </spPr>
          <invertIfNegative val="0"/>
          <dLbls>
            <delete val="1"/>
          </dLbls>
          <cat>
            <strRef>
              <f>'04_TOTALIZADORA (2)'!$A$14:$A$82</f>
              <strCache>
                <ptCount val="57"/>
                <pt idx="0">
                  <v>1</v>
                </pt>
                <pt idx="1">
                  <v>2 à 15</v>
                </pt>
                <pt idx="2">
                  <v>15</v>
                </pt>
                <pt idx="3">
                  <v>16</v>
                </pt>
                <pt idx="4">
                  <v>17</v>
                </pt>
                <pt idx="5">
                  <v>18</v>
                </pt>
                <pt idx="6">
                  <v>19</v>
                </pt>
                <pt idx="7">
                  <v>20</v>
                </pt>
                <pt idx="8">
                  <v>21</v>
                </pt>
                <pt idx="9">
                  <v>22</v>
                </pt>
                <pt idx="10">
                  <v>23</v>
                </pt>
                <pt idx="11">
                  <v>24</v>
                </pt>
                <pt idx="12">
                  <v>25</v>
                </pt>
                <pt idx="13">
                  <v>26</v>
                </pt>
                <pt idx="14">
                  <v>27</v>
                </pt>
                <pt idx="15">
                  <v>28</v>
                </pt>
                <pt idx="16">
                  <v>29</v>
                </pt>
                <pt idx="17">
                  <v>30</v>
                </pt>
                <pt idx="18">
                  <v>31</v>
                </pt>
                <pt idx="19">
                  <v>32</v>
                </pt>
                <pt idx="20">
                  <v>33</v>
                </pt>
                <pt idx="21">
                  <v>34</v>
                </pt>
                <pt idx="22">
                  <v>35</v>
                </pt>
                <pt idx="23">
                  <v>36</v>
                </pt>
                <pt idx="24">
                  <v>37</v>
                </pt>
                <pt idx="25">
                  <v>38</v>
                </pt>
                <pt idx="26">
                  <v>39</v>
                </pt>
                <pt idx="27">
                  <v>40</v>
                </pt>
                <pt idx="28">
                  <v>41</v>
                </pt>
                <pt idx="29">
                  <v>42</v>
                </pt>
                <pt idx="30">
                  <v>43</v>
                </pt>
                <pt idx="31">
                  <v>44</v>
                </pt>
                <pt idx="32">
                  <v>45</v>
                </pt>
                <pt idx="33">
                  <v>46</v>
                </pt>
                <pt idx="34">
                  <v>47</v>
                </pt>
                <pt idx="35">
                  <v>48</v>
                </pt>
                <pt idx="36">
                  <v>49</v>
                </pt>
                <pt idx="37">
                  <v>50</v>
                </pt>
                <pt idx="38">
                  <v>51</v>
                </pt>
                <pt idx="39">
                  <v>52</v>
                </pt>
                <pt idx="40">
                  <v>53</v>
                </pt>
                <pt idx="41">
                  <v>54</v>
                </pt>
                <pt idx="42">
                  <v>55</v>
                </pt>
                <pt idx="43">
                  <v>56</v>
                </pt>
                <pt idx="44">
                  <v>57</v>
                </pt>
                <pt idx="45">
                  <v>58</v>
                </pt>
                <pt idx="46">
                  <v>59</v>
                </pt>
                <pt idx="47">
                  <v>60</v>
                </pt>
                <pt idx="48">
                  <v>61</v>
                </pt>
                <pt idx="49">
                  <v>62</v>
                </pt>
                <pt idx="50">
                  <v>63</v>
                </pt>
                <pt idx="51">
                  <v>64</v>
                </pt>
                <pt idx="52">
                  <v>65</v>
                </pt>
                <pt idx="53">
                  <v>66</v>
                </pt>
                <pt idx="54">
                  <v>67</v>
                </pt>
                <pt idx="55">
                  <v>68</v>
                </pt>
                <pt idx="56">
                  <v>69</v>
                </pt>
              </strCache>
            </strRef>
          </cat>
          <val>
            <numRef>
              <f>'04_TOTALIZADORA (2)'!$E$14:$E$82</f>
              <numCache>
                <formatCode>_(* #,##0.00_);_(* \(#,##0.00\);_(* "-"??_);_(@_)</formatCode>
                <ptCount val="57"/>
                <pt idx="0">
                  <v>0</v>
                </pt>
                <pt idx="1">
                  <v>0</v>
                </pt>
                <pt idx="2">
                  <v>0</v>
                </pt>
                <pt idx="3">
                  <v>0</v>
                </pt>
                <pt idx="4">
                  <v>0</v>
                </pt>
                <pt idx="5">
                  <v>0</v>
                </pt>
                <pt idx="6">
                  <v>0</v>
                </pt>
                <pt idx="7">
                  <v>0</v>
                </pt>
                <pt idx="8">
                  <v>0</v>
                </pt>
                <pt idx="9">
                  <v>0</v>
                </pt>
                <pt idx="10">
                  <v>801542.66</v>
                </pt>
                <pt idx="11">
                  <v>0</v>
                </pt>
                <pt idx="12">
                  <v>0</v>
                </pt>
                <pt idx="13">
                  <v>421218.05</v>
                </pt>
                <pt idx="14">
                  <v>0</v>
                </pt>
                <pt idx="15">
                  <v>0</v>
                </pt>
                <pt idx="16">
                  <v>0</v>
                </pt>
                <pt idx="17">
                  <v>6081414.32</v>
                </pt>
                <pt idx="18">
                  <v>3485471.420000001</v>
                </pt>
                <pt idx="19">
                  <v>0</v>
                </pt>
                <pt idx="20">
                  <v>142064.99</v>
                </pt>
                <pt idx="21">
                  <v>1864951.9075</v>
                </pt>
                <pt idx="22">
                  <v>0</v>
                </pt>
                <pt idx="23">
                  <v>162483.4</v>
                </pt>
                <pt idx="24">
                  <v>305374.8040000001</v>
                </pt>
                <pt idx="25">
                  <v>153914.72</v>
                </pt>
                <pt idx="26">
                  <v>0</v>
                </pt>
                <pt idx="27">
                  <v>0</v>
                </pt>
                <pt idx="28">
                  <v>0</v>
                </pt>
                <pt idx="29">
                  <v>0</v>
                </pt>
                <pt idx="30">
                  <v>0</v>
                </pt>
                <pt idx="31">
                  <v>0</v>
                </pt>
                <pt idx="32">
                  <v>0</v>
                </pt>
                <pt idx="33">
                  <v>661312.1975</v>
                </pt>
                <pt idx="34">
                  <v>0</v>
                </pt>
                <pt idx="35">
                  <v>0</v>
                </pt>
                <pt idx="36">
                  <v>0</v>
                </pt>
                <pt idx="37">
                  <v>0</v>
                </pt>
                <pt idx="38">
                  <v>0</v>
                </pt>
                <pt idx="39">
                  <v>0</v>
                </pt>
                <pt idx="40">
                  <v>0</v>
                </pt>
                <pt idx="41">
                  <v>0</v>
                </pt>
                <pt idx="42">
                  <v>0</v>
                </pt>
                <pt idx="43">
                  <v>661312.1975</v>
                </pt>
                <pt idx="44">
                  <v>341460.63</v>
                </pt>
                <pt idx="45">
                  <v>320374.8040000001</v>
                </pt>
                <pt idx="46">
                  <v>22270.57</v>
                </pt>
                <pt idx="47">
                  <v>0</v>
                </pt>
                <pt idx="48">
                  <v>0</v>
                </pt>
                <pt idx="49">
                  <v>0</v>
                </pt>
                <pt idx="50">
                  <v>0</v>
                </pt>
                <pt idx="51">
                  <v>0</v>
                </pt>
                <pt idx="52">
                  <v>160007.52</v>
                </pt>
                <pt idx="53">
                  <v>1019658.6175</v>
                </pt>
                <pt idx="54">
                  <v>404333.0720000001</v>
                </pt>
                <pt idx="55">
                  <v>0</v>
                </pt>
                <pt idx="56">
                  <v>0</v>
                </pt>
              </numCache>
            </numRef>
          </val>
        </ser>
        <dLbls>
          <showLegendKey val="0"/>
          <showVal val="1"/>
          <showCatName val="0"/>
          <showSerName val="0"/>
          <showPercent val="0"/>
          <showBubbleSize val="0"/>
        </dLbls>
        <gapWidth val="0"/>
        <axId val="1006042335"/>
        <axId val="1006036927"/>
      </barChart>
      <lineChart>
        <grouping val="standard"/>
        <varyColors val="0"/>
        <ser>
          <idx val="2"/>
          <order val="2"/>
          <tx>
            <strRef>
              <f>'04_TOTALIZADORA (2)'!$F$12</f>
              <strCache>
                <ptCount val="1"/>
                <pt idx="0">
                  <v>VALOR ACUMULADO (com todos os impostos) (R$)</v>
                </pt>
              </strCache>
            </strRef>
          </tx>
          <spPr>
            <a:ln xmlns:a="http://schemas.openxmlformats.org/drawingml/2006/main" w="28575" cap="rnd">
              <a:solidFill>
                <a:schemeClr val="accent2"/>
              </a:solidFill>
              <a:prstDash val="solid"/>
              <a:round/>
            </a:ln>
          </spPr>
          <marker>
            <symbol val="none"/>
            <spPr>
              <a:ln xmlns:a="http://schemas.openxmlformats.org/drawingml/2006/main">
                <a:prstDash val="solid"/>
              </a:ln>
            </spPr>
          </marker>
          <dLbls>
            <delete val="1"/>
          </dLbls>
          <val>
            <numRef>
              <f>'04_TOTALIZADORA (2)'!$F$14:$F$82</f>
              <numCache>
                <formatCode>_(* #,##0.00_);_(* \(#,##0.00\);_(* "-"??_);_(@_)</formatCode>
                <ptCount val="57"/>
                <pt idx="0">
                  <v>0</v>
                </pt>
                <pt idx="1">
                  <v>0</v>
                </pt>
                <pt idx="2">
                  <v>0</v>
                </pt>
                <pt idx="3">
                  <v>412245.1763298608</v>
                </pt>
                <pt idx="4">
                  <v>412245.1763298608</v>
                </pt>
                <pt idx="5">
                  <v>412245.1763298608</v>
                </pt>
                <pt idx="6">
                  <v>853756.6463298609</v>
                </pt>
                <pt idx="7">
                  <v>4666578.200786479</v>
                </pt>
                <pt idx="8">
                  <v>5321733.030786479</v>
                </pt>
                <pt idx="9">
                  <v>8054345.923620228</v>
                </pt>
                <pt idx="10">
                  <v>9682123.153620228</v>
                </pt>
                <pt idx="11">
                  <v>10837152.89112023</v>
                </pt>
                <pt idx="12">
                  <v>11997176.24043967</v>
                </pt>
                <pt idx="13">
                  <v>16403366.73012317</v>
                </pt>
                <pt idx="14">
                  <v>21346281.35012317</v>
                </pt>
                <pt idx="15">
                  <v>31880808.57012317</v>
                </pt>
                <pt idx="16">
                  <v>35401389.95012317</v>
                </pt>
                <pt idx="17">
                  <v>48421729.22762317</v>
                </pt>
                <pt idx="18">
                  <v>63014155.13762318</v>
                </pt>
                <pt idx="19">
                  <v>70370889.11462317</v>
                </pt>
                <pt idx="20">
                  <v>75821585.67162317</v>
                </pt>
                <pt idx="21">
                  <v>89248072.23462318</v>
                </pt>
                <pt idx="22">
                  <v>93927306.02926429</v>
                </pt>
                <pt idx="23">
                  <v>95061364.00926429</v>
                </pt>
                <pt idx="24">
                  <v>98798689.82326429</v>
                </pt>
                <pt idx="25">
                  <v>101659931.6632643</v>
                </pt>
                <pt idx="26">
                  <v>109840350.0072854</v>
                </pt>
                <pt idx="27">
                  <v>112101829.4172854</v>
                </pt>
                <pt idx="28">
                  <v>112101829.4172854</v>
                </pt>
                <pt idx="29">
                  <v>112507655.0372854</v>
                </pt>
                <pt idx="30">
                  <v>115125239.6772854</v>
                </pt>
                <pt idx="31">
                  <v>121188125.2322854</v>
                </pt>
                <pt idx="32">
                  <v>126086566.5472854</v>
                </pt>
                <pt idx="33">
                  <v>137165366.4842854</v>
                </pt>
                <pt idx="34">
                  <v>138839196.4520771</v>
                </pt>
                <pt idx="35">
                  <v>139291764.089577</v>
                </pt>
                <pt idx="36">
                  <v>142265600.8895771</v>
                </pt>
                <pt idx="37">
                  <v>143884059.7395771</v>
                </pt>
                <pt idx="38">
                  <v>145124531.8895771</v>
                </pt>
                <pt idx="39">
                  <v>150897527.7370771</v>
                </pt>
                <pt idx="40">
                  <v>155692547.1670771</v>
                </pt>
                <pt idx="41">
                  <v>160414095.2445771</v>
                </pt>
                <pt idx="42">
                  <v>165490438.1395771</v>
                </pt>
                <pt idx="43">
                  <v>166628719.3966733</v>
                </pt>
                <pt idx="44">
                  <v>168460653.8866733</v>
                </pt>
                <pt idx="45">
                  <v>170008876.6806733</v>
                </pt>
                <pt idx="46">
                  <v>171105875.0781733</v>
                </pt>
                <pt idx="47">
                  <v>173435710.8061733</v>
                </pt>
                <pt idx="48">
                  <v>180990250.2816733</v>
                </pt>
                <pt idx="49">
                  <v>183412342.8816732</v>
                </pt>
                <pt idx="50">
                  <v>186838644.9091733</v>
                </pt>
                <pt idx="51">
                  <v>187769244.9091733</v>
                </pt>
                <pt idx="52">
                  <v>194406271.0449522</v>
                </pt>
                <pt idx="53">
                  <v>196137169.9182439</v>
                </pt>
                <pt idx="54">
                  <v>198649962.5352439</v>
                </pt>
                <pt idx="55">
                  <v>198827691.7802439</v>
                </pt>
                <pt idx="56">
                  <v>198827691.7802439</v>
                </pt>
              </numCache>
            </numRef>
          </val>
          <smooth val="0"/>
        </ser>
        <ser>
          <idx val="3"/>
          <order val="3"/>
          <tx>
            <strRef>
              <f>'04_TOTALIZADORA (2)'!$H$12:$H$13</f>
              <strCache>
                <ptCount val="2"/>
                <pt idx="0">
                  <v xml:space="preserve">DESEMBOLSO ACUMULADO VALOR ACUMULADO </v>
                </pt>
              </strCache>
            </strRef>
          </tx>
          <spPr>
            <a:ln xmlns:a="http://schemas.openxmlformats.org/drawingml/2006/main" w="28575" cap="rnd">
              <a:solidFill>
                <a:schemeClr val="accent4"/>
              </a:solidFill>
              <a:prstDash val="solid"/>
              <a:round/>
            </a:ln>
          </spPr>
          <marker>
            <symbol val="none"/>
            <spPr>
              <a:ln xmlns:a="http://schemas.openxmlformats.org/drawingml/2006/main">
                <a:prstDash val="solid"/>
              </a:ln>
            </spPr>
          </marker>
          <dLbls>
            <delete val="1"/>
          </dLbls>
          <val>
            <numRef>
              <f>'04_TOTALIZADORA (2)'!$H$14:$H$82</f>
              <numCache>
                <formatCode>_(* #,##0.00_);_(* \(#,##0.00\);_(* "-"??_);_(@_)</formatCode>
                <ptCount val="57"/>
                <pt idx="1">
                  <v>0</v>
                </pt>
                <pt idx="2">
                  <v>57924.445</v>
                </pt>
                <pt idx="3">
                  <v>57924.445</v>
                </pt>
                <pt idx="4">
                  <v>97924.44500000001</v>
                </pt>
                <pt idx="5">
                  <v>5499361.295</v>
                </pt>
                <pt idx="6">
                  <v>7206007.845000001</v>
                </pt>
                <pt idx="7">
                  <v>8906007.845000001</v>
                </pt>
                <pt idx="8">
                  <v>15057723.986</v>
                </pt>
                <pt idx="9">
                  <v>15297723.986</v>
                </pt>
                <pt idx="10">
                  <v>15493540.156</v>
                </pt>
                <pt idx="11">
                  <v>17365271.8</v>
                </pt>
                <pt idx="12">
                  <v>19740722.19</v>
                </pt>
                <pt idx="13">
                  <v>20008048.734</v>
                </pt>
                <pt idx="14">
                  <v>20408048.734</v>
                </pt>
                <pt idx="15">
                  <v>21848193.888</v>
                </pt>
                <pt idx="16">
                  <v>26137789.13809677</v>
                </pt>
                <pt idx="17">
                  <v>26538595.91309677</v>
                </pt>
                <pt idx="18">
                  <v>29899462.30684677</v>
                </pt>
                <pt idx="19">
                  <v>30085560.98284677</v>
                </pt>
                <pt idx="20">
                  <v>32141247.65484677</v>
                </pt>
                <pt idx="21">
                  <v>33543052.96684677</v>
                </pt>
                <pt idx="22">
                  <v>33894236.35684677</v>
                </pt>
                <pt idx="23">
                  <v>36646196.11684677</v>
                </pt>
                <pt idx="24">
                  <v>38138157.64284677</v>
                </pt>
                <pt idx="25">
                  <v>39296612.15284677</v>
                </pt>
                <pt idx="26">
                  <v>41634467.42284676</v>
                </pt>
                <pt idx="27">
                  <v>42800147.42284676</v>
                </pt>
                <pt idx="28">
                  <v>44622861.17284676</v>
                </pt>
                <pt idx="29">
                  <v>45101313.67284676</v>
                </pt>
                <pt idx="30">
                  <v>45447412.34884676</v>
                </pt>
                <pt idx="31">
                  <v>48808278.74259676</v>
                </pt>
                <pt idx="32">
                  <v>48976278.74259676</v>
                </pt>
                <pt idx="33">
                  <v>48976278.74259676</v>
                </pt>
                <pt idx="34">
                  <v>48976278.74259676</v>
                </pt>
                <pt idx="35">
                  <v>49224278.74259676</v>
                </pt>
                <pt idx="36">
                  <v>50653328.50059676</v>
                </pt>
                <pt idx="37">
                  <v>52565008.50059676</v>
                </pt>
                <pt idx="38">
                  <v>56518978.63434676</v>
                </pt>
                <pt idx="39">
                  <v>56977431.13434676</v>
                </pt>
                <pt idx="40">
                  <v>57377431.13434676</v>
                </pt>
                <pt idx="41">
                  <v>57601718.25534676</v>
                </pt>
                <pt idx="42">
                  <v>57906029.79034676</v>
                </pt>
                <pt idx="43">
                  <v>57906029.79034676</v>
                </pt>
                <pt idx="44">
                  <v>57986029.79034676</v>
                </pt>
                <pt idx="45">
                  <v>61192428.67409676</v>
                </pt>
                <pt idx="46">
                  <v>62539932.94209675</v>
                </pt>
                <pt idx="47">
                  <v>62912659.30209675</v>
                </pt>
                <pt idx="48">
                  <v>63312659.30209675</v>
                </pt>
                <pt idx="49">
                  <v>63471654.84909675</v>
                </pt>
                <pt idx="50">
                  <v>63471654.84909675</v>
                </pt>
                <pt idx="51">
                  <v>64512505.77509675</v>
                </pt>
                <pt idx="52">
                  <v>64512505.77509675</v>
                </pt>
                <pt idx="53">
                  <v>64512505.77509675</v>
                </pt>
                <pt idx="54">
                  <v>64512505.77509675</v>
                </pt>
                <pt idx="55">
                  <v>64674784.60109675</v>
                </pt>
                <pt idx="56">
                  <v>64674784.60109675</v>
                </pt>
              </numCache>
            </numRef>
          </val>
          <smooth val="0"/>
        </ser>
        <ser>
          <idx val="4"/>
          <order val="4"/>
          <tx>
            <strRef>
              <f>'04_TOTALIZADORA (2)'!$L$12:$L$13</f>
              <strCache>
                <ptCount val="2"/>
                <pt idx="0">
                  <v>FATURAMENTO ACUMULADO</v>
                </pt>
              </strCache>
            </strRef>
          </tx>
          <spPr>
            <a:ln xmlns:a="http://schemas.openxmlformats.org/drawingml/2006/main" w="28575" cap="rnd">
              <a:solidFill>
                <a:schemeClr val="accent5"/>
              </a:solidFill>
              <a:prstDash val="solid"/>
              <a:round/>
            </a:ln>
          </spPr>
          <marker>
            <symbol val="none"/>
            <spPr>
              <a:ln xmlns:a="http://schemas.openxmlformats.org/drawingml/2006/main">
                <a:prstDash val="solid"/>
              </a:ln>
            </spPr>
          </marker>
          <dLbls>
            <delete val="1"/>
          </dLbls>
          <val>
            <numRef>
              <f>'04_TOTALIZADORA (2)'!$L$14:$L$30</f>
              <numCache>
                <formatCode>_(* #,##0.00_);_(* \(#,##0.00\);_(* "-"??_);_(@_)</formatCode>
                <ptCount val="5"/>
                <pt idx="0">
                  <v>0</v>
                </pt>
                <pt idx="1">
                  <v>9941384.589012193</v>
                </pt>
                <pt idx="2">
                  <v>10291793.00901219</v>
                </pt>
                <pt idx="3">
                  <v>10291793.00901219</v>
                </pt>
                <pt idx="4">
                  <v>10971983.68101219</v>
                </pt>
              </numCache>
            </numRef>
          </val>
          <smooth val="0"/>
        </ser>
        <ser>
          <idx val="5"/>
          <order val="5"/>
          <tx>
            <strRef>
              <f>'04_TOTALIZADORA (2)'!$J$12:$J$13</f>
              <strCache>
                <ptCount val="2"/>
                <pt idx="0">
                  <v xml:space="preserve">DESEMBOLSO TOTAL ACUMULADO VALOR ACUMULADO </v>
                </pt>
              </strCache>
            </strRef>
          </tx>
          <spPr>
            <a:ln xmlns:a="http://schemas.openxmlformats.org/drawingml/2006/main" w="28575" cap="rnd">
              <a:solidFill>
                <a:schemeClr val="accent6"/>
              </a:solidFill>
              <a:prstDash val="solid"/>
              <a:round/>
            </a:ln>
          </spPr>
          <marker>
            <symbol val="none"/>
            <spPr>
              <a:ln xmlns:a="http://schemas.openxmlformats.org/drawingml/2006/main">
                <a:prstDash val="solid"/>
              </a:ln>
            </spPr>
          </marker>
          <dLbls>
            <delete val="1"/>
          </dLbls>
          <val>
            <numRef>
              <f>'04_TOTALIZADORA (2)'!$J$14:$J$82</f>
              <numCache>
                <formatCode>_(* #,##0.00_);_(* \(#,##0.00\);_(* "-"??_);_(@_)</formatCode>
                <ptCount val="57"/>
                <pt idx="0">
                  <v>0</v>
                </pt>
                <pt idx="1">
                  <v>0</v>
                </pt>
                <pt idx="2">
                  <v>57924.445</v>
                </pt>
                <pt idx="3">
                  <v>57924.445</v>
                </pt>
                <pt idx="4">
                  <v>97924.44500000001</v>
                </pt>
                <pt idx="5">
                  <v>5499361.295</v>
                </pt>
                <pt idx="6">
                  <v>7206007.845000001</v>
                </pt>
                <pt idx="7">
                  <v>9126533.785</v>
                </pt>
                <pt idx="8">
                  <v>15747728.906</v>
                </pt>
                <pt idx="9">
                  <v>16318482.206</v>
                </pt>
                <pt idx="10">
                  <v>17315841.036</v>
                </pt>
                <pt idx="11">
                  <v>19456111.76</v>
                </pt>
                <pt idx="12">
                  <v>22048390.08931945</v>
                </pt>
                <pt idx="13">
                  <v>22524506.5359375</v>
                </pt>
                <pt idx="14">
                  <v>25067350.7059375</v>
                </pt>
                <pt idx="15">
                  <v>26507495.8599375</v>
                </pt>
                <pt idx="16">
                  <v>30797091.11003427</v>
                </pt>
                <pt idx="17">
                  <v>37301917.47253427</v>
                </pt>
                <pt idx="18">
                  <v>50138000.05628427</v>
                </pt>
                <pt idx="19">
                  <v>51967402.04428427</v>
                </pt>
                <pt idx="20">
                  <v>54686557.24828427</v>
                </pt>
                <pt idx="21">
                  <v>57022701.09028427</v>
                </pt>
                <pt idx="22">
                  <v>58120199.15028428</v>
                </pt>
                <pt idx="23">
                  <v>60973326.46028428</v>
                </pt>
                <pt idx="24">
                  <v>62796591.06028428</v>
                </pt>
                <pt idx="25">
                  <v>64123070.21028428</v>
                </pt>
                <pt idx="26">
                  <v>68716858.61778428</v>
                </pt>
                <pt idx="27">
                  <v>69905157.17778428</v>
                </pt>
                <pt idx="28">
                  <v>71727870.92778428</v>
                </pt>
                <pt idx="29">
                  <v>72258179.97778428</v>
                </pt>
                <pt idx="30">
                  <v>74604278.65378428</v>
                </pt>
                <pt idx="31">
                  <v>78174664.24753428</v>
                </pt>
                <pt idx="32">
                  <v>78642135.80753428</v>
                </pt>
                <pt idx="33">
                  <v>78922135.80753428</v>
                </pt>
                <pt idx="34">
                  <v>79073827.80753428</v>
                </pt>
                <pt idx="35">
                  <v>79373409.02753428</v>
                </pt>
                <pt idx="36">
                  <v>80802458.78553428</v>
                </pt>
                <pt idx="37">
                  <v>82775454.52553427</v>
                </pt>
                <pt idx="38">
                  <v>86729424.65928428</v>
                </pt>
                <pt idx="39">
                  <v>89443810.29678428</v>
                </pt>
                <pt idx="40">
                  <v>93843810.29678428</v>
                </pt>
                <pt idx="41">
                  <v>94317097.41778429</v>
                </pt>
                <pt idx="42">
                  <v>94765214.69278429</v>
                </pt>
                <pt idx="43">
                  <v>94924559.6427843</v>
                </pt>
                <pt idx="44">
                  <v>95304031.2027843</v>
                </pt>
                <pt idx="45">
                  <v>98830804.8905343</v>
                </pt>
                <pt idx="46">
                  <v>100229890.3785343</v>
                </pt>
                <pt idx="47">
                  <v>100673936.5065343</v>
                </pt>
                <pt idx="48">
                  <v>103401189.4120343</v>
                </pt>
                <pt idx="49">
                  <v>103577914.7190343</v>
                </pt>
                <pt idx="50">
                  <v>103826914.7190343</v>
                </pt>
                <pt idx="51">
                  <v>104867765.6450343</v>
                </pt>
                <pt idx="52">
                  <v>105119555.2173642</v>
                </pt>
                <pt idx="53">
                  <v>105278900.1673642</v>
                </pt>
                <pt idx="54">
                  <v>105982704.7993642</v>
                </pt>
                <pt idx="55">
                  <v>106144983.6253642</v>
                </pt>
                <pt idx="56">
                  <v>106144983.6253642</v>
                </pt>
              </numCache>
            </numRef>
          </val>
          <smooth val="0"/>
        </ser>
        <dLbls>
          <showLegendKey val="0"/>
          <showVal val="1"/>
          <showCatName val="0"/>
          <showSerName val="0"/>
          <showPercent val="0"/>
          <showBubbleSize val="0"/>
        </dLbls>
        <marker val="1"/>
        <smooth val="0"/>
        <axId val="1693624448"/>
        <axId val="1693633600"/>
      </lineChart>
      <catAx>
        <axId val="1006042335"/>
        <scaling>
          <orientation val="minMax"/>
        </scaling>
        <delete val="0"/>
        <axPos val="b"/>
        <numFmt formatCode="General" sourceLinked="1"/>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baseline="0">
                <a:solidFill>
                  <a:schemeClr val="tx1">
                    <a:lumMod val="65000"/>
                    <a:lumOff val="35000"/>
                  </a:schemeClr>
                </a:solidFill>
                <a:latin typeface="+mn-lt"/>
                <a:ea typeface="+mn-ea"/>
                <a:cs typeface="+mn-cs"/>
              </a:defRPr>
            </a:pPr>
            <a:r>
              <a:t/>
            </a:r>
            <a:endParaRPr lang="pt-BR"/>
          </a:p>
        </txPr>
        <crossAx val="1006036927"/>
        <crosses val="autoZero"/>
        <auto val="1"/>
        <lblAlgn val="ctr"/>
        <lblOffset val="100"/>
        <noMultiLvlLbl val="0"/>
      </catAx>
      <valAx>
        <axId val="1006036927"/>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_(* #,##0_);_(* \(#,##0\);_(* &quot;-&quot;_);_(@_)" sourceLinked="0"/>
        <majorTickMark val="out"/>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baseline="0">
                <a:solidFill>
                  <a:schemeClr val="tx1">
                    <a:lumMod val="65000"/>
                    <a:lumOff val="35000"/>
                  </a:schemeClr>
                </a:solidFill>
                <a:latin typeface="+mn-lt"/>
                <a:ea typeface="+mn-ea"/>
                <a:cs typeface="+mn-cs"/>
              </a:defRPr>
            </a:pPr>
            <a:r>
              <a:t/>
            </a:r>
            <a:endParaRPr lang="pt-BR"/>
          </a:p>
        </txPr>
        <crossAx val="1006042335"/>
        <crosses val="autoZero"/>
        <crossBetween val="between"/>
        <dispUnits>
          <builtInUnit val="millions"/>
          <dispUnitsLbl>
            <spPr>
              <a:noFill xmlns:a="http://schemas.openxmlformats.org/drawingml/2006/main"/>
              <a:ln xmlns:a="http://schemas.openxmlformats.org/drawingml/2006/main">
                <a:noFill/>
                <a:prstDash val="solid"/>
              </a:ln>
            </spPr>
            <txPr>
              <a:bodyPr xmlns:a="http://schemas.openxmlformats.org/drawingml/2006/main" rot="-5400000" spcFirstLastPara="1" vertOverflow="ellipsis" vert="horz" wrap="square" anchor="ctr" anchorCtr="1"/>
              <a:lstStyle xmlns:a="http://schemas.openxmlformats.org/drawingml/2006/main"/>
              <a:p xmlns:a="http://schemas.openxmlformats.org/drawingml/2006/main">
                <a:pPr>
                  <a:defRPr sz="900" b="0" i="0" strike="noStrike" baseline="0">
                    <a:solidFill>
                      <a:schemeClr val="tx1">
                        <a:lumMod val="65000"/>
                        <a:lumOff val="35000"/>
                      </a:schemeClr>
                    </a:solidFill>
                    <a:latin typeface="+mn-lt"/>
                    <a:ea typeface="+mn-ea"/>
                    <a:cs typeface="+mn-cs"/>
                  </a:defRPr>
                </a:pPr>
                <a:r>
                  <a:t/>
                </a:r>
                <a:endParaRPr lang="pt-BR"/>
              </a:p>
            </txPr>
          </dispUnitsLbl>
        </dispUnits>
      </valAx>
      <catAx>
        <axId val="1693624448"/>
        <scaling>
          <orientation val="minMax"/>
        </scaling>
        <delete val="1"/>
        <axPos val="b"/>
        <majorTickMark val="out"/>
        <minorTickMark val="none"/>
        <tickLblPos val="nextTo"/>
        <crossAx val="1693633600"/>
        <crosses val="autoZero"/>
        <auto val="1"/>
        <lblAlgn val="ctr"/>
        <lblOffset val="100"/>
        <noMultiLvlLbl val="0"/>
      </catAx>
      <valAx>
        <axId val="1693633600"/>
        <scaling>
          <orientation val="minMax"/>
        </scaling>
        <delete val="0"/>
        <axPos val="r"/>
        <numFmt formatCode="_(* #,##0.00_);_(* \(#,##0.00\);_(* &quot;-&quot;??_);_(@_)" sourceLinked="1"/>
        <majorTickMark val="out"/>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baseline="0">
                <a:solidFill>
                  <a:schemeClr val="tx1">
                    <a:lumMod val="65000"/>
                    <a:lumOff val="35000"/>
                  </a:schemeClr>
                </a:solidFill>
                <a:latin typeface="+mn-lt"/>
                <a:ea typeface="+mn-ea"/>
                <a:cs typeface="+mn-cs"/>
              </a:defRPr>
            </a:pPr>
            <a:r>
              <a:t/>
            </a:r>
            <a:endParaRPr lang="pt-BR"/>
          </a:p>
        </txPr>
        <crossAx val="1693624448"/>
        <crosses val="max"/>
        <crossBetween val="between"/>
      </val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2.xml><?xml version="1.0" encoding="utf-8"?>
<chartSpace xmlns="http://schemas.openxmlformats.org/drawingml/2006/chart">
  <chart>
    <plotArea>
      <layout>
        <manualLayout>
          <layoutTarget val="inner"/>
          <xMode val="edge"/>
          <yMode val="edge"/>
          <wMode val="factor"/>
          <hMode val="factor"/>
          <x val="0.05900583825980926"/>
          <y val="0.008667822421076127"/>
          <w val="0.8594663988514242"/>
          <h val="0.9386696123707743"/>
        </manualLayout>
      </layout>
      <barChart>
        <barDir val="col"/>
        <grouping val="clustered"/>
        <varyColors val="0"/>
        <ser>
          <idx val="0"/>
          <order val="0"/>
          <tx>
            <strRef>
              <f>'04_TOTALIZADORA'!$C$13</f>
              <strCache>
                <ptCount val="1"/>
                <pt idx="0">
                  <v>VALOR TOTAL MENSAL  (com todos os impostos) (R$)</v>
                </pt>
              </strCache>
            </strRef>
          </tx>
          <spPr>
            <a:solidFill xmlns:a="http://schemas.openxmlformats.org/drawingml/2006/main">
              <a:schemeClr val="accent1"/>
            </a:solidFill>
            <a:ln xmlns:a="http://schemas.openxmlformats.org/drawingml/2006/main">
              <a:noFill/>
              <a:prstDash val="solid"/>
            </a:ln>
          </spPr>
          <invertIfNegative val="0"/>
          <dLbls>
            <delete val="1"/>
          </dLbls>
          <cat>
            <numRef>
              <f>'04_TOTALIZADORA'!$A$14:$A$82</f>
              <numCache>
                <formatCode>General</formatCode>
                <ptCount val="69"/>
                <pt idx="0">
                  <v>1</v>
                </pt>
                <pt idx="1">
                  <v>2</v>
                </pt>
                <pt idx="2">
                  <v>3</v>
                </pt>
                <pt idx="3">
                  <v>4</v>
                </pt>
                <pt idx="4">
                  <v>5</v>
                </pt>
                <pt idx="5">
                  <v>6</v>
                </pt>
                <pt idx="6">
                  <v>7</v>
                </pt>
                <pt idx="7">
                  <v>8</v>
                </pt>
                <pt idx="8">
                  <v>9</v>
                </pt>
                <pt idx="9">
                  <v>10</v>
                </pt>
                <pt idx="10">
                  <v>11</v>
                </pt>
                <pt idx="11">
                  <v>12</v>
                </pt>
                <pt idx="12">
                  <v>13</v>
                </pt>
                <pt idx="13">
                  <v>14</v>
                </pt>
                <pt idx="14">
                  <v>15</v>
                </pt>
                <pt idx="15">
                  <v>16</v>
                </pt>
                <pt idx="16">
                  <v>17</v>
                </pt>
                <pt idx="17">
                  <v>18</v>
                </pt>
                <pt idx="18">
                  <v>19</v>
                </pt>
                <pt idx="19">
                  <v>20</v>
                </pt>
                <pt idx="20">
                  <v>21</v>
                </pt>
                <pt idx="21">
                  <v>22</v>
                </pt>
                <pt idx="22">
                  <v>23</v>
                </pt>
                <pt idx="23">
                  <v>24</v>
                </pt>
                <pt idx="24">
                  <v>25</v>
                </pt>
                <pt idx="25">
                  <v>26</v>
                </pt>
                <pt idx="26">
                  <v>27</v>
                </pt>
                <pt idx="27">
                  <v>28</v>
                </pt>
                <pt idx="28">
                  <v>29</v>
                </pt>
                <pt idx="29">
                  <v>30</v>
                </pt>
                <pt idx="30">
                  <v>31</v>
                </pt>
                <pt idx="31">
                  <v>32</v>
                </pt>
                <pt idx="32">
                  <v>33</v>
                </pt>
                <pt idx="33">
                  <v>34</v>
                </pt>
                <pt idx="34">
                  <v>35</v>
                </pt>
                <pt idx="35">
                  <v>36</v>
                </pt>
                <pt idx="36">
                  <v>37</v>
                </pt>
                <pt idx="37">
                  <v>38</v>
                </pt>
                <pt idx="38">
                  <v>39</v>
                </pt>
                <pt idx="39">
                  <v>40</v>
                </pt>
                <pt idx="40">
                  <v>41</v>
                </pt>
                <pt idx="41">
                  <v>42</v>
                </pt>
                <pt idx="42">
                  <v>43</v>
                </pt>
                <pt idx="43">
                  <v>44</v>
                </pt>
                <pt idx="44">
                  <v>45</v>
                </pt>
                <pt idx="45">
                  <v>46</v>
                </pt>
                <pt idx="46">
                  <v>47</v>
                </pt>
                <pt idx="47">
                  <v>48</v>
                </pt>
                <pt idx="48">
                  <v>49</v>
                </pt>
                <pt idx="49">
                  <v>50</v>
                </pt>
                <pt idx="50">
                  <v>51</v>
                </pt>
                <pt idx="51">
                  <v>52</v>
                </pt>
                <pt idx="52">
                  <v>53</v>
                </pt>
                <pt idx="53">
                  <v>54</v>
                </pt>
                <pt idx="54">
                  <v>55</v>
                </pt>
                <pt idx="55">
                  <v>56</v>
                </pt>
                <pt idx="56">
                  <v>57</v>
                </pt>
                <pt idx="57">
                  <v>58</v>
                </pt>
                <pt idx="58">
                  <v>59</v>
                </pt>
                <pt idx="59">
                  <v>60</v>
                </pt>
                <pt idx="60">
                  <v>61</v>
                </pt>
                <pt idx="61">
                  <v>62</v>
                </pt>
                <pt idx="62">
                  <v>63</v>
                </pt>
                <pt idx="63">
                  <v>64</v>
                </pt>
                <pt idx="64">
                  <v>65</v>
                </pt>
                <pt idx="65">
                  <v>66</v>
                </pt>
                <pt idx="66">
                  <v>67</v>
                </pt>
                <pt idx="67">
                  <v>68</v>
                </pt>
                <pt idx="68">
                  <v>69</v>
                </pt>
              </numCache>
            </numRef>
          </cat>
          <val>
            <numRef>
              <f>'04_TOTALIZADORA'!$C$14:$C$82</f>
              <numCache>
                <formatCode>_(* #,##0.00_);_(* \(#,##0.00\);_(* "-"??_);_(@_)</formatCode>
                <ptCount val="69"/>
                <pt idx="0">
                  <v>0</v>
                </pt>
                <pt idx="1">
                  <v>0</v>
                </pt>
                <pt idx="2">
                  <v>0</v>
                </pt>
                <pt idx="3">
                  <v>0</v>
                </pt>
                <pt idx="4">
                  <v>0</v>
                </pt>
                <pt idx="5">
                  <v>0</v>
                </pt>
                <pt idx="6">
                  <v>0</v>
                </pt>
                <pt idx="7">
                  <v>0</v>
                </pt>
                <pt idx="8">
                  <v>0</v>
                </pt>
                <pt idx="9">
                  <v>0</v>
                </pt>
                <pt idx="10">
                  <v>0</v>
                </pt>
                <pt idx="11">
                  <v>0</v>
                </pt>
                <pt idx="12">
                  <v>0</v>
                </pt>
                <pt idx="13">
                  <v>0</v>
                </pt>
                <pt idx="14">
                  <v>0</v>
                </pt>
                <pt idx="15">
                  <v>412245.1763298608</v>
                </pt>
                <pt idx="16">
                  <v>0</v>
                </pt>
                <pt idx="17">
                  <v>0</v>
                </pt>
                <pt idx="18">
                  <v>441511.47</v>
                </pt>
                <pt idx="19">
                  <v>3812821.554456618</v>
                </pt>
                <pt idx="20">
                  <v>655154.8299999998</v>
                </pt>
                <pt idx="21">
                  <v>2732612.892833749</v>
                </pt>
                <pt idx="22">
                  <v>826234.5699999999</v>
                </pt>
                <pt idx="23">
                  <v>1155029.7375</v>
                </pt>
                <pt idx="24">
                  <v>1160023.349319443</v>
                </pt>
                <pt idx="25">
                  <v>3984972.439683495</v>
                </pt>
                <pt idx="26">
                  <v>4942914.62</v>
                </pt>
                <pt idx="27">
                  <v>10534527.22</v>
                </pt>
                <pt idx="28">
                  <v>3520581.38</v>
                </pt>
                <pt idx="29">
                  <v>6938924.957500001</v>
                </pt>
                <pt idx="30">
                  <v>11106954.49</v>
                </pt>
                <pt idx="31">
                  <v>7356733.977000001</v>
                </pt>
                <pt idx="32">
                  <v>5308631.567000001</v>
                </pt>
                <pt idx="33">
                  <v>11561534.6555</v>
                </pt>
                <pt idx="34">
                  <v>4679233.794641106</v>
                </pt>
                <pt idx="35">
                  <v>971574.5800000003</v>
                </pt>
                <pt idx="36">
                  <v>3431951.01</v>
                </pt>
                <pt idx="37">
                  <v>2707327.12</v>
                </pt>
                <pt idx="38">
                  <v>8180418.344021075</v>
                </pt>
                <pt idx="39">
                  <v>2261479.41</v>
                </pt>
                <pt idx="40">
                  <v>0</v>
                </pt>
                <pt idx="41">
                  <v>405825.62</v>
                </pt>
                <pt idx="42">
                  <v>2617584.64</v>
                </pt>
                <pt idx="43">
                  <v>6062885.555000001</v>
                </pt>
                <pt idx="44">
                  <v>4898441.314999999</v>
                </pt>
                <pt idx="45">
                  <v>10417487.7395</v>
                </pt>
                <pt idx="46">
                  <v>1673829.967791691</v>
                </pt>
                <pt idx="47">
                  <v>452567.6375</v>
                </pt>
                <pt idx="48">
                  <v>2973836.8</v>
                </pt>
                <pt idx="49">
                  <v>1618458.85</v>
                </pt>
                <pt idx="50">
                  <v>1240472.15</v>
                </pt>
                <pt idx="51">
                  <v>5772995.847500001</v>
                </pt>
                <pt idx="52">
                  <v>4795019.43</v>
                </pt>
                <pt idx="53">
                  <v>4721548.077500001</v>
                </pt>
                <pt idx="54">
                  <v>5076342.895</v>
                </pt>
                <pt idx="55">
                  <v>476969.0595962093</v>
                </pt>
                <pt idx="56">
                  <v>1490473.86</v>
                </pt>
                <pt idx="57">
                  <v>1227847.99</v>
                </pt>
                <pt idx="58">
                  <v>1074727.8275</v>
                </pt>
                <pt idx="59">
                  <v>2329835.728</v>
                </pt>
                <pt idx="60">
                  <v>7554539.475500002</v>
                </pt>
                <pt idx="61">
                  <v>2422092.6</v>
                </pt>
                <pt idx="62">
                  <v>3426302.0275</v>
                </pt>
                <pt idx="63">
                  <v>930600.0000000001</v>
                </pt>
                <pt idx="64">
                  <v>6477018.61577893</v>
                </pt>
                <pt idx="65">
                  <v>711240.2557916908</v>
                </pt>
                <pt idx="66">
                  <v>2108459.545</v>
                </pt>
                <pt idx="67">
                  <v>177729.245</v>
                </pt>
                <pt idx="68">
                  <v>0</v>
                </pt>
              </numCache>
            </numRef>
          </val>
        </ser>
        <ser>
          <idx val="1"/>
          <order val="1"/>
          <tx>
            <strRef>
              <f>'04_TOTALIZADORA'!$E$13</f>
              <strCache>
                <ptCount val="1"/>
                <pt idx="0">
                  <v>VALOR TOTAL MENSAL  (com todos os impostos) (R$)</v>
                </pt>
              </strCache>
            </strRef>
          </tx>
          <spPr>
            <a:solidFill xmlns:a="http://schemas.openxmlformats.org/drawingml/2006/main">
              <a:srgbClr val="00B050"/>
            </a:solidFill>
            <a:ln xmlns:a="http://schemas.openxmlformats.org/drawingml/2006/main">
              <a:noFill/>
              <a:prstDash val="solid"/>
            </a:ln>
          </spPr>
          <invertIfNegative val="0"/>
          <dLbls>
            <delete val="1"/>
          </dLbls>
          <cat>
            <numRef>
              <f>'04_TOTALIZADORA'!$A$14:$A$82</f>
              <numCache>
                <formatCode>General</formatCode>
                <ptCount val="69"/>
                <pt idx="0">
                  <v>1</v>
                </pt>
                <pt idx="1">
                  <v>2</v>
                </pt>
                <pt idx="2">
                  <v>3</v>
                </pt>
                <pt idx="3">
                  <v>4</v>
                </pt>
                <pt idx="4">
                  <v>5</v>
                </pt>
                <pt idx="5">
                  <v>6</v>
                </pt>
                <pt idx="6">
                  <v>7</v>
                </pt>
                <pt idx="7">
                  <v>8</v>
                </pt>
                <pt idx="8">
                  <v>9</v>
                </pt>
                <pt idx="9">
                  <v>10</v>
                </pt>
                <pt idx="10">
                  <v>11</v>
                </pt>
                <pt idx="11">
                  <v>12</v>
                </pt>
                <pt idx="12">
                  <v>13</v>
                </pt>
                <pt idx="13">
                  <v>14</v>
                </pt>
                <pt idx="14">
                  <v>15</v>
                </pt>
                <pt idx="15">
                  <v>16</v>
                </pt>
                <pt idx="16">
                  <v>17</v>
                </pt>
                <pt idx="17">
                  <v>18</v>
                </pt>
                <pt idx="18">
                  <v>19</v>
                </pt>
                <pt idx="19">
                  <v>20</v>
                </pt>
                <pt idx="20">
                  <v>21</v>
                </pt>
                <pt idx="21">
                  <v>22</v>
                </pt>
                <pt idx="22">
                  <v>23</v>
                </pt>
                <pt idx="23">
                  <v>24</v>
                </pt>
                <pt idx="24">
                  <v>25</v>
                </pt>
                <pt idx="25">
                  <v>26</v>
                </pt>
                <pt idx="26">
                  <v>27</v>
                </pt>
                <pt idx="27">
                  <v>28</v>
                </pt>
                <pt idx="28">
                  <v>29</v>
                </pt>
                <pt idx="29">
                  <v>30</v>
                </pt>
                <pt idx="30">
                  <v>31</v>
                </pt>
                <pt idx="31">
                  <v>32</v>
                </pt>
                <pt idx="32">
                  <v>33</v>
                </pt>
                <pt idx="33">
                  <v>34</v>
                </pt>
                <pt idx="34">
                  <v>35</v>
                </pt>
                <pt idx="35">
                  <v>36</v>
                </pt>
                <pt idx="36">
                  <v>37</v>
                </pt>
                <pt idx="37">
                  <v>38</v>
                </pt>
                <pt idx="38">
                  <v>39</v>
                </pt>
                <pt idx="39">
                  <v>40</v>
                </pt>
                <pt idx="40">
                  <v>41</v>
                </pt>
                <pt idx="41">
                  <v>42</v>
                </pt>
                <pt idx="42">
                  <v>43</v>
                </pt>
                <pt idx="43">
                  <v>44</v>
                </pt>
                <pt idx="44">
                  <v>45</v>
                </pt>
                <pt idx="45">
                  <v>46</v>
                </pt>
                <pt idx="46">
                  <v>47</v>
                </pt>
                <pt idx="47">
                  <v>48</v>
                </pt>
                <pt idx="48">
                  <v>49</v>
                </pt>
                <pt idx="49">
                  <v>50</v>
                </pt>
                <pt idx="50">
                  <v>51</v>
                </pt>
                <pt idx="51">
                  <v>52</v>
                </pt>
                <pt idx="52">
                  <v>53</v>
                </pt>
                <pt idx="53">
                  <v>54</v>
                </pt>
                <pt idx="54">
                  <v>55</v>
                </pt>
                <pt idx="55">
                  <v>56</v>
                </pt>
                <pt idx="56">
                  <v>57</v>
                </pt>
                <pt idx="57">
                  <v>58</v>
                </pt>
                <pt idx="58">
                  <v>59</v>
                </pt>
                <pt idx="59">
                  <v>60</v>
                </pt>
                <pt idx="60">
                  <v>61</v>
                </pt>
                <pt idx="61">
                  <v>62</v>
                </pt>
                <pt idx="62">
                  <v>63</v>
                </pt>
                <pt idx="63">
                  <v>64</v>
                </pt>
                <pt idx="64">
                  <v>65</v>
                </pt>
                <pt idx="65">
                  <v>66</v>
                </pt>
                <pt idx="66">
                  <v>67</v>
                </pt>
                <pt idx="67">
                  <v>68</v>
                </pt>
                <pt idx="68">
                  <v>69</v>
                </pt>
              </numCache>
            </numRef>
          </cat>
          <val>
            <numRef>
              <f>'04_TOTALIZADORA'!$E$14:$E$82</f>
              <numCache>
                <formatCode>_(* #,##0.00_);_(* \(#,##0.00\);_(* "-"??_);_(@_)</formatCode>
                <ptCount val="69"/>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801542.66</v>
                </pt>
                <pt idx="23">
                  <v>0</v>
                </pt>
                <pt idx="24">
                  <v>0</v>
                </pt>
                <pt idx="25">
                  <v>421218.05</v>
                </pt>
                <pt idx="26">
                  <v>0</v>
                </pt>
                <pt idx="27">
                  <v>0</v>
                </pt>
                <pt idx="28">
                  <v>0</v>
                </pt>
                <pt idx="29">
                  <v>6081414.32</v>
                </pt>
                <pt idx="30">
                  <v>3485471.420000001</v>
                </pt>
                <pt idx="31">
                  <v>0</v>
                </pt>
                <pt idx="32">
                  <v>142064.99</v>
                </pt>
                <pt idx="33">
                  <v>1864951.9075</v>
                </pt>
                <pt idx="34">
                  <v>0</v>
                </pt>
                <pt idx="35">
                  <v>162483.4</v>
                </pt>
                <pt idx="36">
                  <v>305374.8040000001</v>
                </pt>
                <pt idx="37">
                  <v>153914.72</v>
                </pt>
                <pt idx="38">
                  <v>0</v>
                </pt>
                <pt idx="39">
                  <v>0</v>
                </pt>
                <pt idx="40">
                  <v>0</v>
                </pt>
                <pt idx="41">
                  <v>0</v>
                </pt>
                <pt idx="42">
                  <v>0</v>
                </pt>
                <pt idx="43">
                  <v>0</v>
                </pt>
                <pt idx="44">
                  <v>0</v>
                </pt>
                <pt idx="45">
                  <v>661312.1975</v>
                </pt>
                <pt idx="46">
                  <v>0</v>
                </pt>
                <pt idx="47">
                  <v>0</v>
                </pt>
                <pt idx="48">
                  <v>0</v>
                </pt>
                <pt idx="49">
                  <v>0</v>
                </pt>
                <pt idx="50">
                  <v>0</v>
                </pt>
                <pt idx="51">
                  <v>0</v>
                </pt>
                <pt idx="52">
                  <v>0</v>
                </pt>
                <pt idx="53">
                  <v>0</v>
                </pt>
                <pt idx="54">
                  <v>0</v>
                </pt>
                <pt idx="55">
                  <v>661312.1975</v>
                </pt>
                <pt idx="56">
                  <v>341460.63</v>
                </pt>
                <pt idx="57">
                  <v>320374.8040000001</v>
                </pt>
                <pt idx="58">
                  <v>22270.57</v>
                </pt>
                <pt idx="59">
                  <v>0</v>
                </pt>
                <pt idx="60">
                  <v>0</v>
                </pt>
                <pt idx="61">
                  <v>0</v>
                </pt>
                <pt idx="62">
                  <v>0</v>
                </pt>
                <pt idx="63">
                  <v>0</v>
                </pt>
                <pt idx="64">
                  <v>160007.52</v>
                </pt>
                <pt idx="65">
                  <v>1019658.6175</v>
                </pt>
                <pt idx="66">
                  <v>404333.0720000001</v>
                </pt>
                <pt idx="67">
                  <v>0</v>
                </pt>
                <pt idx="68">
                  <v>0</v>
                </pt>
              </numCache>
            </numRef>
          </val>
        </ser>
        <dLbls>
          <showLegendKey val="0"/>
          <showVal val="1"/>
          <showCatName val="0"/>
          <showSerName val="0"/>
          <showPercent val="0"/>
          <showBubbleSize val="0"/>
        </dLbls>
        <gapWidth val="0"/>
        <axId val="1006042335"/>
        <axId val="1006036927"/>
      </barChart>
      <lineChart>
        <grouping val="standard"/>
        <varyColors val="0"/>
        <ser>
          <idx val="2"/>
          <order val="2"/>
          <tx>
            <strRef>
              <f>'04_TOTALIZADORA'!$F$12</f>
              <strCache>
                <ptCount val="1"/>
                <pt idx="0">
                  <v>VALOR ACUMULADO (com todos os impostos) (R$)</v>
                </pt>
              </strCache>
            </strRef>
          </tx>
          <spPr>
            <a:ln xmlns:a="http://schemas.openxmlformats.org/drawingml/2006/main" w="28575" cap="rnd">
              <a:solidFill>
                <a:schemeClr val="accent2"/>
              </a:solidFill>
              <a:prstDash val="solid"/>
              <a:round/>
            </a:ln>
          </spPr>
          <marker>
            <symbol val="none"/>
            <spPr>
              <a:ln xmlns:a="http://schemas.openxmlformats.org/drawingml/2006/main">
                <a:prstDash val="solid"/>
              </a:ln>
            </spPr>
          </marker>
          <dLbls>
            <delete val="1"/>
          </dLbls>
          <val>
            <numRef>
              <f>'04_TOTALIZADORA'!$F$14:$F$82</f>
              <numCache>
                <formatCode>_(* #,##0.00_);_(* \(#,##0.00\);_(* "-"??_);_(@_)</formatCode>
                <ptCount val="69"/>
                <pt idx="0">
                  <v>0</v>
                </pt>
                <pt idx="1">
                  <v>0</v>
                </pt>
                <pt idx="2">
                  <v>0</v>
                </pt>
                <pt idx="3">
                  <v>0</v>
                </pt>
                <pt idx="4">
                  <v>0</v>
                </pt>
                <pt idx="5">
                  <v>0</v>
                </pt>
                <pt idx="6">
                  <v>0</v>
                </pt>
                <pt idx="7">
                  <v>0</v>
                </pt>
                <pt idx="8">
                  <v>0</v>
                </pt>
                <pt idx="9">
                  <v>0</v>
                </pt>
                <pt idx="10">
                  <v>0</v>
                </pt>
                <pt idx="11">
                  <v>0</v>
                </pt>
                <pt idx="12">
                  <v>0</v>
                </pt>
                <pt idx="13">
                  <v>0</v>
                </pt>
                <pt idx="14">
                  <v>0</v>
                </pt>
                <pt idx="15">
                  <v>412245.1763298608</v>
                </pt>
                <pt idx="16">
                  <v>412245.1763298608</v>
                </pt>
                <pt idx="17">
                  <v>412245.1763298608</v>
                </pt>
                <pt idx="18">
                  <v>853756.6463298609</v>
                </pt>
                <pt idx="19">
                  <v>4666578.200786479</v>
                </pt>
                <pt idx="20">
                  <v>5321733.030786479</v>
                </pt>
                <pt idx="21">
                  <v>8054345.923620228</v>
                </pt>
                <pt idx="22">
                  <v>9682123.153620228</v>
                </pt>
                <pt idx="23">
                  <v>10837152.89112023</v>
                </pt>
                <pt idx="24">
                  <v>11997176.24043967</v>
                </pt>
                <pt idx="25">
                  <v>16403366.73012317</v>
                </pt>
                <pt idx="26">
                  <v>21346281.35012317</v>
                </pt>
                <pt idx="27">
                  <v>31880808.57012317</v>
                </pt>
                <pt idx="28">
                  <v>35401389.95012317</v>
                </pt>
                <pt idx="29">
                  <v>48421729.22762317</v>
                </pt>
                <pt idx="30">
                  <v>63014155.13762318</v>
                </pt>
                <pt idx="31">
                  <v>70370889.11462317</v>
                </pt>
                <pt idx="32">
                  <v>75821585.67162317</v>
                </pt>
                <pt idx="33">
                  <v>89248072.23462318</v>
                </pt>
                <pt idx="34">
                  <v>93927306.02926429</v>
                </pt>
                <pt idx="35">
                  <v>95061364.00926429</v>
                </pt>
                <pt idx="36">
                  <v>98798689.82326429</v>
                </pt>
                <pt idx="37">
                  <v>101659931.6632643</v>
                </pt>
                <pt idx="38">
                  <v>109840350.0072854</v>
                </pt>
                <pt idx="39">
                  <v>112101829.4172854</v>
                </pt>
                <pt idx="40">
                  <v>112101829.4172854</v>
                </pt>
                <pt idx="41">
                  <v>112507655.0372854</v>
                </pt>
                <pt idx="42">
                  <v>115125239.6772854</v>
                </pt>
                <pt idx="43">
                  <v>121188125.2322854</v>
                </pt>
                <pt idx="44">
                  <v>126086566.5472854</v>
                </pt>
                <pt idx="45">
                  <v>137165366.4842854</v>
                </pt>
                <pt idx="46">
                  <v>138839196.4520771</v>
                </pt>
                <pt idx="47">
                  <v>139291764.089577</v>
                </pt>
                <pt idx="48">
                  <v>142265600.8895771</v>
                </pt>
                <pt idx="49">
                  <v>143884059.7395771</v>
                </pt>
                <pt idx="50">
                  <v>145124531.8895771</v>
                </pt>
                <pt idx="51">
                  <v>150897527.7370771</v>
                </pt>
                <pt idx="52">
                  <v>155692547.1670771</v>
                </pt>
                <pt idx="53">
                  <v>160414095.2445771</v>
                </pt>
                <pt idx="54">
                  <v>165490438.1395771</v>
                </pt>
                <pt idx="55">
                  <v>166628719.3966733</v>
                </pt>
                <pt idx="56">
                  <v>168460653.8866733</v>
                </pt>
                <pt idx="57">
                  <v>170008876.6806733</v>
                </pt>
                <pt idx="58">
                  <v>171105875.0781733</v>
                </pt>
                <pt idx="59">
                  <v>173435710.8061733</v>
                </pt>
                <pt idx="60">
                  <v>180990250.2816733</v>
                </pt>
                <pt idx="61">
                  <v>183412342.8816732</v>
                </pt>
                <pt idx="62">
                  <v>186838644.9091733</v>
                </pt>
                <pt idx="63">
                  <v>187769244.9091733</v>
                </pt>
                <pt idx="64">
                  <v>194406271.0449522</v>
                </pt>
                <pt idx="65">
                  <v>196137169.9182439</v>
                </pt>
                <pt idx="66">
                  <v>198649962.5352439</v>
                </pt>
                <pt idx="67">
                  <v>198827691.7802439</v>
                </pt>
                <pt idx="68">
                  <v>198827691.7802439</v>
                </pt>
              </numCache>
            </numRef>
          </val>
          <smooth val="0"/>
        </ser>
        <ser>
          <idx val="3"/>
          <order val="3"/>
          <tx>
            <strRef>
              <f>'04_TOTALIZADORA'!$L$12:$L$13</f>
              <strCache>
                <ptCount val="2"/>
                <pt idx="0">
                  <v xml:space="preserve">DESEMBOLSO ACUMULADO VALOR ACUMULADO </v>
                </pt>
              </strCache>
            </strRef>
          </tx>
          <spPr>
            <a:ln xmlns:a="http://schemas.openxmlformats.org/drawingml/2006/main" w="28575" cap="rnd">
              <a:solidFill>
                <a:schemeClr val="accent4"/>
              </a:solidFill>
              <a:prstDash val="solid"/>
              <a:round/>
            </a:ln>
          </spPr>
          <marker>
            <symbol val="none"/>
            <spPr>
              <a:ln xmlns:a="http://schemas.openxmlformats.org/drawingml/2006/main">
                <a:prstDash val="solid"/>
              </a:ln>
            </spPr>
          </marker>
          <dLbls>
            <delete val="1"/>
          </dLbls>
          <val>
            <numRef>
              <f>'04_TOTALIZADORA'!$L$14:$L$82</f>
              <numCache>
                <formatCode>_(* #,##0.00_);_(* \(#,##0.00\);_(* "-"??_);_(@_)</formatCode>
                <ptCount val="69"/>
                <pt idx="1">
                  <v>0</v>
                </pt>
                <pt idx="2">
                  <v>0</v>
                </pt>
                <pt idx="3">
                  <v>0</v>
                </pt>
                <pt idx="4">
                  <v>0</v>
                </pt>
                <pt idx="5">
                  <v>0</v>
                </pt>
                <pt idx="6">
                  <v>0</v>
                </pt>
                <pt idx="7">
                  <v>0</v>
                </pt>
                <pt idx="8">
                  <v>0</v>
                </pt>
                <pt idx="9">
                  <v>0</v>
                </pt>
                <pt idx="10">
                  <v>0</v>
                </pt>
                <pt idx="11">
                  <v>0</v>
                </pt>
                <pt idx="12">
                  <v>0</v>
                </pt>
                <pt idx="13">
                  <v>0</v>
                </pt>
                <pt idx="14">
                  <v>57924.445</v>
                </pt>
                <pt idx="15">
                  <v>57924.445</v>
                </pt>
                <pt idx="16">
                  <v>97924.44500000001</v>
                </pt>
                <pt idx="17">
                  <v>5499361.295</v>
                </pt>
                <pt idx="18">
                  <v>7206007.845000001</v>
                </pt>
                <pt idx="19">
                  <v>8906007.845000001</v>
                </pt>
                <pt idx="20">
                  <v>15057723.986</v>
                </pt>
                <pt idx="21">
                  <v>15297723.986</v>
                </pt>
                <pt idx="22">
                  <v>15493540.156</v>
                </pt>
                <pt idx="23">
                  <v>17365271.8</v>
                </pt>
                <pt idx="24">
                  <v>19740722.19</v>
                </pt>
                <pt idx="25">
                  <v>20008048.734</v>
                </pt>
                <pt idx="26">
                  <v>20408048.734</v>
                </pt>
                <pt idx="27">
                  <v>21848193.888</v>
                </pt>
                <pt idx="28">
                  <v>26137789.13809677</v>
                </pt>
                <pt idx="29">
                  <v>26538595.91309677</v>
                </pt>
                <pt idx="30">
                  <v>29899462.30684677</v>
                </pt>
                <pt idx="31">
                  <v>30085560.98284677</v>
                </pt>
                <pt idx="32">
                  <v>32141247.65484677</v>
                </pt>
                <pt idx="33">
                  <v>33543052.96684677</v>
                </pt>
                <pt idx="34">
                  <v>33894236.35684677</v>
                </pt>
                <pt idx="35">
                  <v>36646196.11684677</v>
                </pt>
                <pt idx="36">
                  <v>38138157.64284677</v>
                </pt>
                <pt idx="37">
                  <v>39296612.15284677</v>
                </pt>
                <pt idx="38">
                  <v>41634467.42284676</v>
                </pt>
                <pt idx="39">
                  <v>42800147.42284676</v>
                </pt>
                <pt idx="40">
                  <v>44622861.17284676</v>
                </pt>
                <pt idx="41">
                  <v>45101313.67284676</v>
                </pt>
                <pt idx="42">
                  <v>45447412.34884676</v>
                </pt>
                <pt idx="43">
                  <v>48808278.74259676</v>
                </pt>
                <pt idx="44">
                  <v>48976278.74259676</v>
                </pt>
                <pt idx="45">
                  <v>48976278.74259676</v>
                </pt>
                <pt idx="46">
                  <v>48976278.74259676</v>
                </pt>
                <pt idx="47">
                  <v>49224278.74259676</v>
                </pt>
                <pt idx="48">
                  <v>50653328.50059676</v>
                </pt>
                <pt idx="49">
                  <v>52565008.50059676</v>
                </pt>
                <pt idx="50">
                  <v>56518978.63434676</v>
                </pt>
                <pt idx="51">
                  <v>56977431.13434676</v>
                </pt>
                <pt idx="52">
                  <v>57377431.13434676</v>
                </pt>
                <pt idx="53">
                  <v>57601718.25534676</v>
                </pt>
                <pt idx="54">
                  <v>57906029.79034676</v>
                </pt>
                <pt idx="55">
                  <v>57906029.79034676</v>
                </pt>
                <pt idx="56">
                  <v>57986029.79034676</v>
                </pt>
                <pt idx="57">
                  <v>61192428.67409676</v>
                </pt>
                <pt idx="58">
                  <v>62539932.94209675</v>
                </pt>
                <pt idx="59">
                  <v>62912659.30209675</v>
                </pt>
                <pt idx="60">
                  <v>63312659.30209675</v>
                </pt>
                <pt idx="61">
                  <v>63471654.84909675</v>
                </pt>
                <pt idx="62">
                  <v>63471654.84909675</v>
                </pt>
                <pt idx="63">
                  <v>64512505.77509675</v>
                </pt>
                <pt idx="64">
                  <v>64512505.77509675</v>
                </pt>
                <pt idx="65">
                  <v>64512505.77509675</v>
                </pt>
                <pt idx="66">
                  <v>64512505.77509675</v>
                </pt>
                <pt idx="67">
                  <v>64674784.60109675</v>
                </pt>
                <pt idx="68">
                  <v>64674784.60109675</v>
                </pt>
              </numCache>
            </numRef>
          </val>
          <smooth val="0"/>
        </ser>
        <ser>
          <idx val="4"/>
          <order val="4"/>
          <tx>
            <strRef>
              <f>'04_TOTALIZADORA'!$P$12:$P$13</f>
              <strCache>
                <ptCount val="2"/>
                <pt idx="0">
                  <v>FATURAMENTO ACUMULADO</v>
                </pt>
              </strCache>
            </strRef>
          </tx>
          <spPr>
            <a:ln xmlns:a="http://schemas.openxmlformats.org/drawingml/2006/main" w="28575" cap="rnd">
              <a:solidFill>
                <a:schemeClr val="accent5"/>
              </a:solidFill>
              <a:prstDash val="solid"/>
              <a:round/>
            </a:ln>
          </spPr>
          <marker>
            <symbol val="none"/>
            <spPr>
              <a:ln xmlns:a="http://schemas.openxmlformats.org/drawingml/2006/main">
                <a:prstDash val="solid"/>
              </a:ln>
            </spPr>
          </marker>
          <dLbls>
            <delete val="1"/>
          </dLbls>
          <val>
            <numRef>
              <f>'04_TOTALIZADORA'!$P$14:$P$82</f>
              <numCache>
                <formatCode>_(* #,##0.00_);_(* \(#,##0.00\);_(* "-"??_);_(@_)</formatCode>
                <ptCount val="69"/>
                <pt idx="0">
                  <v>0</v>
                </pt>
                <pt idx="1">
                  <v>9941384.589012193</v>
                </pt>
                <pt idx="2">
                  <v>9941384.589012193</v>
                </pt>
                <pt idx="3">
                  <v>9941384.589012193</v>
                </pt>
                <pt idx="4">
                  <v>9941384.589012193</v>
                </pt>
                <pt idx="5">
                  <v>9941384.589012193</v>
                </pt>
                <pt idx="6">
                  <v>9941384.589012193</v>
                </pt>
                <pt idx="7">
                  <v>9941384.589012193</v>
                </pt>
                <pt idx="8">
                  <v>9941384.589012193</v>
                </pt>
                <pt idx="9">
                  <v>9941384.589012193</v>
                </pt>
                <pt idx="10">
                  <v>9941384.589012193</v>
                </pt>
                <pt idx="11">
                  <v>9941384.589012193</v>
                </pt>
                <pt idx="12">
                  <v>9941384.589012193</v>
                </pt>
                <pt idx="13">
                  <v>9941384.589012193</v>
                </pt>
                <pt idx="14">
                  <v>10291793.00901219</v>
                </pt>
                <pt idx="15">
                  <v>10291793.00901219</v>
                </pt>
                <pt idx="16">
                  <v>10971983.68101219</v>
                </pt>
                <pt idx="17">
                  <v>10971983.68101219</v>
                </pt>
                <pt idx="18">
                  <v>11153499.19201219</v>
                </pt>
                <pt idx="19">
                  <v>11153499.19201219</v>
                </pt>
                <pt idx="20">
                  <v>11153499.19201219</v>
                </pt>
                <pt idx="21">
                  <v>11153499.19201219</v>
                </pt>
                <pt idx="22">
                  <v>11153499.19201219</v>
                </pt>
                <pt idx="23">
                  <v>11153499.19201219</v>
                </pt>
                <pt idx="24">
                  <v>11153499.19201219</v>
                </pt>
                <pt idx="25">
                  <v>11153499.19201219</v>
                </pt>
                <pt idx="26">
                  <v>11153499.19201219</v>
                </pt>
                <pt idx="27">
                  <v>11153499.19201219</v>
                </pt>
                <pt idx="28">
                  <v>11153499.19201219</v>
                </pt>
                <pt idx="29">
                  <v>11153499.19201219</v>
                </pt>
                <pt idx="30">
                  <v>11153499.19201219</v>
                </pt>
                <pt idx="31">
                  <v>11153499.19201219</v>
                </pt>
                <pt idx="32">
                  <v>11153499.19201219</v>
                </pt>
                <pt idx="33">
                  <v>11153499.19201219</v>
                </pt>
                <pt idx="34">
                  <v>11153499.19201219</v>
                </pt>
                <pt idx="35">
                  <v>11153499.19201219</v>
                </pt>
                <pt idx="36">
                  <v>11153499.19201219</v>
                </pt>
                <pt idx="37">
                  <v>11153499.19201219</v>
                </pt>
                <pt idx="38">
                  <v>11153499.19201219</v>
                </pt>
                <pt idx="39">
                  <v>11153499.19201219</v>
                </pt>
                <pt idx="40">
                  <v>11153499.19201219</v>
                </pt>
                <pt idx="41">
                  <v>11153499.19201219</v>
                </pt>
                <pt idx="42">
                  <v>11153499.19201219</v>
                </pt>
                <pt idx="43">
                  <v>11153499.19201219</v>
                </pt>
                <pt idx="44">
                  <v>11153499.19201219</v>
                </pt>
                <pt idx="45">
                  <v>11153499.19201219</v>
                </pt>
                <pt idx="46">
                  <v>11153499.19201219</v>
                </pt>
                <pt idx="47">
                  <v>11153499.19201219</v>
                </pt>
                <pt idx="48">
                  <v>11153499.19201219</v>
                </pt>
                <pt idx="49">
                  <v>11153499.19201219</v>
                </pt>
                <pt idx="50">
                  <v>11153499.19201219</v>
                </pt>
                <pt idx="51">
                  <v>11153499.19201219</v>
                </pt>
                <pt idx="52">
                  <v>11153499.19201219</v>
                </pt>
                <pt idx="53">
                  <v>11153499.19201219</v>
                </pt>
                <pt idx="54">
                  <v>11153499.19201219</v>
                </pt>
                <pt idx="55">
                  <v>11153499.19201219</v>
                </pt>
                <pt idx="56">
                  <v>11153499.19201219</v>
                </pt>
                <pt idx="57">
                  <v>11153499.19201219</v>
                </pt>
                <pt idx="58">
                  <v>11153499.19201219</v>
                </pt>
                <pt idx="59">
                  <v>11153499.19201219</v>
                </pt>
                <pt idx="60">
                  <v>11153499.19201219</v>
                </pt>
                <pt idx="61">
                  <v>11153499.19201219</v>
                </pt>
                <pt idx="62">
                  <v>11153499.19201219</v>
                </pt>
                <pt idx="63">
                  <v>11153499.19201219</v>
                </pt>
                <pt idx="64">
                  <v>11153499.19201219</v>
                </pt>
                <pt idx="65">
                  <v>11153499.19201219</v>
                </pt>
                <pt idx="66">
                  <v>11153499.19201219</v>
                </pt>
                <pt idx="67">
                  <v>11153499.19201219</v>
                </pt>
                <pt idx="68">
                  <v>11153499.19201219</v>
                </pt>
              </numCache>
            </numRef>
          </val>
          <smooth val="0"/>
        </ser>
        <ser>
          <idx val="5"/>
          <order val="5"/>
          <tx>
            <strRef>
              <f>'04_TOTALIZADORA'!$N$12:$N$13</f>
              <strCache>
                <ptCount val="2"/>
                <pt idx="0">
                  <v xml:space="preserve">DESEMBOLSO TOTAL ACUMULADO VALOR ACUMULADO </v>
                </pt>
              </strCache>
            </strRef>
          </tx>
          <spPr>
            <a:ln xmlns:a="http://schemas.openxmlformats.org/drawingml/2006/main" w="28575" cap="rnd">
              <a:solidFill>
                <a:schemeClr val="accent6"/>
              </a:solidFill>
              <a:prstDash val="solid"/>
              <a:round/>
            </a:ln>
          </spPr>
          <marker>
            <symbol val="none"/>
            <spPr>
              <a:ln xmlns:a="http://schemas.openxmlformats.org/drawingml/2006/main">
                <a:prstDash val="solid"/>
              </a:ln>
            </spPr>
          </marker>
          <dLbls>
            <delete val="1"/>
          </dLbls>
          <val>
            <numRef>
              <f>'04_TOTALIZADORA'!$N$14:$N$82</f>
              <numCache>
                <formatCode>_(* #,##0.00_);_(* \(#,##0.00\);_(* "-"??_);_(@_)</formatCode>
                <ptCount val="69"/>
                <pt idx="0">
                  <v>0</v>
                </pt>
                <pt idx="1">
                  <v>0</v>
                </pt>
                <pt idx="2">
                  <v>0</v>
                </pt>
                <pt idx="3">
                  <v>0</v>
                </pt>
                <pt idx="4">
                  <v>0</v>
                </pt>
                <pt idx="5">
                  <v>0</v>
                </pt>
                <pt idx="6">
                  <v>0</v>
                </pt>
                <pt idx="7">
                  <v>0</v>
                </pt>
                <pt idx="8">
                  <v>0</v>
                </pt>
                <pt idx="9">
                  <v>0</v>
                </pt>
                <pt idx="10">
                  <v>0</v>
                </pt>
                <pt idx="11">
                  <v>0</v>
                </pt>
                <pt idx="12">
                  <v>0</v>
                </pt>
                <pt idx="13">
                  <v>0</v>
                </pt>
                <pt idx="14">
                  <v>57924.445</v>
                </pt>
                <pt idx="15">
                  <v>57924.445</v>
                </pt>
                <pt idx="16">
                  <v>97924.44500000001</v>
                </pt>
                <pt idx="17">
                  <v>5499361.295</v>
                </pt>
                <pt idx="18">
                  <v>7206007.845000001</v>
                </pt>
                <pt idx="19">
                  <v>9126533.785</v>
                </pt>
                <pt idx="20">
                  <v>15747728.906</v>
                </pt>
                <pt idx="21">
                  <v>16318482.206</v>
                </pt>
                <pt idx="22">
                  <v>17315841.036</v>
                </pt>
                <pt idx="23">
                  <v>19456111.76</v>
                </pt>
                <pt idx="24">
                  <v>22048390.08931945</v>
                </pt>
                <pt idx="25">
                  <v>22524506.5359375</v>
                </pt>
                <pt idx="26">
                  <v>25067350.7059375</v>
                </pt>
                <pt idx="27">
                  <v>26507495.8599375</v>
                </pt>
                <pt idx="28">
                  <v>30797091.11003427</v>
                </pt>
                <pt idx="29">
                  <v>37301917.47253427</v>
                </pt>
                <pt idx="30">
                  <v>50138000.05628427</v>
                </pt>
                <pt idx="31">
                  <v>51967402.04428427</v>
                </pt>
                <pt idx="32">
                  <v>54686557.24828427</v>
                </pt>
                <pt idx="33">
                  <v>57022701.09028427</v>
                </pt>
                <pt idx="34">
                  <v>58120199.15028428</v>
                </pt>
                <pt idx="35">
                  <v>60973326.46028428</v>
                </pt>
                <pt idx="36">
                  <v>62796591.06028428</v>
                </pt>
                <pt idx="37">
                  <v>64123070.21028428</v>
                </pt>
                <pt idx="38">
                  <v>68716858.61778428</v>
                </pt>
                <pt idx="39">
                  <v>69905157.17778428</v>
                </pt>
                <pt idx="40">
                  <v>71727870.92778428</v>
                </pt>
                <pt idx="41">
                  <v>72258179.97778428</v>
                </pt>
                <pt idx="42">
                  <v>74604278.65378428</v>
                </pt>
                <pt idx="43">
                  <v>78174664.24753428</v>
                </pt>
                <pt idx="44">
                  <v>78642135.80753428</v>
                </pt>
                <pt idx="45">
                  <v>78922135.80753428</v>
                </pt>
                <pt idx="46">
                  <v>79073827.80753428</v>
                </pt>
                <pt idx="47">
                  <v>79373409.02753428</v>
                </pt>
                <pt idx="48">
                  <v>80802458.78553428</v>
                </pt>
                <pt idx="49">
                  <v>82775454.52553427</v>
                </pt>
                <pt idx="50">
                  <v>86729424.65928428</v>
                </pt>
                <pt idx="51">
                  <v>89443810.29678428</v>
                </pt>
                <pt idx="52">
                  <v>93843810.29678428</v>
                </pt>
                <pt idx="53">
                  <v>94317097.41778429</v>
                </pt>
                <pt idx="54">
                  <v>94765214.69278429</v>
                </pt>
                <pt idx="55">
                  <v>94924559.6427843</v>
                </pt>
                <pt idx="56">
                  <v>95304031.2027843</v>
                </pt>
                <pt idx="57">
                  <v>98830804.8905343</v>
                </pt>
                <pt idx="58">
                  <v>100229890.3785343</v>
                </pt>
                <pt idx="59">
                  <v>100673936.5065343</v>
                </pt>
                <pt idx="60">
                  <v>103401189.4120343</v>
                </pt>
                <pt idx="61">
                  <v>103577914.7190343</v>
                </pt>
                <pt idx="62">
                  <v>103826914.7190343</v>
                </pt>
                <pt idx="63">
                  <v>104867765.6450343</v>
                </pt>
                <pt idx="64">
                  <v>105119555.2173642</v>
                </pt>
                <pt idx="65">
                  <v>105278900.1673642</v>
                </pt>
                <pt idx="66">
                  <v>105982704.7993642</v>
                </pt>
                <pt idx="67">
                  <v>106144983.6253642</v>
                </pt>
                <pt idx="68">
                  <v>106144983.6253642</v>
                </pt>
              </numCache>
            </numRef>
          </val>
          <smooth val="0"/>
        </ser>
        <ser>
          <idx val="6"/>
          <order val="6"/>
          <tx>
            <strRef>
              <f>'04_TOTALIZADORA'!$R$12:$R$13</f>
              <strCache>
                <ptCount val="2"/>
                <pt idx="0">
                  <v>PROGRAMAÇÃO ACUMULADA DE PEDIDOS REALIZADOS</v>
                </pt>
              </strCache>
            </strRef>
          </tx>
          <spPr>
            <a:ln xmlns:a="http://schemas.openxmlformats.org/drawingml/2006/main" w="28575" cap="rnd">
              <a:solidFill>
                <a:schemeClr val="accent1">
                  <a:lumMod val="60000"/>
                </a:schemeClr>
              </a:solidFill>
              <a:prstDash val="solid"/>
              <a:round/>
            </a:ln>
          </spPr>
          <marker>
            <symbol val="none"/>
            <spPr>
              <a:ln xmlns:a="http://schemas.openxmlformats.org/drawingml/2006/main">
                <a:prstDash val="solid"/>
              </a:ln>
            </spPr>
          </marker>
          <dLbls>
            <delete val="1"/>
          </dLbls>
          <val>
            <numRef>
              <f>'04_TOTALIZADORA'!$R$14:$R$82</f>
              <numCache>
                <formatCode>_(* #,##0.00_);_(* \(#,##0.00\);_(* "-"??_);_(@_)</formatCode>
                <ptCount val="69"/>
                <pt idx="0">
                  <v>9546933.060000001</v>
                </pt>
                <pt idx="16">
                  <v>11271036.79</v>
                </pt>
                <pt idx="17">
                  <v>12267980.67</v>
                </pt>
                <pt idx="18">
                  <v>13168043.35</v>
                </pt>
                <pt idx="19">
                  <v>13791487.87</v>
                </pt>
                <pt idx="20">
                  <v>14419589.37</v>
                </pt>
                <pt idx="21">
                  <v>15318987.87</v>
                </pt>
                <pt idx="22">
                  <v>16168366.05</v>
                </pt>
                <pt idx="23">
                  <v>16354366.05</v>
                </pt>
                <pt idx="24">
                  <v>16924267.27</v>
                </pt>
                <pt idx="25">
                  <v>16924267.27</v>
                </pt>
                <pt idx="26">
                  <v>16924267.27</v>
                </pt>
                <pt idx="27">
                  <v>16924267.27</v>
                </pt>
                <pt idx="28">
                  <v>16924267.27</v>
                </pt>
                <pt idx="29">
                  <v>16924267.27</v>
                </pt>
                <pt idx="30">
                  <v>16924267.27</v>
                </pt>
                <pt idx="31">
                  <v>17037586.47</v>
                </pt>
                <pt idx="32">
                  <v>17037586.47</v>
                </pt>
                <pt idx="33">
                  <v>17037586.47</v>
                </pt>
                <pt idx="34">
                  <v>17037586.47</v>
                </pt>
                <pt idx="35">
                  <v>17037586.47</v>
                </pt>
                <pt idx="36">
                  <v>17037586.47</v>
                </pt>
                <pt idx="37">
                  <v>17037586.47</v>
                </pt>
                <pt idx="38">
                  <v>17037586.47</v>
                </pt>
                <pt idx="39">
                  <v>17037586.47</v>
                </pt>
                <pt idx="40">
                  <v>17037586.47</v>
                </pt>
                <pt idx="41">
                  <v>17150905.69</v>
                </pt>
                <pt idx="42">
                  <v>17150905.69</v>
                </pt>
                <pt idx="43">
                  <v>17150905.69</v>
                </pt>
                <pt idx="44">
                  <v>17150905.69</v>
                </pt>
                <pt idx="45">
                  <v>17150905.69</v>
                </pt>
                <pt idx="46">
                  <v>17150905.69</v>
                </pt>
                <pt idx="47">
                  <v>17150905.69</v>
                </pt>
                <pt idx="48">
                  <v>17150905.69</v>
                </pt>
                <pt idx="49">
                  <v>17150905.69</v>
                </pt>
                <pt idx="50">
                  <v>17150905.69</v>
                </pt>
                <pt idx="51">
                  <v>17150905.69</v>
                </pt>
                <pt idx="52">
                  <v>17275557.52</v>
                </pt>
                <pt idx="53">
                  <v>17275557.52</v>
                </pt>
                <pt idx="54">
                  <v>17275557.52</v>
                </pt>
                <pt idx="55">
                  <v>17275557.52</v>
                </pt>
                <pt idx="56">
                  <v>17275557.52</v>
                </pt>
                <pt idx="57">
                  <v>17275557.52</v>
                </pt>
                <pt idx="58">
                  <v>17275557.52</v>
                </pt>
                <pt idx="59">
                  <v>17275557.52</v>
                </pt>
                <pt idx="60">
                  <v>17275557.52</v>
                </pt>
                <pt idx="61">
                  <v>17275557.52</v>
                </pt>
                <pt idx="62">
                  <v>17275557.52</v>
                </pt>
                <pt idx="63">
                  <v>17275557.52</v>
                </pt>
                <pt idx="64">
                  <v>17275557.52</v>
                </pt>
                <pt idx="65">
                  <v>17275557.52</v>
                </pt>
                <pt idx="66">
                  <v>17275557.52</v>
                </pt>
                <pt idx="67">
                  <v>17275557.52</v>
                </pt>
                <pt idx="68">
                  <v>17275557.52</v>
                </pt>
              </numCache>
            </numRef>
          </val>
          <smooth val="0"/>
        </ser>
        <dLbls>
          <showLegendKey val="0"/>
          <showVal val="1"/>
          <showCatName val="0"/>
          <showSerName val="0"/>
          <showPercent val="0"/>
          <showBubbleSize val="0"/>
        </dLbls>
        <marker val="1"/>
        <smooth val="0"/>
        <axId val="1693624448"/>
        <axId val="1693633600"/>
      </lineChart>
      <catAx>
        <axId val="1006042335"/>
        <scaling>
          <orientation val="minMax"/>
        </scaling>
        <delete val="0"/>
        <axPos val="b"/>
        <numFmt formatCode="General" sourceLinked="1"/>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baseline="0">
                <a:solidFill>
                  <a:schemeClr val="tx1">
                    <a:lumMod val="65000"/>
                    <a:lumOff val="35000"/>
                  </a:schemeClr>
                </a:solidFill>
                <a:latin typeface="+mn-lt"/>
                <a:ea typeface="+mn-ea"/>
                <a:cs typeface="+mn-cs"/>
              </a:defRPr>
            </a:pPr>
            <a:r>
              <a:t/>
            </a:r>
            <a:endParaRPr lang="pt-BR"/>
          </a:p>
        </txPr>
        <crossAx val="1006036927"/>
        <crosses val="autoZero"/>
        <auto val="1"/>
        <lblAlgn val="ctr"/>
        <lblOffset val="100"/>
        <noMultiLvlLbl val="0"/>
      </catAx>
      <valAx>
        <axId val="1006036927"/>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_(* #,##0_);_(* \(#,##0\);_(* &quot;-&quot;_);_(@_)" sourceLinked="0"/>
        <majorTickMark val="out"/>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baseline="0">
                <a:solidFill>
                  <a:schemeClr val="tx1">
                    <a:lumMod val="65000"/>
                    <a:lumOff val="35000"/>
                  </a:schemeClr>
                </a:solidFill>
                <a:latin typeface="+mn-lt"/>
                <a:ea typeface="+mn-ea"/>
                <a:cs typeface="+mn-cs"/>
              </a:defRPr>
            </a:pPr>
            <a:r>
              <a:t/>
            </a:r>
            <a:endParaRPr lang="pt-BR"/>
          </a:p>
        </txPr>
        <crossAx val="1006042335"/>
        <crosses val="autoZero"/>
        <crossBetween val="between"/>
        <dispUnits>
          <builtInUnit val="millions"/>
          <dispUnitsLbl>
            <spPr>
              <a:noFill xmlns:a="http://schemas.openxmlformats.org/drawingml/2006/main"/>
              <a:ln xmlns:a="http://schemas.openxmlformats.org/drawingml/2006/main">
                <a:noFill/>
                <a:prstDash val="solid"/>
              </a:ln>
            </spPr>
            <txPr>
              <a:bodyPr xmlns:a="http://schemas.openxmlformats.org/drawingml/2006/main" rot="-5400000" spcFirstLastPara="1" vertOverflow="ellipsis" vert="horz" wrap="square" anchor="ctr" anchorCtr="1"/>
              <a:lstStyle xmlns:a="http://schemas.openxmlformats.org/drawingml/2006/main"/>
              <a:p xmlns:a="http://schemas.openxmlformats.org/drawingml/2006/main">
                <a:pPr>
                  <a:defRPr sz="900" b="0" i="0" strike="noStrike" baseline="0">
                    <a:solidFill>
                      <a:schemeClr val="tx1">
                        <a:lumMod val="65000"/>
                        <a:lumOff val="35000"/>
                      </a:schemeClr>
                    </a:solidFill>
                    <a:latin typeface="+mn-lt"/>
                    <a:ea typeface="+mn-ea"/>
                    <a:cs typeface="+mn-cs"/>
                  </a:defRPr>
                </a:pPr>
                <a:r>
                  <a:t/>
                </a:r>
                <a:endParaRPr lang="pt-BR"/>
              </a:p>
            </txPr>
          </dispUnitsLbl>
        </dispUnits>
      </valAx>
      <catAx>
        <axId val="1693624448"/>
        <scaling>
          <orientation val="minMax"/>
        </scaling>
        <delete val="1"/>
        <axPos val="b"/>
        <majorTickMark val="out"/>
        <minorTickMark val="none"/>
        <tickLblPos val="nextTo"/>
        <crossAx val="1693633600"/>
        <crosses val="autoZero"/>
        <auto val="1"/>
        <lblAlgn val="ctr"/>
        <lblOffset val="100"/>
        <noMultiLvlLbl val="0"/>
      </catAx>
      <valAx>
        <axId val="1693633600"/>
        <scaling>
          <orientation val="minMax"/>
        </scaling>
        <delete val="0"/>
        <axPos val="r"/>
        <numFmt formatCode="_(* #,##0.00_);_(* \(#,##0.00\);_(* &quot;-&quot;??_);_(@_)" sourceLinked="1"/>
        <majorTickMark val="out"/>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baseline="0">
                <a:solidFill>
                  <a:schemeClr val="tx1">
                    <a:lumMod val="65000"/>
                    <a:lumOff val="35000"/>
                  </a:schemeClr>
                </a:solidFill>
                <a:latin typeface="+mn-lt"/>
                <a:ea typeface="+mn-ea"/>
                <a:cs typeface="+mn-cs"/>
              </a:defRPr>
            </a:pPr>
            <a:r>
              <a:t/>
            </a:r>
            <a:endParaRPr lang="pt-BR"/>
          </a:p>
        </txPr>
        <crossAx val="1693624448"/>
        <crosses val="max"/>
        <crossBetween val="between"/>
      </valAx>
    </plotArea>
    <legend>
      <legendPos val="r"/>
      <layout>
        <manualLayout>
          <xMode val="edge"/>
          <yMode val="edge"/>
          <wMode val="factor"/>
          <hMode val="factor"/>
          <x val="0.07198145064658187"/>
          <y val="0.235638805209523"/>
          <w val="0.2631752329917475"/>
          <h val="0.1621894940593505"/>
        </manualLayout>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baseline="0">
              <a:solidFill>
                <a:schemeClr val="tx1">
                  <a:lumMod val="65000"/>
                  <a:lumOff val="35000"/>
                </a:schemeClr>
              </a:solidFill>
              <a:latin typeface="+mn-lt"/>
              <a:ea typeface="+mn-ea"/>
              <a:cs typeface="+mn-cs"/>
            </a:defRPr>
          </a:pPr>
          <a:r>
            <a:t/>
          </a:r>
          <a:endParaRPr lang="pt-BR"/>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3.xml><?xml version="1.0" encoding="utf-8"?>
<chartSpace xmlns="http://schemas.openxmlformats.org/drawingml/2006/chart">
  <chart>
    <plotArea>
      <layout>
        <manualLayout>
          <layoutTarget val="inner"/>
          <xMode val="edge"/>
          <yMode val="edge"/>
          <wMode val="factor"/>
          <hMode val="factor"/>
          <x val="0.05900583825980926"/>
          <y val="0.008667822421076127"/>
          <w val="0.8594663988514242"/>
          <h val="0.9386696123707743"/>
        </manualLayout>
      </layout>
      <barChart>
        <barDir val="col"/>
        <grouping val="clustered"/>
        <varyColors val="0"/>
        <ser>
          <idx val="0"/>
          <order val="0"/>
          <tx>
            <strRef>
              <f>'04_TOTALIZADORA (3)'!$D$13</f>
              <strCache>
                <ptCount val="1"/>
                <pt idx="0">
                  <v>VALOR TOTAL MENSAL  (com todos os impostos) (R$)</v>
                </pt>
              </strCache>
            </strRef>
          </tx>
          <spPr>
            <a:solidFill xmlns:a="http://schemas.openxmlformats.org/drawingml/2006/main">
              <a:schemeClr val="accent1"/>
            </a:solidFill>
            <a:ln xmlns:a="http://schemas.openxmlformats.org/drawingml/2006/main">
              <a:noFill/>
              <a:prstDash val="solid"/>
            </a:ln>
          </spPr>
          <invertIfNegative val="0"/>
          <dLbls>
            <delete val="1"/>
          </dLbls>
          <cat>
            <numRef>
              <f>'04_TOTALIZADORA (3)'!$A$14:$A$82</f>
              <numCache>
                <formatCode>General</formatCode>
                <ptCount val="69"/>
                <pt idx="0">
                  <v>1</v>
                </pt>
                <pt idx="1">
                  <v>2</v>
                </pt>
                <pt idx="2">
                  <v>3</v>
                </pt>
                <pt idx="3">
                  <v>4</v>
                </pt>
                <pt idx="4">
                  <v>5</v>
                </pt>
                <pt idx="5">
                  <v>6</v>
                </pt>
                <pt idx="6">
                  <v>7</v>
                </pt>
                <pt idx="7">
                  <v>8</v>
                </pt>
                <pt idx="8">
                  <v>9</v>
                </pt>
                <pt idx="9">
                  <v>10</v>
                </pt>
                <pt idx="10">
                  <v>11</v>
                </pt>
                <pt idx="11">
                  <v>12</v>
                </pt>
                <pt idx="12">
                  <v>13</v>
                </pt>
                <pt idx="13">
                  <v>14</v>
                </pt>
                <pt idx="14">
                  <v>15</v>
                </pt>
                <pt idx="15">
                  <v>16</v>
                </pt>
                <pt idx="16">
                  <v>17</v>
                </pt>
                <pt idx="17">
                  <v>18</v>
                </pt>
                <pt idx="18">
                  <v>19</v>
                </pt>
                <pt idx="19">
                  <v>20</v>
                </pt>
                <pt idx="20">
                  <v>21</v>
                </pt>
                <pt idx="21">
                  <v>22</v>
                </pt>
                <pt idx="22">
                  <v>23</v>
                </pt>
                <pt idx="23">
                  <v>24</v>
                </pt>
                <pt idx="24">
                  <v>25</v>
                </pt>
                <pt idx="25">
                  <v>26</v>
                </pt>
                <pt idx="26">
                  <v>27</v>
                </pt>
                <pt idx="27">
                  <v>28</v>
                </pt>
                <pt idx="28">
                  <v>29</v>
                </pt>
                <pt idx="29">
                  <v>30</v>
                </pt>
                <pt idx="30">
                  <v>31</v>
                </pt>
                <pt idx="31">
                  <v>32</v>
                </pt>
                <pt idx="32">
                  <v>33</v>
                </pt>
                <pt idx="33">
                  <v>34</v>
                </pt>
                <pt idx="34">
                  <v>35</v>
                </pt>
                <pt idx="35">
                  <v>36</v>
                </pt>
                <pt idx="36">
                  <v>37</v>
                </pt>
                <pt idx="37">
                  <v>38</v>
                </pt>
                <pt idx="38">
                  <v>39</v>
                </pt>
                <pt idx="39">
                  <v>40</v>
                </pt>
                <pt idx="40">
                  <v>41</v>
                </pt>
                <pt idx="41">
                  <v>42</v>
                </pt>
                <pt idx="42">
                  <v>43</v>
                </pt>
                <pt idx="43">
                  <v>44</v>
                </pt>
                <pt idx="44">
                  <v>45</v>
                </pt>
                <pt idx="45">
                  <v>46</v>
                </pt>
                <pt idx="46">
                  <v>47</v>
                </pt>
                <pt idx="47">
                  <v>48</v>
                </pt>
                <pt idx="48">
                  <v>49</v>
                </pt>
                <pt idx="49">
                  <v>50</v>
                </pt>
                <pt idx="50">
                  <v>51</v>
                </pt>
                <pt idx="51">
                  <v>52</v>
                </pt>
                <pt idx="52">
                  <v>53</v>
                </pt>
                <pt idx="53">
                  <v>54</v>
                </pt>
                <pt idx="54">
                  <v>55</v>
                </pt>
                <pt idx="55">
                  <v>56</v>
                </pt>
                <pt idx="56">
                  <v>57</v>
                </pt>
                <pt idx="57">
                  <v>58</v>
                </pt>
                <pt idx="58">
                  <v>59</v>
                </pt>
                <pt idx="59">
                  <v>60</v>
                </pt>
                <pt idx="60">
                  <v>61</v>
                </pt>
                <pt idx="61">
                  <v>62</v>
                </pt>
                <pt idx="62">
                  <v>63</v>
                </pt>
                <pt idx="63">
                  <v>64</v>
                </pt>
                <pt idx="64">
                  <v>65</v>
                </pt>
                <pt idx="65">
                  <v>66</v>
                </pt>
                <pt idx="66">
                  <v>67</v>
                </pt>
                <pt idx="67">
                  <v>68</v>
                </pt>
                <pt idx="68">
                  <v>69</v>
                </pt>
              </numCache>
            </numRef>
          </cat>
          <val>
            <numRef>
              <f>'04_TOTALIZADORA (3)'!$D$14:$D$82</f>
              <numCache>
                <formatCode>_(* #,##0.00_);_(* \(#,##0.00\);_(* "-"??_);_(@_)</formatCode>
                <ptCount val="69"/>
                <pt idx="0">
                  <v>0</v>
                </pt>
                <pt idx="1">
                  <v>0</v>
                </pt>
                <pt idx="2">
                  <v>0</v>
                </pt>
                <pt idx="3">
                  <v>0</v>
                </pt>
                <pt idx="4">
                  <v>0</v>
                </pt>
                <pt idx="5">
                  <v>0</v>
                </pt>
                <pt idx="6">
                  <v>0</v>
                </pt>
                <pt idx="7">
                  <v>0</v>
                </pt>
                <pt idx="8">
                  <v>0</v>
                </pt>
                <pt idx="9">
                  <v>0</v>
                </pt>
                <pt idx="10">
                  <v>0</v>
                </pt>
                <pt idx="11">
                  <v>0</v>
                </pt>
                <pt idx="12">
                  <v>0</v>
                </pt>
                <pt idx="13">
                  <v>0</v>
                </pt>
                <pt idx="14">
                  <v>0</v>
                </pt>
                <pt idx="15">
                  <v>412245.1763298608</v>
                </pt>
                <pt idx="16">
                  <v>0</v>
                </pt>
                <pt idx="17">
                  <v>0</v>
                </pt>
                <pt idx="18">
                  <v>441511.47</v>
                </pt>
                <pt idx="19">
                  <v>3812821.554456618</v>
                </pt>
                <pt idx="20">
                  <v>655154.8299999998</v>
                </pt>
                <pt idx="21">
                  <v>2732612.892833749</v>
                </pt>
                <pt idx="22">
                  <v>826234.5699999999</v>
                </pt>
                <pt idx="23">
                  <v>1155029.7375</v>
                </pt>
                <pt idx="24">
                  <v>1160023.349319443</v>
                </pt>
                <pt idx="25">
                  <v>3984972.439683495</v>
                </pt>
                <pt idx="26">
                  <v>4942914.62</v>
                </pt>
                <pt idx="27">
                  <v>10534527.22</v>
                </pt>
                <pt idx="28">
                  <v>3520581.38</v>
                </pt>
                <pt idx="29">
                  <v>6938924.957500001</v>
                </pt>
                <pt idx="30">
                  <v>11106954.49</v>
                </pt>
                <pt idx="31">
                  <v>7356733.977000001</v>
                </pt>
                <pt idx="32">
                  <v>5308631.567000001</v>
                </pt>
                <pt idx="33">
                  <v>11561534.6555</v>
                </pt>
                <pt idx="34">
                  <v>4679233.794641106</v>
                </pt>
                <pt idx="35">
                  <v>971574.5800000003</v>
                </pt>
                <pt idx="36">
                  <v>3431951.01</v>
                </pt>
                <pt idx="37">
                  <v>2707327.12</v>
                </pt>
                <pt idx="38">
                  <v>8180418.344021075</v>
                </pt>
                <pt idx="39">
                  <v>2261479.41</v>
                </pt>
                <pt idx="40">
                  <v>0</v>
                </pt>
                <pt idx="41">
                  <v>405825.62</v>
                </pt>
                <pt idx="42">
                  <v>2617584.64</v>
                </pt>
                <pt idx="43">
                  <v>6062885.555000001</v>
                </pt>
                <pt idx="44">
                  <v>4898441.314999999</v>
                </pt>
                <pt idx="45">
                  <v>10417487.7395</v>
                </pt>
                <pt idx="46">
                  <v>1673829.967791691</v>
                </pt>
                <pt idx="47">
                  <v>452567.6375</v>
                </pt>
                <pt idx="48">
                  <v>2973836.8</v>
                </pt>
                <pt idx="49">
                  <v>1618458.85</v>
                </pt>
                <pt idx="50">
                  <v>1240472.15</v>
                </pt>
                <pt idx="51">
                  <v>5772995.847500001</v>
                </pt>
                <pt idx="52">
                  <v>4795019.43</v>
                </pt>
                <pt idx="53">
                  <v>4721548.077500001</v>
                </pt>
                <pt idx="54">
                  <v>5076342.895</v>
                </pt>
                <pt idx="55">
                  <v>476969.0595962093</v>
                </pt>
                <pt idx="56">
                  <v>1490473.86</v>
                </pt>
                <pt idx="57">
                  <v>1227847.99</v>
                </pt>
                <pt idx="58">
                  <v>1074727.8275</v>
                </pt>
                <pt idx="59">
                  <v>2329835.728</v>
                </pt>
                <pt idx="60">
                  <v>7554539.475500002</v>
                </pt>
                <pt idx="61">
                  <v>2422092.6</v>
                </pt>
                <pt idx="62">
                  <v>3426302.0275</v>
                </pt>
                <pt idx="63">
                  <v>930600.0000000001</v>
                </pt>
                <pt idx="64">
                  <v>6477018.61577893</v>
                </pt>
                <pt idx="65">
                  <v>711240.2557916908</v>
                </pt>
                <pt idx="66">
                  <v>2108459.545</v>
                </pt>
                <pt idx="67">
                  <v>177729.245</v>
                </pt>
                <pt idx="68">
                  <v>0</v>
                </pt>
              </numCache>
            </numRef>
          </val>
        </ser>
        <ser>
          <idx val="1"/>
          <order val="1"/>
          <tx>
            <strRef>
              <f>'04_TOTALIZADORA (3)'!$F$13</f>
              <strCache>
                <ptCount val="1"/>
                <pt idx="0">
                  <v>VALOR TOTAL MENSAL  (com todos os impostos) (R$)</v>
                </pt>
              </strCache>
            </strRef>
          </tx>
          <spPr>
            <a:solidFill xmlns:a="http://schemas.openxmlformats.org/drawingml/2006/main">
              <a:schemeClr val="accent3"/>
            </a:solidFill>
            <a:ln xmlns:a="http://schemas.openxmlformats.org/drawingml/2006/main">
              <a:noFill/>
              <a:prstDash val="solid"/>
            </a:ln>
          </spPr>
          <invertIfNegative val="0"/>
          <dLbls>
            <delete val="1"/>
          </dLbls>
          <cat>
            <numRef>
              <f>'04_TOTALIZADORA (3)'!$A$14:$A$82</f>
              <numCache>
                <formatCode>General</formatCode>
                <ptCount val="69"/>
                <pt idx="0">
                  <v>1</v>
                </pt>
                <pt idx="1">
                  <v>2</v>
                </pt>
                <pt idx="2">
                  <v>3</v>
                </pt>
                <pt idx="3">
                  <v>4</v>
                </pt>
                <pt idx="4">
                  <v>5</v>
                </pt>
                <pt idx="5">
                  <v>6</v>
                </pt>
                <pt idx="6">
                  <v>7</v>
                </pt>
                <pt idx="7">
                  <v>8</v>
                </pt>
                <pt idx="8">
                  <v>9</v>
                </pt>
                <pt idx="9">
                  <v>10</v>
                </pt>
                <pt idx="10">
                  <v>11</v>
                </pt>
                <pt idx="11">
                  <v>12</v>
                </pt>
                <pt idx="12">
                  <v>13</v>
                </pt>
                <pt idx="13">
                  <v>14</v>
                </pt>
                <pt idx="14">
                  <v>15</v>
                </pt>
                <pt idx="15">
                  <v>16</v>
                </pt>
                <pt idx="16">
                  <v>17</v>
                </pt>
                <pt idx="17">
                  <v>18</v>
                </pt>
                <pt idx="18">
                  <v>19</v>
                </pt>
                <pt idx="19">
                  <v>20</v>
                </pt>
                <pt idx="20">
                  <v>21</v>
                </pt>
                <pt idx="21">
                  <v>22</v>
                </pt>
                <pt idx="22">
                  <v>23</v>
                </pt>
                <pt idx="23">
                  <v>24</v>
                </pt>
                <pt idx="24">
                  <v>25</v>
                </pt>
                <pt idx="25">
                  <v>26</v>
                </pt>
                <pt idx="26">
                  <v>27</v>
                </pt>
                <pt idx="27">
                  <v>28</v>
                </pt>
                <pt idx="28">
                  <v>29</v>
                </pt>
                <pt idx="29">
                  <v>30</v>
                </pt>
                <pt idx="30">
                  <v>31</v>
                </pt>
                <pt idx="31">
                  <v>32</v>
                </pt>
                <pt idx="32">
                  <v>33</v>
                </pt>
                <pt idx="33">
                  <v>34</v>
                </pt>
                <pt idx="34">
                  <v>35</v>
                </pt>
                <pt idx="35">
                  <v>36</v>
                </pt>
                <pt idx="36">
                  <v>37</v>
                </pt>
                <pt idx="37">
                  <v>38</v>
                </pt>
                <pt idx="38">
                  <v>39</v>
                </pt>
                <pt idx="39">
                  <v>40</v>
                </pt>
                <pt idx="40">
                  <v>41</v>
                </pt>
                <pt idx="41">
                  <v>42</v>
                </pt>
                <pt idx="42">
                  <v>43</v>
                </pt>
                <pt idx="43">
                  <v>44</v>
                </pt>
                <pt idx="44">
                  <v>45</v>
                </pt>
                <pt idx="45">
                  <v>46</v>
                </pt>
                <pt idx="46">
                  <v>47</v>
                </pt>
                <pt idx="47">
                  <v>48</v>
                </pt>
                <pt idx="48">
                  <v>49</v>
                </pt>
                <pt idx="49">
                  <v>50</v>
                </pt>
                <pt idx="50">
                  <v>51</v>
                </pt>
                <pt idx="51">
                  <v>52</v>
                </pt>
                <pt idx="52">
                  <v>53</v>
                </pt>
                <pt idx="53">
                  <v>54</v>
                </pt>
                <pt idx="54">
                  <v>55</v>
                </pt>
                <pt idx="55">
                  <v>56</v>
                </pt>
                <pt idx="56">
                  <v>57</v>
                </pt>
                <pt idx="57">
                  <v>58</v>
                </pt>
                <pt idx="58">
                  <v>59</v>
                </pt>
                <pt idx="59">
                  <v>60</v>
                </pt>
                <pt idx="60">
                  <v>61</v>
                </pt>
                <pt idx="61">
                  <v>62</v>
                </pt>
                <pt idx="62">
                  <v>63</v>
                </pt>
                <pt idx="63">
                  <v>64</v>
                </pt>
                <pt idx="64">
                  <v>65</v>
                </pt>
                <pt idx="65">
                  <v>66</v>
                </pt>
                <pt idx="66">
                  <v>67</v>
                </pt>
                <pt idx="67">
                  <v>68</v>
                </pt>
                <pt idx="68">
                  <v>69</v>
                </pt>
              </numCache>
            </numRef>
          </cat>
          <val>
            <numRef>
              <f>'04_TOTALIZADORA (3)'!$F$14:$F$82</f>
              <numCache>
                <formatCode>_(* #,##0.00_);_(* \(#,##0.00\);_(* "-"??_);_(@_)</formatCode>
                <ptCount val="69"/>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801542.66</v>
                </pt>
                <pt idx="23">
                  <v>0</v>
                </pt>
                <pt idx="24">
                  <v>0</v>
                </pt>
                <pt idx="25">
                  <v>421218.05</v>
                </pt>
                <pt idx="26">
                  <v>0</v>
                </pt>
                <pt idx="27">
                  <v>0</v>
                </pt>
                <pt idx="28">
                  <v>0</v>
                </pt>
                <pt idx="29">
                  <v>6081414.32</v>
                </pt>
                <pt idx="30">
                  <v>3485471.420000001</v>
                </pt>
                <pt idx="31">
                  <v>0</v>
                </pt>
                <pt idx="32">
                  <v>142064.99</v>
                </pt>
                <pt idx="33">
                  <v>1864951.9075</v>
                </pt>
                <pt idx="34">
                  <v>0</v>
                </pt>
                <pt idx="35">
                  <v>162483.4</v>
                </pt>
                <pt idx="36">
                  <v>305374.8040000001</v>
                </pt>
                <pt idx="37">
                  <v>153914.72</v>
                </pt>
                <pt idx="38">
                  <v>0</v>
                </pt>
                <pt idx="39">
                  <v>0</v>
                </pt>
                <pt idx="40">
                  <v>0</v>
                </pt>
                <pt idx="41">
                  <v>0</v>
                </pt>
                <pt idx="42">
                  <v>0</v>
                </pt>
                <pt idx="43">
                  <v>0</v>
                </pt>
                <pt idx="44">
                  <v>0</v>
                </pt>
                <pt idx="45">
                  <v>661312.1975</v>
                </pt>
                <pt idx="46">
                  <v>0</v>
                </pt>
                <pt idx="47">
                  <v>0</v>
                </pt>
                <pt idx="48">
                  <v>0</v>
                </pt>
                <pt idx="49">
                  <v>0</v>
                </pt>
                <pt idx="50">
                  <v>0</v>
                </pt>
                <pt idx="51">
                  <v>0</v>
                </pt>
                <pt idx="52">
                  <v>0</v>
                </pt>
                <pt idx="53">
                  <v>0</v>
                </pt>
                <pt idx="54">
                  <v>0</v>
                </pt>
                <pt idx="55">
                  <v>661312.1975</v>
                </pt>
                <pt idx="56">
                  <v>341460.63</v>
                </pt>
                <pt idx="57">
                  <v>320374.8040000001</v>
                </pt>
                <pt idx="58">
                  <v>22270.57</v>
                </pt>
                <pt idx="59">
                  <v>0</v>
                </pt>
                <pt idx="60">
                  <v>0</v>
                </pt>
                <pt idx="61">
                  <v>0</v>
                </pt>
                <pt idx="62">
                  <v>0</v>
                </pt>
                <pt idx="63">
                  <v>0</v>
                </pt>
                <pt idx="64">
                  <v>160007.52</v>
                </pt>
                <pt idx="65">
                  <v>1019658.6175</v>
                </pt>
                <pt idx="66">
                  <v>404333.0720000001</v>
                </pt>
                <pt idx="67">
                  <v>0</v>
                </pt>
                <pt idx="68">
                  <v>0</v>
                </pt>
              </numCache>
            </numRef>
          </val>
        </ser>
        <dLbls>
          <showLegendKey val="0"/>
          <showVal val="1"/>
          <showCatName val="0"/>
          <showSerName val="0"/>
          <showPercent val="0"/>
          <showBubbleSize val="0"/>
        </dLbls>
        <gapWidth val="0"/>
        <axId val="1006042335"/>
        <axId val="1006036927"/>
      </barChart>
      <lineChart>
        <grouping val="standard"/>
        <varyColors val="0"/>
        <ser>
          <idx val="2"/>
          <order val="2"/>
          <tx>
            <strRef>
              <f>'04_TOTALIZADORA (3)'!$H$12</f>
              <strCache>
                <ptCount val="1"/>
                <pt idx="0">
                  <v>RECEITA TOTAL PREVISTA</v>
                </pt>
              </strCache>
            </strRef>
          </tx>
          <spPr>
            <a:ln xmlns:a="http://schemas.openxmlformats.org/drawingml/2006/main" w="28575" cap="rnd">
              <a:solidFill>
                <a:schemeClr val="accent2"/>
              </a:solidFill>
              <a:prstDash val="solid"/>
              <a:round/>
            </a:ln>
          </spPr>
          <marker>
            <symbol val="none"/>
            <spPr>
              <a:ln xmlns:a="http://schemas.openxmlformats.org/drawingml/2006/main">
                <a:prstDash val="solid"/>
              </a:ln>
            </spPr>
          </marker>
          <dLbls>
            <delete val="1"/>
          </dLbls>
          <val>
            <numRef>
              <f>'04_TOTALIZADORA (3)'!$H$14:$H$82</f>
              <numCache>
                <formatCode>_(* #,##0.00_);_(* \(#,##0.00\);_(* "-"??_);_(@_)</formatCode>
                <ptCount val="69"/>
                <pt idx="0">
                  <v>0</v>
                </pt>
                <pt idx="1">
                  <v>0</v>
                </pt>
                <pt idx="2">
                  <v>0</v>
                </pt>
                <pt idx="3">
                  <v>0</v>
                </pt>
                <pt idx="4">
                  <v>0</v>
                </pt>
                <pt idx="5">
                  <v>0</v>
                </pt>
                <pt idx="6">
                  <v>0</v>
                </pt>
                <pt idx="7">
                  <v>0</v>
                </pt>
                <pt idx="8">
                  <v>0</v>
                </pt>
                <pt idx="9">
                  <v>0</v>
                </pt>
                <pt idx="10">
                  <v>0</v>
                </pt>
                <pt idx="11">
                  <v>0</v>
                </pt>
                <pt idx="12">
                  <v>0</v>
                </pt>
                <pt idx="13">
                  <v>0</v>
                </pt>
                <pt idx="14">
                  <v>0</v>
                </pt>
                <pt idx="15">
                  <v>412245.1763298608</v>
                </pt>
                <pt idx="16">
                  <v>412245.1763298608</v>
                </pt>
                <pt idx="17">
                  <v>412245.1763298608</v>
                </pt>
                <pt idx="18">
                  <v>853756.6463298609</v>
                </pt>
                <pt idx="19">
                  <v>4666578.200786479</v>
                </pt>
                <pt idx="20">
                  <v>5321733.030786479</v>
                </pt>
                <pt idx="21">
                  <v>8054345.923620228</v>
                </pt>
                <pt idx="22">
                  <v>9682123.153620228</v>
                </pt>
                <pt idx="23">
                  <v>10837152.89112023</v>
                </pt>
                <pt idx="24">
                  <v>11997176.24043967</v>
                </pt>
                <pt idx="25">
                  <v>16403366.73012317</v>
                </pt>
                <pt idx="26">
                  <v>21346281.35012317</v>
                </pt>
                <pt idx="27">
                  <v>31880808.57012317</v>
                </pt>
                <pt idx="28">
                  <v>35401389.95012317</v>
                </pt>
                <pt idx="29">
                  <v>48421729.22762317</v>
                </pt>
                <pt idx="30">
                  <v>63014155.13762318</v>
                </pt>
                <pt idx="31">
                  <v>70370889.11462317</v>
                </pt>
                <pt idx="32">
                  <v>75821585.67162317</v>
                </pt>
                <pt idx="33">
                  <v>89248072.23462318</v>
                </pt>
                <pt idx="34">
                  <v>93927306.02926429</v>
                </pt>
                <pt idx="35">
                  <v>95061364.00926429</v>
                </pt>
                <pt idx="36">
                  <v>98798689.82326429</v>
                </pt>
                <pt idx="37">
                  <v>101659931.6632643</v>
                </pt>
                <pt idx="38">
                  <v>109840350.0072854</v>
                </pt>
                <pt idx="39">
                  <v>112101829.4172854</v>
                </pt>
                <pt idx="40">
                  <v>112101829.4172854</v>
                </pt>
                <pt idx="41">
                  <v>112507655.0372854</v>
                </pt>
                <pt idx="42">
                  <v>115125239.6772854</v>
                </pt>
                <pt idx="43">
                  <v>121188125.2322854</v>
                </pt>
                <pt idx="44">
                  <v>126086566.5472854</v>
                </pt>
                <pt idx="45">
                  <v>137165366.4842854</v>
                </pt>
                <pt idx="46">
                  <v>138839196.4520771</v>
                </pt>
                <pt idx="47">
                  <v>139291764.089577</v>
                </pt>
                <pt idx="48">
                  <v>142265600.8895771</v>
                </pt>
                <pt idx="49">
                  <v>143884059.7395771</v>
                </pt>
                <pt idx="50">
                  <v>145124531.8895771</v>
                </pt>
                <pt idx="51">
                  <v>150897527.7370771</v>
                </pt>
                <pt idx="52">
                  <v>155692547.1670771</v>
                </pt>
                <pt idx="53">
                  <v>160414095.2445771</v>
                </pt>
                <pt idx="54">
                  <v>165490438.1395771</v>
                </pt>
                <pt idx="55">
                  <v>166628719.3966733</v>
                </pt>
                <pt idx="56">
                  <v>168460653.8866733</v>
                </pt>
                <pt idx="57">
                  <v>170008876.6806733</v>
                </pt>
                <pt idx="58">
                  <v>171105875.0781733</v>
                </pt>
                <pt idx="59">
                  <v>173435710.8061733</v>
                </pt>
                <pt idx="60">
                  <v>180990250.2816733</v>
                </pt>
                <pt idx="61">
                  <v>183412342.8816732</v>
                </pt>
                <pt idx="62">
                  <v>186838644.9091733</v>
                </pt>
                <pt idx="63">
                  <v>187769244.9091733</v>
                </pt>
                <pt idx="64">
                  <v>194406271.0449522</v>
                </pt>
                <pt idx="65">
                  <v>196137169.9182439</v>
                </pt>
                <pt idx="66">
                  <v>198649962.5352439</v>
                </pt>
                <pt idx="67">
                  <v>198827691.7802439</v>
                </pt>
                <pt idx="68">
                  <v>198827691.7802439</v>
                </pt>
              </numCache>
            </numRef>
          </val>
          <smooth val="0"/>
        </ser>
        <ser>
          <idx val="3"/>
          <order val="3"/>
          <tx>
            <strRef>
              <f>'04_TOTALIZADORA (3)'!$R$12:$R$13</f>
              <strCache>
                <ptCount val="2"/>
                <pt idx="0">
                  <v>DESEMBOLSO INSIGHT MENSAL  PREVISTO</v>
                </pt>
              </strCache>
            </strRef>
          </tx>
          <spPr>
            <a:ln xmlns:a="http://schemas.openxmlformats.org/drawingml/2006/main" w="28575" cap="rnd">
              <a:solidFill>
                <a:schemeClr val="accent4"/>
              </a:solidFill>
              <a:prstDash val="solid"/>
              <a:round/>
            </a:ln>
          </spPr>
          <marker>
            <symbol val="none"/>
            <spPr>
              <a:ln xmlns:a="http://schemas.openxmlformats.org/drawingml/2006/main">
                <a:prstDash val="solid"/>
              </a:ln>
            </spPr>
          </marker>
          <dLbls>
            <delete val="1"/>
          </dLbls>
          <val>
            <numRef>
              <f>'04_TOTALIZADORA (3)'!$R$14:$R$82</f>
              <numCache>
                <formatCode>_(* #,##0.00_);_(* \(#,##0.00\);_(* "-"??_);_(@_)</formatCode>
                <ptCount val="69"/>
                <pt idx="0">
                  <v>100000</v>
                </pt>
                <pt idx="1">
                  <v>100000</v>
                </pt>
                <pt idx="2">
                  <v>100000</v>
                </pt>
                <pt idx="3">
                  <v>100000</v>
                </pt>
                <pt idx="4">
                  <v>100000</v>
                </pt>
                <pt idx="5">
                  <v>100000</v>
                </pt>
                <pt idx="6">
                  <v>100000</v>
                </pt>
                <pt idx="7">
                  <v>100000</v>
                </pt>
                <pt idx="8">
                  <v>100000</v>
                </pt>
                <pt idx="9">
                  <v>100000</v>
                </pt>
                <pt idx="10">
                  <v>100000</v>
                </pt>
                <pt idx="11">
                  <v>100000</v>
                </pt>
                <pt idx="12">
                  <v>100000</v>
                </pt>
                <pt idx="13">
                  <v>100000</v>
                </pt>
                <pt idx="14">
                  <v>157924.445</v>
                </pt>
                <pt idx="15">
                  <v>100000</v>
                </pt>
                <pt idx="16">
                  <v>140000</v>
                </pt>
                <pt idx="17">
                  <v>5501436.85</v>
                </pt>
                <pt idx="18">
                  <v>1806646.55</v>
                </pt>
                <pt idx="19">
                  <v>1800000</v>
                </pt>
                <pt idx="20">
                  <v>6251716.141000001</v>
                </pt>
                <pt idx="21">
                  <v>340000</v>
                </pt>
                <pt idx="22">
                  <v>295816.17</v>
                </pt>
                <pt idx="23">
                  <v>1971731.644</v>
                </pt>
                <pt idx="24">
                  <v>2475450.39</v>
                </pt>
                <pt idx="25">
                  <v>367326.544</v>
                </pt>
                <pt idx="26">
                  <v>500000</v>
                </pt>
                <pt idx="27">
                  <v>1540145.154</v>
                </pt>
                <pt idx="28">
                  <v>4389595.250096774</v>
                </pt>
                <pt idx="29">
                  <v>500806.775</v>
                </pt>
                <pt idx="30">
                  <v>3460866.39375</v>
                </pt>
                <pt idx="31">
                  <v>286098.676</v>
                </pt>
                <pt idx="32">
                  <v>2155686.672</v>
                </pt>
                <pt idx="33">
                  <v>1501805.312</v>
                </pt>
                <pt idx="34">
                  <v>451183.39</v>
                </pt>
                <pt idx="35">
                  <v>2851959.76</v>
                </pt>
                <pt idx="36">
                  <v>1591961.526</v>
                </pt>
                <pt idx="37">
                  <v>1258454.51</v>
                </pt>
                <pt idx="38">
                  <v>2437855.27</v>
                </pt>
                <pt idx="39">
                  <v>1265680</v>
                </pt>
                <pt idx="40">
                  <v>1922713.75</v>
                </pt>
                <pt idx="41">
                  <v>578452.5</v>
                </pt>
                <pt idx="42">
                  <v>446098.676</v>
                </pt>
                <pt idx="43">
                  <v>3460866.39375</v>
                </pt>
                <pt idx="44">
                  <v>268000</v>
                </pt>
                <pt idx="45">
                  <v>100000</v>
                </pt>
                <pt idx="46">
                  <v>100000</v>
                </pt>
                <pt idx="47">
                  <v>348000</v>
                </pt>
                <pt idx="48">
                  <v>1529049.758</v>
                </pt>
                <pt idx="49">
                  <v>2011680</v>
                </pt>
                <pt idx="50">
                  <v>4053970.13375</v>
                </pt>
                <pt idx="51">
                  <v>558452.5</v>
                </pt>
                <pt idx="52">
                  <v>500000</v>
                </pt>
                <pt idx="53">
                  <v>324287.121</v>
                </pt>
                <pt idx="54">
                  <v>404311.535</v>
                </pt>
                <pt idx="55">
                  <v>100000</v>
                </pt>
                <pt idx="56">
                  <v>180000</v>
                </pt>
                <pt idx="57">
                  <v>3306398.88375</v>
                </pt>
                <pt idx="58">
                  <v>1447504.268</v>
                </pt>
                <pt idx="59">
                  <v>472726.36</v>
                </pt>
                <pt idx="60">
                  <v>500000</v>
                </pt>
                <pt idx="61">
                  <v>258995.547</v>
                </pt>
                <pt idx="62">
                  <v>100000</v>
                </pt>
                <pt idx="63">
                  <v>1140850.926</v>
                </pt>
                <pt idx="64">
                  <v>100000</v>
                </pt>
                <pt idx="65">
                  <v>100000</v>
                </pt>
                <pt idx="66">
                  <v>100000</v>
                </pt>
                <pt idx="67">
                  <v>262278.826</v>
                </pt>
                <pt idx="68">
                  <v>100000</v>
                </pt>
              </numCache>
            </numRef>
          </val>
          <smooth val="0"/>
        </ser>
        <ser>
          <idx val="4"/>
          <order val="4"/>
          <tx>
            <strRef>
              <f>'04_TOTALIZADORA (3)'!$W$12:$W$13</f>
              <strCache>
                <ptCount val="2"/>
                <pt idx="0">
                  <v>FATURAMENTO ACUMULADO</v>
                </pt>
              </strCache>
            </strRef>
          </tx>
          <spPr>
            <a:ln xmlns:a="http://schemas.openxmlformats.org/drawingml/2006/main" w="28575" cap="rnd">
              <a:solidFill>
                <a:schemeClr val="accent5"/>
              </a:solidFill>
              <a:prstDash val="solid"/>
              <a:round/>
            </a:ln>
          </spPr>
          <marker>
            <symbol val="none"/>
            <spPr>
              <a:ln xmlns:a="http://schemas.openxmlformats.org/drawingml/2006/main">
                <a:prstDash val="solid"/>
              </a:ln>
            </spPr>
          </marker>
          <dLbls>
            <delete val="1"/>
          </dLbls>
          <val>
            <numRef>
              <f>'04_TOTALIZADORA (3)'!$W$14:$W$82</f>
              <numCache>
                <formatCode>_(* #,##0.00_);_(* \(#,##0.00\);_(* "-"??_);_(@_)</formatCode>
                <ptCount val="69"/>
                <pt idx="0">
                  <v>0</v>
                </pt>
                <pt idx="1">
                  <v>9941384.589012193</v>
                </pt>
                <pt idx="2">
                  <v>9941384.589012193</v>
                </pt>
                <pt idx="3">
                  <v>9941384.589012193</v>
                </pt>
                <pt idx="4">
                  <v>9941384.589012193</v>
                </pt>
                <pt idx="5">
                  <v>9941384.589012193</v>
                </pt>
                <pt idx="6">
                  <v>9941384.589012193</v>
                </pt>
                <pt idx="7">
                  <v>9941384.589012193</v>
                </pt>
                <pt idx="8">
                  <v>9941384.589012193</v>
                </pt>
                <pt idx="9">
                  <v>9941384.589012193</v>
                </pt>
                <pt idx="10">
                  <v>9941384.589012193</v>
                </pt>
                <pt idx="11">
                  <v>9941384.589012193</v>
                </pt>
                <pt idx="12">
                  <v>9941384.589012193</v>
                </pt>
                <pt idx="13">
                  <v>9941384.589012193</v>
                </pt>
                <pt idx="14">
                  <v>10291793.00901219</v>
                </pt>
                <pt idx="15">
                  <v>10291793.00901219</v>
                </pt>
                <pt idx="16">
                  <v>10971983.68101219</v>
                </pt>
                <pt idx="17">
                  <v>10971983.68101219</v>
                </pt>
                <pt idx="18">
                  <v>11153499.19201219</v>
                </pt>
                <pt idx="19">
                  <v>11153499.19201219</v>
                </pt>
                <pt idx="20">
                  <v>11153499.19201219</v>
                </pt>
                <pt idx="21">
                  <v>11153499.19201219</v>
                </pt>
                <pt idx="22">
                  <v>11153499.19201219</v>
                </pt>
                <pt idx="23">
                  <v>11153499.19201219</v>
                </pt>
                <pt idx="24">
                  <v>11153499.19201219</v>
                </pt>
                <pt idx="25">
                  <v>11153499.19201219</v>
                </pt>
                <pt idx="26">
                  <v>11153499.19201219</v>
                </pt>
                <pt idx="27">
                  <v>11153499.19201219</v>
                </pt>
                <pt idx="28">
                  <v>11153499.19201219</v>
                </pt>
                <pt idx="29">
                  <v>11153499.19201219</v>
                </pt>
                <pt idx="30">
                  <v>11153499.19201219</v>
                </pt>
                <pt idx="31">
                  <v>11153499.19201219</v>
                </pt>
                <pt idx="32">
                  <v>11153499.19201219</v>
                </pt>
                <pt idx="33">
                  <v>11153499.19201219</v>
                </pt>
                <pt idx="34">
                  <v>11153499.19201219</v>
                </pt>
                <pt idx="35">
                  <v>11153499.19201219</v>
                </pt>
                <pt idx="36">
                  <v>11153499.19201219</v>
                </pt>
                <pt idx="37">
                  <v>11153499.19201219</v>
                </pt>
                <pt idx="38">
                  <v>11153499.19201219</v>
                </pt>
                <pt idx="39">
                  <v>11153499.19201219</v>
                </pt>
                <pt idx="40">
                  <v>11153499.19201219</v>
                </pt>
                <pt idx="41">
                  <v>11153499.19201219</v>
                </pt>
                <pt idx="42">
                  <v>11153499.19201219</v>
                </pt>
                <pt idx="43">
                  <v>11153499.19201219</v>
                </pt>
                <pt idx="44">
                  <v>11153499.19201219</v>
                </pt>
                <pt idx="45">
                  <v>11153499.19201219</v>
                </pt>
                <pt idx="46">
                  <v>11153499.19201219</v>
                </pt>
                <pt idx="47">
                  <v>11153499.19201219</v>
                </pt>
                <pt idx="48">
                  <v>11153499.19201219</v>
                </pt>
                <pt idx="49">
                  <v>11153499.19201219</v>
                </pt>
                <pt idx="50">
                  <v>11153499.19201219</v>
                </pt>
                <pt idx="51">
                  <v>11153499.19201219</v>
                </pt>
                <pt idx="52">
                  <v>11153499.19201219</v>
                </pt>
                <pt idx="53">
                  <v>11153499.19201219</v>
                </pt>
                <pt idx="54">
                  <v>11153499.19201219</v>
                </pt>
                <pt idx="55">
                  <v>11153499.19201219</v>
                </pt>
                <pt idx="56">
                  <v>11153499.19201219</v>
                </pt>
                <pt idx="57">
                  <v>11153499.19201219</v>
                </pt>
                <pt idx="58">
                  <v>11153499.19201219</v>
                </pt>
                <pt idx="59">
                  <v>11153499.19201219</v>
                </pt>
                <pt idx="60">
                  <v>11153499.19201219</v>
                </pt>
                <pt idx="61">
                  <v>11153499.19201219</v>
                </pt>
                <pt idx="62">
                  <v>11153499.19201219</v>
                </pt>
                <pt idx="63">
                  <v>11153499.19201219</v>
                </pt>
                <pt idx="64">
                  <v>11153499.19201219</v>
                </pt>
                <pt idx="65">
                  <v>11153499.19201219</v>
                </pt>
                <pt idx="66">
                  <v>11153499.19201219</v>
                </pt>
                <pt idx="67">
                  <v>11153499.19201219</v>
                </pt>
                <pt idx="68">
                  <v>11153499.19201219</v>
                </pt>
              </numCache>
            </numRef>
          </val>
          <smooth val="0"/>
        </ser>
        <ser>
          <idx val="5"/>
          <order val="5"/>
          <tx>
            <strRef>
              <f>'04_TOTALIZADORA (3)'!$U$12:$U$13</f>
              <strCache>
                <ptCount val="2"/>
                <pt idx="0">
                  <v xml:space="preserve">DESEMBOLSO INSIGHT ACUMULADO </v>
                </pt>
              </strCache>
            </strRef>
          </tx>
          <spPr>
            <a:ln xmlns:a="http://schemas.openxmlformats.org/drawingml/2006/main" w="28575" cap="rnd">
              <a:solidFill>
                <a:schemeClr val="accent6"/>
              </a:solidFill>
              <a:prstDash val="solid"/>
              <a:round/>
            </a:ln>
          </spPr>
          <marker>
            <symbol val="none"/>
            <spPr>
              <a:ln xmlns:a="http://schemas.openxmlformats.org/drawingml/2006/main">
                <a:prstDash val="solid"/>
              </a:ln>
            </spPr>
          </marker>
          <dLbls>
            <delete val="1"/>
          </dLbls>
          <val>
            <numRef>
              <f>'04_TOTALIZADORA (3)'!$U$14:$U$82</f>
              <numCache>
                <formatCode>_(* #,##0.00_);_(* \(#,##0.00\);_(* "-"??_);_(@_)</formatCode>
                <ptCount val="69"/>
                <pt idx="0">
                  <v>100000</v>
                </pt>
                <pt idx="1">
                  <v>100000</v>
                </pt>
                <pt idx="2">
                  <v>100000</v>
                </pt>
                <pt idx="3">
                  <v>100000</v>
                </pt>
                <pt idx="4">
                  <v>100000</v>
                </pt>
                <pt idx="5">
                  <v>100000</v>
                </pt>
                <pt idx="6">
                  <v>100000</v>
                </pt>
                <pt idx="7">
                  <v>100000</v>
                </pt>
                <pt idx="8">
                  <v>100000</v>
                </pt>
                <pt idx="9">
                  <v>100000</v>
                </pt>
                <pt idx="10">
                  <v>100000</v>
                </pt>
                <pt idx="11">
                  <v>100000</v>
                </pt>
                <pt idx="12">
                  <v>100000</v>
                </pt>
                <pt idx="13">
                  <v>100000</v>
                </pt>
                <pt idx="14">
                  <v>157924.445</v>
                </pt>
                <pt idx="15">
                  <v>157924.445</v>
                </pt>
                <pt idx="16">
                  <v>197924.445</v>
                </pt>
                <pt idx="17">
                  <v>5599361.295</v>
                </pt>
                <pt idx="18">
                  <v>7306007.845000001</v>
                </pt>
                <pt idx="19">
                  <v>9226533.785</v>
                </pt>
                <pt idx="20">
                  <v>15847728.906</v>
                </pt>
                <pt idx="21">
                  <v>16418482.206</v>
                </pt>
                <pt idx="22">
                  <v>17415841.036</v>
                </pt>
                <pt idx="23">
                  <v>19556111.76</v>
                </pt>
                <pt idx="24">
                  <v>22148390.08931945</v>
                </pt>
                <pt idx="25">
                  <v>22624506.5359375</v>
                </pt>
                <pt idx="26">
                  <v>25167350.7059375</v>
                </pt>
                <pt idx="27">
                  <v>26607495.8599375</v>
                </pt>
                <pt idx="28">
                  <v>30897091.11003427</v>
                </pt>
                <pt idx="29">
                  <v>37401917.47253427</v>
                </pt>
                <pt idx="30">
                  <v>50238000.05628427</v>
                </pt>
                <pt idx="31">
                  <v>52067402.04428427</v>
                </pt>
                <pt idx="32">
                  <v>54786557.24828427</v>
                </pt>
                <pt idx="33">
                  <v>57122701.09028427</v>
                </pt>
                <pt idx="34">
                  <v>58220199.15028428</v>
                </pt>
                <pt idx="35">
                  <v>61073326.46028428</v>
                </pt>
                <pt idx="36">
                  <v>62896591.06028428</v>
                </pt>
                <pt idx="37">
                  <v>64223070.21028428</v>
                </pt>
                <pt idx="38">
                  <v>68816858.61778428</v>
                </pt>
                <pt idx="39">
                  <v>70005157.17778428</v>
                </pt>
                <pt idx="40">
                  <v>71827870.92778428</v>
                </pt>
                <pt idx="41">
                  <v>72358179.97778428</v>
                </pt>
                <pt idx="42">
                  <v>74704278.65378428</v>
                </pt>
                <pt idx="43">
                  <v>78274664.24753428</v>
                </pt>
                <pt idx="44">
                  <v>78742135.80753428</v>
                </pt>
                <pt idx="45">
                  <v>79022135.80753428</v>
                </pt>
                <pt idx="46">
                  <v>79173827.80753428</v>
                </pt>
                <pt idx="47">
                  <v>79473409.02753428</v>
                </pt>
                <pt idx="48">
                  <v>80902458.78553428</v>
                </pt>
                <pt idx="49">
                  <v>82875454.52553427</v>
                </pt>
                <pt idx="50">
                  <v>86829424.65928428</v>
                </pt>
                <pt idx="51">
                  <v>89543810.29678428</v>
                </pt>
                <pt idx="52">
                  <v>93943810.29678428</v>
                </pt>
                <pt idx="53">
                  <v>94417097.41778429</v>
                </pt>
                <pt idx="54">
                  <v>94865214.69278429</v>
                </pt>
                <pt idx="55">
                  <v>95024559.6427843</v>
                </pt>
                <pt idx="56">
                  <v>95404031.2027843</v>
                </pt>
                <pt idx="57">
                  <v>98930804.8905343</v>
                </pt>
                <pt idx="58">
                  <v>100329890.3785343</v>
                </pt>
                <pt idx="59">
                  <v>100773936.5065343</v>
                </pt>
                <pt idx="60">
                  <v>103501189.4120343</v>
                </pt>
                <pt idx="61">
                  <v>103677914.7190343</v>
                </pt>
                <pt idx="62">
                  <v>103926914.7190343</v>
                </pt>
                <pt idx="63">
                  <v>104967765.6450343</v>
                </pt>
                <pt idx="64">
                  <v>105219555.2173642</v>
                </pt>
                <pt idx="65">
                  <v>105378900.1673642</v>
                </pt>
                <pt idx="66">
                  <v>106082704.7993642</v>
                </pt>
                <pt idx="67">
                  <v>106244983.6253642</v>
                </pt>
                <pt idx="68">
                  <v>106244983.6253642</v>
                </pt>
              </numCache>
            </numRef>
          </val>
          <smooth val="0"/>
        </ser>
        <ser>
          <idx val="6"/>
          <order val="6"/>
          <tx>
            <strRef>
              <f>'04_TOTALIZADORA (3)'!$Y$12:$Y$13</f>
              <strCache>
                <ptCount val="2"/>
                <pt idx="0">
                  <v>PROGRAMAÇÃO ACUMULADA DE PEDIDOS REALIZADOS</v>
                </pt>
              </strCache>
            </strRef>
          </tx>
          <spPr>
            <a:ln xmlns:a="http://schemas.openxmlformats.org/drawingml/2006/main" w="28575" cap="rnd">
              <a:solidFill>
                <a:schemeClr val="accent1">
                  <a:lumMod val="60000"/>
                </a:schemeClr>
              </a:solidFill>
              <a:prstDash val="solid"/>
              <a:round/>
            </a:ln>
          </spPr>
          <marker>
            <symbol val="none"/>
            <spPr>
              <a:ln xmlns:a="http://schemas.openxmlformats.org/drawingml/2006/main">
                <a:prstDash val="solid"/>
              </a:ln>
            </spPr>
          </marker>
          <dLbls>
            <delete val="1"/>
          </dLbls>
          <val>
            <numRef>
              <f>'04_TOTALIZADORA (3)'!$Y$14:$Y$82</f>
              <numCache>
                <formatCode>_(* #,##0.00_);_(* \(#,##0.00\);_(* "-"??_);_(@_)</formatCode>
                <ptCount val="69"/>
                <pt idx="0">
                  <v>9546933.060000001</v>
                </pt>
                <pt idx="16">
                  <v>11271036.79</v>
                </pt>
                <pt idx="17">
                  <v>12267980.67</v>
                </pt>
                <pt idx="18">
                  <v>13168043.35</v>
                </pt>
                <pt idx="19">
                  <v>13791487.87</v>
                </pt>
                <pt idx="20">
                  <v>14419589.37</v>
                </pt>
                <pt idx="21">
                  <v>15318987.87</v>
                </pt>
                <pt idx="22">
                  <v>16168366.05</v>
                </pt>
                <pt idx="23">
                  <v>16354366.05</v>
                </pt>
                <pt idx="24">
                  <v>16924267.27</v>
                </pt>
                <pt idx="25">
                  <v>16924267.27</v>
                </pt>
                <pt idx="26">
                  <v>16924267.27</v>
                </pt>
                <pt idx="27">
                  <v>16924267.27</v>
                </pt>
                <pt idx="28">
                  <v>16924267.27</v>
                </pt>
                <pt idx="29">
                  <v>16924267.27</v>
                </pt>
                <pt idx="30">
                  <v>16924267.27</v>
                </pt>
                <pt idx="31">
                  <v>17037586.47</v>
                </pt>
                <pt idx="32">
                  <v>17037586.47</v>
                </pt>
                <pt idx="33">
                  <v>17037586.47</v>
                </pt>
                <pt idx="34">
                  <v>17037586.47</v>
                </pt>
                <pt idx="35">
                  <v>17037586.47</v>
                </pt>
                <pt idx="36">
                  <v>17037586.47</v>
                </pt>
                <pt idx="37">
                  <v>17037586.47</v>
                </pt>
                <pt idx="38">
                  <v>17037586.47</v>
                </pt>
                <pt idx="39">
                  <v>17037586.47</v>
                </pt>
                <pt idx="40">
                  <v>17037586.47</v>
                </pt>
                <pt idx="41">
                  <v>17150905.69</v>
                </pt>
                <pt idx="42">
                  <v>17150905.69</v>
                </pt>
                <pt idx="43">
                  <v>17150905.69</v>
                </pt>
                <pt idx="44">
                  <v>17150905.69</v>
                </pt>
                <pt idx="45">
                  <v>17150905.69</v>
                </pt>
                <pt idx="46">
                  <v>17150905.69</v>
                </pt>
                <pt idx="47">
                  <v>17150905.69</v>
                </pt>
                <pt idx="48">
                  <v>17150905.69</v>
                </pt>
                <pt idx="49">
                  <v>17150905.69</v>
                </pt>
                <pt idx="50">
                  <v>17150905.69</v>
                </pt>
                <pt idx="51">
                  <v>17150905.69</v>
                </pt>
                <pt idx="52">
                  <v>17275557.52</v>
                </pt>
                <pt idx="53">
                  <v>17275557.52</v>
                </pt>
                <pt idx="54">
                  <v>17275557.52</v>
                </pt>
                <pt idx="55">
                  <v>17275557.52</v>
                </pt>
                <pt idx="56">
                  <v>17275557.52</v>
                </pt>
                <pt idx="57">
                  <v>17275557.52</v>
                </pt>
                <pt idx="58">
                  <v>17275557.52</v>
                </pt>
                <pt idx="59">
                  <v>17275557.52</v>
                </pt>
                <pt idx="60">
                  <v>17275557.52</v>
                </pt>
                <pt idx="61">
                  <v>17275557.52</v>
                </pt>
                <pt idx="62">
                  <v>17275557.52</v>
                </pt>
                <pt idx="63">
                  <v>17275557.52</v>
                </pt>
                <pt idx="64">
                  <v>17275557.52</v>
                </pt>
                <pt idx="65">
                  <v>17275557.52</v>
                </pt>
                <pt idx="66">
                  <v>17275557.52</v>
                </pt>
                <pt idx="67">
                  <v>17275557.52</v>
                </pt>
                <pt idx="68">
                  <v>17275557.52</v>
                </pt>
              </numCache>
            </numRef>
          </val>
          <smooth val="0"/>
        </ser>
        <dLbls>
          <showLegendKey val="0"/>
          <showVal val="1"/>
          <showCatName val="0"/>
          <showSerName val="0"/>
          <showPercent val="0"/>
          <showBubbleSize val="0"/>
        </dLbls>
        <marker val="1"/>
        <smooth val="0"/>
        <axId val="1693624448"/>
        <axId val="1693633600"/>
      </lineChart>
      <catAx>
        <axId val="1006042335"/>
        <scaling>
          <orientation val="minMax"/>
        </scaling>
        <delete val="0"/>
        <axPos val="b"/>
        <numFmt formatCode="General" sourceLinked="1"/>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baseline="0">
                <a:solidFill>
                  <a:schemeClr val="tx1">
                    <a:lumMod val="65000"/>
                    <a:lumOff val="35000"/>
                  </a:schemeClr>
                </a:solidFill>
                <a:latin typeface="+mn-lt"/>
                <a:ea typeface="+mn-ea"/>
                <a:cs typeface="+mn-cs"/>
              </a:defRPr>
            </a:pPr>
            <a:r>
              <a:t/>
            </a:r>
            <a:endParaRPr lang="pt-BR"/>
          </a:p>
        </txPr>
        <crossAx val="1006036927"/>
        <crosses val="autoZero"/>
        <auto val="1"/>
        <lblAlgn val="ctr"/>
        <lblOffset val="100"/>
        <noMultiLvlLbl val="0"/>
      </catAx>
      <valAx>
        <axId val="1006036927"/>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_(* #,##0_);_(* \(#,##0\);_(* &quot;-&quot;_);_(@_)" sourceLinked="0"/>
        <majorTickMark val="out"/>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baseline="0">
                <a:solidFill>
                  <a:schemeClr val="tx1">
                    <a:lumMod val="65000"/>
                    <a:lumOff val="35000"/>
                  </a:schemeClr>
                </a:solidFill>
                <a:latin typeface="+mn-lt"/>
                <a:ea typeface="+mn-ea"/>
                <a:cs typeface="+mn-cs"/>
              </a:defRPr>
            </a:pPr>
            <a:r>
              <a:t/>
            </a:r>
            <a:endParaRPr lang="pt-BR"/>
          </a:p>
        </txPr>
        <crossAx val="1006042335"/>
        <crosses val="autoZero"/>
        <crossBetween val="between"/>
        <dispUnits>
          <builtInUnit val="millions"/>
          <dispUnitsLbl>
            <spPr>
              <a:noFill xmlns:a="http://schemas.openxmlformats.org/drawingml/2006/main"/>
              <a:ln xmlns:a="http://schemas.openxmlformats.org/drawingml/2006/main">
                <a:noFill/>
                <a:prstDash val="solid"/>
              </a:ln>
            </spPr>
            <txPr>
              <a:bodyPr xmlns:a="http://schemas.openxmlformats.org/drawingml/2006/main" rot="-5400000" spcFirstLastPara="1" vertOverflow="ellipsis" vert="horz" wrap="square" anchor="ctr" anchorCtr="1"/>
              <a:lstStyle xmlns:a="http://schemas.openxmlformats.org/drawingml/2006/main"/>
              <a:p xmlns:a="http://schemas.openxmlformats.org/drawingml/2006/main">
                <a:pPr>
                  <a:defRPr sz="900" b="0" i="0" strike="noStrike" baseline="0">
                    <a:solidFill>
                      <a:schemeClr val="tx1">
                        <a:lumMod val="65000"/>
                        <a:lumOff val="35000"/>
                      </a:schemeClr>
                    </a:solidFill>
                    <a:latin typeface="+mn-lt"/>
                    <a:ea typeface="+mn-ea"/>
                    <a:cs typeface="+mn-cs"/>
                  </a:defRPr>
                </a:pPr>
                <a:r>
                  <a:t/>
                </a:r>
                <a:endParaRPr lang="pt-BR"/>
              </a:p>
            </txPr>
          </dispUnitsLbl>
        </dispUnits>
      </valAx>
      <catAx>
        <axId val="1693624448"/>
        <scaling>
          <orientation val="minMax"/>
        </scaling>
        <delete val="1"/>
        <axPos val="b"/>
        <majorTickMark val="out"/>
        <minorTickMark val="none"/>
        <tickLblPos val="nextTo"/>
        <crossAx val="1693633600"/>
        <crosses val="autoZero"/>
        <auto val="1"/>
        <lblAlgn val="ctr"/>
        <lblOffset val="100"/>
        <noMultiLvlLbl val="0"/>
      </catAx>
      <valAx>
        <axId val="1693633600"/>
        <scaling>
          <orientation val="minMax"/>
        </scaling>
        <delete val="0"/>
        <axPos val="r"/>
        <numFmt formatCode="_(* #,##0.00_);_(* \(#,##0.00\);_(* &quot;-&quot;??_);_(@_)" sourceLinked="1"/>
        <majorTickMark val="out"/>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baseline="0">
                <a:solidFill>
                  <a:schemeClr val="tx1">
                    <a:lumMod val="65000"/>
                    <a:lumOff val="35000"/>
                  </a:schemeClr>
                </a:solidFill>
                <a:latin typeface="+mn-lt"/>
                <a:ea typeface="+mn-ea"/>
                <a:cs typeface="+mn-cs"/>
              </a:defRPr>
            </a:pPr>
            <a:r>
              <a:t/>
            </a:r>
            <a:endParaRPr lang="pt-BR"/>
          </a:p>
        </txPr>
        <crossAx val="1693624448"/>
        <crosses val="max"/>
        <crossBetween val="between"/>
      </valAx>
    </plotArea>
    <legend>
      <legendPos val="r"/>
      <layout>
        <manualLayout>
          <xMode val="edge"/>
          <yMode val="edge"/>
          <wMode val="factor"/>
          <hMode val="factor"/>
          <x val="0.07198145064658187"/>
          <y val="0.235638805209523"/>
          <w val="0.2631752329917475"/>
          <h val="0.1621894940593505"/>
        </manualLayout>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baseline="0">
              <a:solidFill>
                <a:schemeClr val="tx1">
                  <a:lumMod val="65000"/>
                  <a:lumOff val="35000"/>
                </a:schemeClr>
              </a:solidFill>
              <a:latin typeface="+mn-lt"/>
              <a:ea typeface="+mn-ea"/>
              <a:cs typeface="+mn-cs"/>
            </a:defRPr>
          </a:pPr>
          <a:r>
            <a:t/>
          </a:r>
          <a:endParaRPr lang="pt-BR"/>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4.xml><?xml version="1.0" encoding="utf-8"?>
<chartSpace xmlns="http://schemas.openxmlformats.org/drawingml/2006/chart">
  <chart>
    <plotArea>
      <layout>
        <manualLayout>
          <layoutTarget val="inner"/>
          <xMode val="edge"/>
          <yMode val="edge"/>
          <wMode val="factor"/>
          <hMode val="factor"/>
          <x val="0.06054440516300638"/>
          <y val="0.01282295818026711"/>
          <w val="0.9301155002646917"/>
          <h val="0.7236071630926429"/>
        </manualLayout>
      </layout>
      <barChart>
        <barDir val="col"/>
        <grouping val="clustered"/>
        <varyColors val="0"/>
        <ser>
          <idx val="1"/>
          <order val="0"/>
          <tx>
            <strRef>
              <f>'04_TOTALIZADORA (3)'!$G$13</f>
              <strCache>
                <ptCount val="1"/>
              </strCache>
            </strRef>
          </tx>
          <spPr>
            <a:solidFill xmlns:a="http://schemas.openxmlformats.org/drawingml/2006/main">
              <a:schemeClr val="accent2"/>
            </a:solidFill>
            <a:ln xmlns:a="http://schemas.openxmlformats.org/drawingml/2006/main">
              <a:noFill/>
              <a:prstDash val="solid"/>
            </a:ln>
          </spPr>
          <invertIfNegative val="0"/>
          <cat>
            <numRef>
              <f>'04_TOTALIZADORA (3)'!$B$14:$B$82</f>
              <numCache>
                <formatCode>mmm\-yy</formatCode>
                <ptCount val="69"/>
                <pt idx="0">
                  <v>45474</v>
                </pt>
                <pt idx="1">
                  <v>45505</v>
                </pt>
                <pt idx="2">
                  <v>45536</v>
                </pt>
                <pt idx="3">
                  <v>45566</v>
                </pt>
                <pt idx="4">
                  <v>45597</v>
                </pt>
                <pt idx="5">
                  <v>45627</v>
                </pt>
                <pt idx="6">
                  <v>45658</v>
                </pt>
                <pt idx="7">
                  <v>45689</v>
                </pt>
                <pt idx="8">
                  <v>45717</v>
                </pt>
                <pt idx="9">
                  <v>45748</v>
                </pt>
                <pt idx="10">
                  <v>45778</v>
                </pt>
                <pt idx="11">
                  <v>45809</v>
                </pt>
                <pt idx="12">
                  <v>45839</v>
                </pt>
                <pt idx="13">
                  <v>45870</v>
                </pt>
                <pt idx="14">
                  <v>45901</v>
                </pt>
                <pt idx="15">
                  <v>45931</v>
                </pt>
                <pt idx="16">
                  <v>45962</v>
                </pt>
                <pt idx="17">
                  <v>45992</v>
                </pt>
                <pt idx="18">
                  <v>46023</v>
                </pt>
                <pt idx="19">
                  <v>46054</v>
                </pt>
                <pt idx="20">
                  <v>46082</v>
                </pt>
                <pt idx="21">
                  <v>46113</v>
                </pt>
                <pt idx="22">
                  <v>46143</v>
                </pt>
                <pt idx="23">
                  <v>46174</v>
                </pt>
                <pt idx="24">
                  <v>46204</v>
                </pt>
                <pt idx="25">
                  <v>46235</v>
                </pt>
                <pt idx="26">
                  <v>46266</v>
                </pt>
                <pt idx="27">
                  <v>46296</v>
                </pt>
                <pt idx="28">
                  <v>46327</v>
                </pt>
                <pt idx="29">
                  <v>46357</v>
                </pt>
                <pt idx="30">
                  <v>46388</v>
                </pt>
                <pt idx="31">
                  <v>46419</v>
                </pt>
                <pt idx="32">
                  <v>46447</v>
                </pt>
                <pt idx="33">
                  <v>46478</v>
                </pt>
                <pt idx="34">
                  <v>46508</v>
                </pt>
                <pt idx="35">
                  <v>46539</v>
                </pt>
                <pt idx="36">
                  <v>46569</v>
                </pt>
                <pt idx="37">
                  <v>46600</v>
                </pt>
                <pt idx="38">
                  <v>46631</v>
                </pt>
                <pt idx="39">
                  <v>46661</v>
                </pt>
                <pt idx="40">
                  <v>46692</v>
                </pt>
                <pt idx="41">
                  <v>46722</v>
                </pt>
                <pt idx="42">
                  <v>46753</v>
                </pt>
                <pt idx="43">
                  <v>46784</v>
                </pt>
                <pt idx="44">
                  <v>46813</v>
                </pt>
                <pt idx="45">
                  <v>46844</v>
                </pt>
                <pt idx="46">
                  <v>46874</v>
                </pt>
                <pt idx="47">
                  <v>46905</v>
                </pt>
                <pt idx="48">
                  <v>46935</v>
                </pt>
                <pt idx="49">
                  <v>46966</v>
                </pt>
                <pt idx="50">
                  <v>46997</v>
                </pt>
                <pt idx="51">
                  <v>47027</v>
                </pt>
                <pt idx="52">
                  <v>47058</v>
                </pt>
                <pt idx="53">
                  <v>47088</v>
                </pt>
                <pt idx="54">
                  <v>47119</v>
                </pt>
                <pt idx="55">
                  <v>47150</v>
                </pt>
                <pt idx="56">
                  <v>47178</v>
                </pt>
                <pt idx="57">
                  <v>47209</v>
                </pt>
                <pt idx="58">
                  <v>47239</v>
                </pt>
                <pt idx="59">
                  <v>47270</v>
                </pt>
                <pt idx="60">
                  <v>47300</v>
                </pt>
                <pt idx="61">
                  <v>47331</v>
                </pt>
                <pt idx="62">
                  <v>47362</v>
                </pt>
                <pt idx="63">
                  <v>47392</v>
                </pt>
                <pt idx="64">
                  <v>47423</v>
                </pt>
                <pt idx="65">
                  <v>47453</v>
                </pt>
                <pt idx="66">
                  <v>47484</v>
                </pt>
                <pt idx="67">
                  <v>47515</v>
                </pt>
                <pt idx="68">
                  <v>47543</v>
                </pt>
              </numCache>
            </numRef>
          </cat>
          <val>
            <numRef>
              <f>'04_TOTALIZADORA (3)'!$G$14:$G$82</f>
              <numCache>
                <formatCode>_(* #,##0.00_);_(* \(#,##0.00\);_(* "-"??_);_(@_)</formatCode>
                <ptCount val="69"/>
                <pt idx="0">
                  <v>0</v>
                </pt>
                <pt idx="1">
                  <v>0</v>
                </pt>
                <pt idx="2">
                  <v>0</v>
                </pt>
                <pt idx="3">
                  <v>0</v>
                </pt>
                <pt idx="4">
                  <v>0</v>
                </pt>
                <pt idx="5">
                  <v>0</v>
                </pt>
                <pt idx="6">
                  <v>0</v>
                </pt>
                <pt idx="7">
                  <v>0</v>
                </pt>
                <pt idx="8">
                  <v>0</v>
                </pt>
                <pt idx="9">
                  <v>0</v>
                </pt>
                <pt idx="10">
                  <v>0</v>
                </pt>
                <pt idx="11">
                  <v>0</v>
                </pt>
                <pt idx="12">
                  <v>0</v>
                </pt>
                <pt idx="13">
                  <v>0</v>
                </pt>
                <pt idx="14">
                  <v>0</v>
                </pt>
                <pt idx="15">
                  <v>412245.1763298608</v>
                </pt>
                <pt idx="16">
                  <v>0</v>
                </pt>
                <pt idx="17">
                  <v>0</v>
                </pt>
                <pt idx="18">
                  <v>441511.47</v>
                </pt>
                <pt idx="19">
                  <v>3812821.554456618</v>
                </pt>
                <pt idx="20">
                  <v>655154.8299999998</v>
                </pt>
                <pt idx="21">
                  <v>2732612.892833749</v>
                </pt>
                <pt idx="22">
                  <v>1627777.23</v>
                </pt>
                <pt idx="23">
                  <v>1155029.7375</v>
                </pt>
                <pt idx="24">
                  <v>1160023.349319443</v>
                </pt>
                <pt idx="25">
                  <v>4406190.489683495</v>
                </pt>
                <pt idx="26">
                  <v>4942914.62</v>
                </pt>
                <pt idx="27">
                  <v>10534527.22</v>
                </pt>
                <pt idx="28">
                  <v>3520581.38</v>
                </pt>
                <pt idx="29">
                  <v>13020339.2775</v>
                </pt>
                <pt idx="30">
                  <v>14592425.91</v>
                </pt>
                <pt idx="31">
                  <v>7356733.977000001</v>
                </pt>
                <pt idx="32">
                  <v>5450696.557000001</v>
                </pt>
                <pt idx="33">
                  <v>13426486.563</v>
                </pt>
                <pt idx="34">
                  <v>4679233.794641106</v>
                </pt>
                <pt idx="35">
                  <v>1134057.98</v>
                </pt>
                <pt idx="36">
                  <v>3737325.814</v>
                </pt>
                <pt idx="37">
                  <v>2861241.84</v>
                </pt>
                <pt idx="38">
                  <v>8180418.344021075</v>
                </pt>
                <pt idx="39">
                  <v>2261479.41</v>
                </pt>
                <pt idx="40">
                  <v>0</v>
                </pt>
                <pt idx="41">
                  <v>405825.62</v>
                </pt>
                <pt idx="42">
                  <v>2617584.64</v>
                </pt>
                <pt idx="43">
                  <v>6062885.555000001</v>
                </pt>
                <pt idx="44">
                  <v>4898441.314999999</v>
                </pt>
                <pt idx="45">
                  <v>11078799.937</v>
                </pt>
                <pt idx="46">
                  <v>1673829.967791691</v>
                </pt>
                <pt idx="47">
                  <v>452567.6375</v>
                </pt>
                <pt idx="48">
                  <v>2973836.8</v>
                </pt>
                <pt idx="49">
                  <v>1618458.85</v>
                </pt>
                <pt idx="50">
                  <v>1240472.15</v>
                </pt>
                <pt idx="51">
                  <v>5772995.847500001</v>
                </pt>
                <pt idx="52">
                  <v>4795019.43</v>
                </pt>
                <pt idx="53">
                  <v>4721548.077500001</v>
                </pt>
                <pt idx="54">
                  <v>5076342.895</v>
                </pt>
                <pt idx="55">
                  <v>1138281.257096209</v>
                </pt>
                <pt idx="56">
                  <v>1831934.49</v>
                </pt>
                <pt idx="57">
                  <v>1548222.794</v>
                </pt>
                <pt idx="58">
                  <v>1096998.3975</v>
                </pt>
                <pt idx="59">
                  <v>2329835.728</v>
                </pt>
                <pt idx="60">
                  <v>7554539.475500002</v>
                </pt>
                <pt idx="61">
                  <v>2422092.6</v>
                </pt>
                <pt idx="62">
                  <v>3426302.0275</v>
                </pt>
                <pt idx="63">
                  <v>930600.0000000001</v>
                </pt>
                <pt idx="64">
                  <v>6637026.13577893</v>
                </pt>
                <pt idx="65">
                  <v>1730898.873291691</v>
                </pt>
                <pt idx="66">
                  <v>2512792.617</v>
                </pt>
                <pt idx="67">
                  <v>177729.245</v>
                </pt>
                <pt idx="68">
                  <v>0</v>
                </pt>
              </numCache>
            </numRef>
          </val>
        </ser>
        <dLbls>
          <showLegendKey val="0"/>
          <showVal val="0"/>
          <showCatName val="0"/>
          <showSerName val="0"/>
          <showPercent val="0"/>
          <showBubbleSize val="0"/>
        </dLbls>
        <gapWidth val="150"/>
        <axId val="1244892143"/>
        <axId val="1244894543"/>
      </barChart>
      <dateAx>
        <axId val="1244892143"/>
        <scaling>
          <orientation val="minMax"/>
        </scaling>
        <delete val="0"/>
        <axPos val="b"/>
        <numFmt formatCode="mmm\-yy"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pt-BR"/>
          </a:p>
        </txPr>
        <crossAx val="1244894543"/>
        <crosses val="autoZero"/>
        <lblOffset val="100"/>
        <baseTimeUnit val="months"/>
      </dateAx>
      <valAx>
        <axId val="1244894543"/>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_(* #,##0.00_);_(* \(#,##0.00\);_(* &quot;-&quot;??_);_(@_)"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pt-BR"/>
          </a:p>
        </txPr>
        <crossAx val="1244892143"/>
        <crosses val="autoZero"/>
        <crossBetween val="between"/>
        <majorUnit val="1000000"/>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pt-BR"/>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5.xml><?xml version="1.0" encoding="utf-8"?>
<chartSpace xmlns="http://schemas.openxmlformats.org/drawingml/2006/chart">
  <chart>
    <plotArea>
      <layout>
        <manualLayout>
          <layoutTarget val="inner"/>
          <xMode val="edge"/>
          <yMode val="edge"/>
          <wMode val="factor"/>
          <hMode val="factor"/>
          <x val="0.06054440516300638"/>
          <y val="0.01282295818026711"/>
          <w val="0.9301155002646917"/>
          <h val="0.7236071630926429"/>
        </manualLayout>
      </layout>
      <barChart>
        <barDir val="col"/>
        <grouping val="clustered"/>
        <varyColors val="0"/>
        <ser>
          <idx val="1"/>
          <order val="0"/>
          <tx>
            <strRef>
              <f>'04_TOTALIZADORA (3)'!$R$12:$R$13</f>
              <strCache>
                <ptCount val="2"/>
                <pt idx="0">
                  <v>DESEMBOLSO INSIGHT MENSAL  PREVISTO</v>
                </pt>
              </strCache>
            </strRef>
          </tx>
          <spPr>
            <a:solidFill xmlns:a="http://schemas.openxmlformats.org/drawingml/2006/main">
              <a:schemeClr val="accent2"/>
            </a:solidFill>
            <a:ln xmlns:a="http://schemas.openxmlformats.org/drawingml/2006/main">
              <a:noFill/>
              <a:prstDash val="solid"/>
            </a:ln>
          </spPr>
          <invertIfNegative val="0"/>
          <cat>
            <numRef>
              <f>'04_TOTALIZADORA (3)'!$B$14:$B$82</f>
              <numCache>
                <formatCode>mmm\-yy</formatCode>
                <ptCount val="69"/>
                <pt idx="0">
                  <v>45474</v>
                </pt>
                <pt idx="1">
                  <v>45505</v>
                </pt>
                <pt idx="2">
                  <v>45536</v>
                </pt>
                <pt idx="3">
                  <v>45566</v>
                </pt>
                <pt idx="4">
                  <v>45597</v>
                </pt>
                <pt idx="5">
                  <v>45627</v>
                </pt>
                <pt idx="6">
                  <v>45658</v>
                </pt>
                <pt idx="7">
                  <v>45689</v>
                </pt>
                <pt idx="8">
                  <v>45717</v>
                </pt>
                <pt idx="9">
                  <v>45748</v>
                </pt>
                <pt idx="10">
                  <v>45778</v>
                </pt>
                <pt idx="11">
                  <v>45809</v>
                </pt>
                <pt idx="12">
                  <v>45839</v>
                </pt>
                <pt idx="13">
                  <v>45870</v>
                </pt>
                <pt idx="14">
                  <v>45901</v>
                </pt>
                <pt idx="15">
                  <v>45931</v>
                </pt>
                <pt idx="16">
                  <v>45962</v>
                </pt>
                <pt idx="17">
                  <v>45992</v>
                </pt>
                <pt idx="18">
                  <v>46023</v>
                </pt>
                <pt idx="19">
                  <v>46054</v>
                </pt>
                <pt idx="20">
                  <v>46082</v>
                </pt>
                <pt idx="21">
                  <v>46113</v>
                </pt>
                <pt idx="22">
                  <v>46143</v>
                </pt>
                <pt idx="23">
                  <v>46174</v>
                </pt>
                <pt idx="24">
                  <v>46204</v>
                </pt>
                <pt idx="25">
                  <v>46235</v>
                </pt>
                <pt idx="26">
                  <v>46266</v>
                </pt>
                <pt idx="27">
                  <v>46296</v>
                </pt>
                <pt idx="28">
                  <v>46327</v>
                </pt>
                <pt idx="29">
                  <v>46357</v>
                </pt>
                <pt idx="30">
                  <v>46388</v>
                </pt>
                <pt idx="31">
                  <v>46419</v>
                </pt>
                <pt idx="32">
                  <v>46447</v>
                </pt>
                <pt idx="33">
                  <v>46478</v>
                </pt>
                <pt idx="34">
                  <v>46508</v>
                </pt>
                <pt idx="35">
                  <v>46539</v>
                </pt>
                <pt idx="36">
                  <v>46569</v>
                </pt>
                <pt idx="37">
                  <v>46600</v>
                </pt>
                <pt idx="38">
                  <v>46631</v>
                </pt>
                <pt idx="39">
                  <v>46661</v>
                </pt>
                <pt idx="40">
                  <v>46692</v>
                </pt>
                <pt idx="41">
                  <v>46722</v>
                </pt>
                <pt idx="42">
                  <v>46753</v>
                </pt>
                <pt idx="43">
                  <v>46784</v>
                </pt>
                <pt idx="44">
                  <v>46813</v>
                </pt>
                <pt idx="45">
                  <v>46844</v>
                </pt>
                <pt idx="46">
                  <v>46874</v>
                </pt>
                <pt idx="47">
                  <v>46905</v>
                </pt>
                <pt idx="48">
                  <v>46935</v>
                </pt>
                <pt idx="49">
                  <v>46966</v>
                </pt>
                <pt idx="50">
                  <v>46997</v>
                </pt>
                <pt idx="51">
                  <v>47027</v>
                </pt>
                <pt idx="52">
                  <v>47058</v>
                </pt>
                <pt idx="53">
                  <v>47088</v>
                </pt>
                <pt idx="54">
                  <v>47119</v>
                </pt>
                <pt idx="55">
                  <v>47150</v>
                </pt>
                <pt idx="56">
                  <v>47178</v>
                </pt>
                <pt idx="57">
                  <v>47209</v>
                </pt>
                <pt idx="58">
                  <v>47239</v>
                </pt>
                <pt idx="59">
                  <v>47270</v>
                </pt>
                <pt idx="60">
                  <v>47300</v>
                </pt>
                <pt idx="61">
                  <v>47331</v>
                </pt>
                <pt idx="62">
                  <v>47362</v>
                </pt>
                <pt idx="63">
                  <v>47392</v>
                </pt>
                <pt idx="64">
                  <v>47423</v>
                </pt>
                <pt idx="65">
                  <v>47453</v>
                </pt>
                <pt idx="66">
                  <v>47484</v>
                </pt>
                <pt idx="67">
                  <v>47515</v>
                </pt>
                <pt idx="68">
                  <v>47543</v>
                </pt>
              </numCache>
            </numRef>
          </cat>
          <val>
            <numRef>
              <f>'04_TOTALIZADORA (3)'!$R$14:$R$82</f>
              <numCache>
                <formatCode>_(* #,##0.00_);_(* \(#,##0.00\);_(* "-"??_);_(@_)</formatCode>
                <ptCount val="69"/>
                <pt idx="0">
                  <v>100000</v>
                </pt>
                <pt idx="1">
                  <v>100000</v>
                </pt>
                <pt idx="2">
                  <v>100000</v>
                </pt>
                <pt idx="3">
                  <v>100000</v>
                </pt>
                <pt idx="4">
                  <v>100000</v>
                </pt>
                <pt idx="5">
                  <v>100000</v>
                </pt>
                <pt idx="6">
                  <v>100000</v>
                </pt>
                <pt idx="7">
                  <v>100000</v>
                </pt>
                <pt idx="8">
                  <v>100000</v>
                </pt>
                <pt idx="9">
                  <v>100000</v>
                </pt>
                <pt idx="10">
                  <v>100000</v>
                </pt>
                <pt idx="11">
                  <v>100000</v>
                </pt>
                <pt idx="12">
                  <v>100000</v>
                </pt>
                <pt idx="13">
                  <v>100000</v>
                </pt>
                <pt idx="14">
                  <v>157924.445</v>
                </pt>
                <pt idx="15">
                  <v>100000</v>
                </pt>
                <pt idx="16">
                  <v>140000</v>
                </pt>
                <pt idx="17">
                  <v>5501436.85</v>
                </pt>
                <pt idx="18">
                  <v>1806646.55</v>
                </pt>
                <pt idx="19">
                  <v>1800000</v>
                </pt>
                <pt idx="20">
                  <v>6251716.141000001</v>
                </pt>
                <pt idx="21">
                  <v>340000</v>
                </pt>
                <pt idx="22">
                  <v>295816.17</v>
                </pt>
                <pt idx="23">
                  <v>1971731.644</v>
                </pt>
                <pt idx="24">
                  <v>2475450.39</v>
                </pt>
                <pt idx="25">
                  <v>367326.544</v>
                </pt>
                <pt idx="26">
                  <v>500000</v>
                </pt>
                <pt idx="27">
                  <v>1540145.154</v>
                </pt>
                <pt idx="28">
                  <v>4389595.250096774</v>
                </pt>
                <pt idx="29">
                  <v>500806.775</v>
                </pt>
                <pt idx="30">
                  <v>3460866.39375</v>
                </pt>
                <pt idx="31">
                  <v>286098.676</v>
                </pt>
                <pt idx="32">
                  <v>2155686.672</v>
                </pt>
                <pt idx="33">
                  <v>1501805.312</v>
                </pt>
                <pt idx="34">
                  <v>451183.39</v>
                </pt>
                <pt idx="35">
                  <v>2851959.76</v>
                </pt>
                <pt idx="36">
                  <v>1591961.526</v>
                </pt>
                <pt idx="37">
                  <v>1258454.51</v>
                </pt>
                <pt idx="38">
                  <v>2437855.27</v>
                </pt>
                <pt idx="39">
                  <v>1265680</v>
                </pt>
                <pt idx="40">
                  <v>1922713.75</v>
                </pt>
                <pt idx="41">
                  <v>578452.5</v>
                </pt>
                <pt idx="42">
                  <v>446098.676</v>
                </pt>
                <pt idx="43">
                  <v>3460866.39375</v>
                </pt>
                <pt idx="44">
                  <v>268000</v>
                </pt>
                <pt idx="45">
                  <v>100000</v>
                </pt>
                <pt idx="46">
                  <v>100000</v>
                </pt>
                <pt idx="47">
                  <v>348000</v>
                </pt>
                <pt idx="48">
                  <v>1529049.758</v>
                </pt>
                <pt idx="49">
                  <v>2011680</v>
                </pt>
                <pt idx="50">
                  <v>4053970.13375</v>
                </pt>
                <pt idx="51">
                  <v>558452.5</v>
                </pt>
                <pt idx="52">
                  <v>500000</v>
                </pt>
                <pt idx="53">
                  <v>324287.121</v>
                </pt>
                <pt idx="54">
                  <v>404311.535</v>
                </pt>
                <pt idx="55">
                  <v>100000</v>
                </pt>
                <pt idx="56">
                  <v>180000</v>
                </pt>
                <pt idx="57">
                  <v>3306398.88375</v>
                </pt>
                <pt idx="58">
                  <v>1447504.268</v>
                </pt>
                <pt idx="59">
                  <v>472726.36</v>
                </pt>
                <pt idx="60">
                  <v>500000</v>
                </pt>
                <pt idx="61">
                  <v>258995.547</v>
                </pt>
                <pt idx="62">
                  <v>100000</v>
                </pt>
                <pt idx="63">
                  <v>1140850.926</v>
                </pt>
                <pt idx="64">
                  <v>100000</v>
                </pt>
                <pt idx="65">
                  <v>100000</v>
                </pt>
                <pt idx="66">
                  <v>100000</v>
                </pt>
                <pt idx="67">
                  <v>262278.826</v>
                </pt>
                <pt idx="68">
                  <v>100000</v>
                </pt>
              </numCache>
            </numRef>
          </val>
        </ser>
        <dLbls>
          <showLegendKey val="0"/>
          <showVal val="0"/>
          <showCatName val="0"/>
          <showSerName val="0"/>
          <showPercent val="0"/>
          <showBubbleSize val="0"/>
        </dLbls>
        <gapWidth val="150"/>
        <axId val="1244892143"/>
        <axId val="1244894543"/>
      </barChart>
      <dateAx>
        <axId val="1244892143"/>
        <scaling>
          <orientation val="minMax"/>
        </scaling>
        <delete val="0"/>
        <axPos val="b"/>
        <numFmt formatCode="mmm\-yy"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pt-BR"/>
          </a:p>
        </txPr>
        <crossAx val="1244894543"/>
        <crosses val="autoZero"/>
        <lblOffset val="100"/>
        <baseTimeUnit val="months"/>
      </dateAx>
      <valAx>
        <axId val="1244894543"/>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_(* #,##0.00_);_(* \(#,##0.00\);_(* &quot;-&quot;??_);_(@_)"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pt-BR"/>
          </a:p>
        </txPr>
        <crossAx val="1244892143"/>
        <crosses val="autoZero"/>
        <crossBetween val="between"/>
        <majorUnit val="1000000"/>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pt-BR"/>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6.xml><?xml version="1.0" encoding="utf-8"?>
<chartSpace xmlns="http://schemas.openxmlformats.org/drawingml/2006/chart">
  <chart>
    <plotArea>
      <layout>
        <manualLayout>
          <layoutTarget val="inner"/>
          <xMode val="edge"/>
          <yMode val="edge"/>
          <wMode val="factor"/>
          <hMode val="factor"/>
          <x val="0.06054440516300638"/>
          <y val="0.01282295818026711"/>
          <w val="0.9301155002646917"/>
          <h val="0.7236071630926429"/>
        </manualLayout>
      </layout>
      <barChart>
        <barDir val="col"/>
        <grouping val="clustered"/>
        <varyColors val="0"/>
        <ser>
          <idx val="1"/>
          <order val="0"/>
          <tx>
            <strRef>
              <f>'04_TOTALIZADORA (3)'!$S$12</f>
              <strCache>
                <ptCount val="1"/>
                <pt idx="0">
                  <v>FAT. DIRETO MENSAL PREVISTO</v>
                </pt>
              </strCache>
            </strRef>
          </tx>
          <spPr>
            <a:solidFill xmlns:a="http://schemas.openxmlformats.org/drawingml/2006/main">
              <a:schemeClr val="accent2"/>
            </a:solidFill>
            <a:ln xmlns:a="http://schemas.openxmlformats.org/drawingml/2006/main">
              <a:noFill/>
              <a:prstDash val="solid"/>
            </a:ln>
          </spPr>
          <invertIfNegative val="0"/>
          <cat>
            <numRef>
              <f>'04_TOTALIZADORA (3)'!$B$14:$B$82</f>
              <numCache>
                <formatCode>mmm\-yy</formatCode>
                <ptCount val="69"/>
                <pt idx="0">
                  <v>45474</v>
                </pt>
                <pt idx="1">
                  <v>45505</v>
                </pt>
                <pt idx="2">
                  <v>45536</v>
                </pt>
                <pt idx="3">
                  <v>45566</v>
                </pt>
                <pt idx="4">
                  <v>45597</v>
                </pt>
                <pt idx="5">
                  <v>45627</v>
                </pt>
                <pt idx="6">
                  <v>45658</v>
                </pt>
                <pt idx="7">
                  <v>45689</v>
                </pt>
                <pt idx="8">
                  <v>45717</v>
                </pt>
                <pt idx="9">
                  <v>45748</v>
                </pt>
                <pt idx="10">
                  <v>45778</v>
                </pt>
                <pt idx="11">
                  <v>45809</v>
                </pt>
                <pt idx="12">
                  <v>45839</v>
                </pt>
                <pt idx="13">
                  <v>45870</v>
                </pt>
                <pt idx="14">
                  <v>45901</v>
                </pt>
                <pt idx="15">
                  <v>45931</v>
                </pt>
                <pt idx="16">
                  <v>45962</v>
                </pt>
                <pt idx="17">
                  <v>45992</v>
                </pt>
                <pt idx="18">
                  <v>46023</v>
                </pt>
                <pt idx="19">
                  <v>46054</v>
                </pt>
                <pt idx="20">
                  <v>46082</v>
                </pt>
                <pt idx="21">
                  <v>46113</v>
                </pt>
                <pt idx="22">
                  <v>46143</v>
                </pt>
                <pt idx="23">
                  <v>46174</v>
                </pt>
                <pt idx="24">
                  <v>46204</v>
                </pt>
                <pt idx="25">
                  <v>46235</v>
                </pt>
                <pt idx="26">
                  <v>46266</v>
                </pt>
                <pt idx="27">
                  <v>46296</v>
                </pt>
                <pt idx="28">
                  <v>46327</v>
                </pt>
                <pt idx="29">
                  <v>46357</v>
                </pt>
                <pt idx="30">
                  <v>46388</v>
                </pt>
                <pt idx="31">
                  <v>46419</v>
                </pt>
                <pt idx="32">
                  <v>46447</v>
                </pt>
                <pt idx="33">
                  <v>46478</v>
                </pt>
                <pt idx="34">
                  <v>46508</v>
                </pt>
                <pt idx="35">
                  <v>46539</v>
                </pt>
                <pt idx="36">
                  <v>46569</v>
                </pt>
                <pt idx="37">
                  <v>46600</v>
                </pt>
                <pt idx="38">
                  <v>46631</v>
                </pt>
                <pt idx="39">
                  <v>46661</v>
                </pt>
                <pt idx="40">
                  <v>46692</v>
                </pt>
                <pt idx="41">
                  <v>46722</v>
                </pt>
                <pt idx="42">
                  <v>46753</v>
                </pt>
                <pt idx="43">
                  <v>46784</v>
                </pt>
                <pt idx="44">
                  <v>46813</v>
                </pt>
                <pt idx="45">
                  <v>46844</v>
                </pt>
                <pt idx="46">
                  <v>46874</v>
                </pt>
                <pt idx="47">
                  <v>46905</v>
                </pt>
                <pt idx="48">
                  <v>46935</v>
                </pt>
                <pt idx="49">
                  <v>46966</v>
                </pt>
                <pt idx="50">
                  <v>46997</v>
                </pt>
                <pt idx="51">
                  <v>47027</v>
                </pt>
                <pt idx="52">
                  <v>47058</v>
                </pt>
                <pt idx="53">
                  <v>47088</v>
                </pt>
                <pt idx="54">
                  <v>47119</v>
                </pt>
                <pt idx="55">
                  <v>47150</v>
                </pt>
                <pt idx="56">
                  <v>47178</v>
                </pt>
                <pt idx="57">
                  <v>47209</v>
                </pt>
                <pt idx="58">
                  <v>47239</v>
                </pt>
                <pt idx="59">
                  <v>47270</v>
                </pt>
                <pt idx="60">
                  <v>47300</v>
                </pt>
                <pt idx="61">
                  <v>47331</v>
                </pt>
                <pt idx="62">
                  <v>47362</v>
                </pt>
                <pt idx="63">
                  <v>47392</v>
                </pt>
                <pt idx="64">
                  <v>47423</v>
                </pt>
                <pt idx="65">
                  <v>47453</v>
                </pt>
                <pt idx="66">
                  <v>47484</v>
                </pt>
                <pt idx="67">
                  <v>47515</v>
                </pt>
                <pt idx="68">
                  <v>47543</v>
                </pt>
              </numCache>
            </numRef>
          </cat>
          <val>
            <numRef>
              <f>'04_TOTALIZADORA (3)'!$S$14:$S$82</f>
              <numCache>
                <formatCode>_(* #,##0.00_);_(* \(#,##0.00\);_(* "-"??_);_(@_)</formatCode>
                <ptCount val="69"/>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220525.94</v>
                </pt>
                <pt idx="20">
                  <v>469478.98</v>
                </pt>
                <pt idx="21">
                  <v>330753.3</v>
                </pt>
                <pt idx="22">
                  <v>801542.66</v>
                </pt>
                <pt idx="23">
                  <v>268539.08</v>
                </pt>
                <pt idx="24">
                  <v>216827.9393194433</v>
                </pt>
                <pt idx="25">
                  <v>208789.9026180516</v>
                </pt>
                <pt idx="26">
                  <v>2142844.17</v>
                </pt>
                <pt idx="27">
                  <v>0</v>
                </pt>
                <pt idx="28">
                  <v>0</v>
                </pt>
                <pt idx="29">
                  <v>6104019.5875</v>
                </pt>
                <pt idx="30">
                  <v>9475216.190000001</v>
                </pt>
                <pt idx="31">
                  <v>1643303.312</v>
                </pt>
                <pt idx="32">
                  <v>663468.532</v>
                </pt>
                <pt idx="33">
                  <v>934338.53</v>
                </pt>
                <pt idx="34">
                  <v>746314.6699999999</v>
                </pt>
                <pt idx="35">
                  <v>101167.55</v>
                </pt>
                <pt idx="36">
                  <v>331303.0740000001</v>
                </pt>
                <pt idx="37">
                  <v>168024.64</v>
                </pt>
                <pt idx="38">
                  <v>2255933.1375</v>
                </pt>
                <pt idx="39">
                  <v>22618.56</v>
                </pt>
                <pt idx="40">
                  <v>0</v>
                </pt>
                <pt idx="41">
                  <v>51856.55</v>
                </pt>
                <pt idx="42">
                  <v>2000000</v>
                </pt>
                <pt idx="43">
                  <v>209519.2</v>
                </pt>
                <pt idx="44">
                  <v>299471.56</v>
                </pt>
                <pt idx="45">
                  <v>280000</v>
                </pt>
                <pt idx="46">
                  <v>151692</v>
                </pt>
                <pt idx="47">
                  <v>51581.22</v>
                </pt>
                <pt idx="48">
                  <v>0</v>
                </pt>
                <pt idx="49">
                  <v>61315.74</v>
                </pt>
                <pt idx="50">
                  <v>0</v>
                </pt>
                <pt idx="51">
                  <v>2255933.1375</v>
                </pt>
                <pt idx="52">
                  <v>4000000</v>
                </pt>
                <pt idx="53">
                  <v>249000</v>
                </pt>
                <pt idx="54">
                  <v>143805.74</v>
                </pt>
                <pt idx="55">
                  <v>159344.95</v>
                </pt>
                <pt idx="56">
                  <v>299471.56</v>
                </pt>
                <pt idx="57">
                  <v>320374.8040000001</v>
                </pt>
                <pt idx="58">
                  <v>51581.22</v>
                </pt>
                <pt idx="59">
                  <v>71319.76800000001</v>
                </pt>
                <pt idx="60">
                  <v>2327252.9055</v>
                </pt>
                <pt idx="61">
                  <v>17729.76</v>
                </pt>
                <pt idx="62">
                  <v>249000</v>
                </pt>
                <pt idx="63">
                  <v>0</v>
                </pt>
                <pt idx="64">
                  <v>251789.5723298608</v>
                </pt>
                <pt idx="65">
                  <v>159344.95</v>
                </pt>
                <pt idx="66">
                  <v>703804.6320000001</v>
                </pt>
                <pt idx="67">
                  <v>0</v>
                </pt>
                <pt idx="68">
                  <v>0</v>
                </pt>
              </numCache>
            </numRef>
          </val>
        </ser>
        <dLbls>
          <showLegendKey val="0"/>
          <showVal val="0"/>
          <showCatName val="0"/>
          <showSerName val="0"/>
          <showPercent val="0"/>
          <showBubbleSize val="0"/>
        </dLbls>
        <gapWidth val="150"/>
        <axId val="1244892143"/>
        <axId val="1244894543"/>
      </barChart>
      <dateAx>
        <axId val="1244892143"/>
        <scaling>
          <orientation val="minMax"/>
        </scaling>
        <delete val="0"/>
        <axPos val="b"/>
        <numFmt formatCode="mmm\-yy"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pt-BR"/>
          </a:p>
        </txPr>
        <crossAx val="1244894543"/>
        <crosses val="autoZero"/>
        <lblOffset val="100"/>
        <baseTimeUnit val="months"/>
      </dateAx>
      <valAx>
        <axId val="1244894543"/>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_(* #,##0.00_);_(* \(#,##0.00\);_(* &quot;-&quot;??_);_(@_)"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pt-BR"/>
          </a:p>
        </txPr>
        <crossAx val="1244892143"/>
        <crosses val="autoZero"/>
        <crossBetween val="between"/>
        <majorUnit val="1000000"/>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pt-BR"/>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7.xml><?xml version="1.0" encoding="utf-8"?>
<chartSpace xmlns="http://schemas.openxmlformats.org/drawingml/2006/chart">
  <chart>
    <plotArea>
      <layout>
        <manualLayout>
          <layoutTarget val="inner"/>
          <xMode val="edge"/>
          <yMode val="edge"/>
          <wMode val="factor"/>
          <hMode val="factor"/>
          <x val="0.05900583825980926"/>
          <y val="0.008667822421076127"/>
          <w val="0.8594663988514242"/>
          <h val="0.9386696123707743"/>
        </manualLayout>
      </layout>
      <lineChart>
        <grouping val="standard"/>
        <varyColors val="0"/>
        <ser>
          <idx val="0"/>
          <order val="0"/>
          <tx>
            <strRef>
              <f>'04_TOTALIZADORA (3)'!$H$12</f>
              <strCache>
                <ptCount val="1"/>
                <pt idx="0">
                  <v>RECEITA TOTAL PREVISTA</v>
                </pt>
              </strCache>
            </strRef>
          </tx>
          <spPr>
            <a:ln xmlns:a="http://schemas.openxmlformats.org/drawingml/2006/main" w="28575" cap="rnd">
              <a:solidFill>
                <a:schemeClr val="accent2"/>
              </a:solidFill>
              <a:prstDash val="solid"/>
              <a:round/>
            </a:ln>
          </spPr>
          <marker>
            <symbol val="none"/>
            <spPr>
              <a:ln xmlns:a="http://schemas.openxmlformats.org/drawingml/2006/main">
                <a:prstDash val="solid"/>
              </a:ln>
            </spPr>
          </marker>
          <cat>
            <numRef>
              <f>'04_TOTALIZADORA (3)'!$B$14:$B$82</f>
              <numCache>
                <formatCode>mmm\-yy</formatCode>
                <ptCount val="69"/>
                <pt idx="0">
                  <v>45474</v>
                </pt>
                <pt idx="1">
                  <v>45505</v>
                </pt>
                <pt idx="2">
                  <v>45536</v>
                </pt>
                <pt idx="3">
                  <v>45566</v>
                </pt>
                <pt idx="4">
                  <v>45597</v>
                </pt>
                <pt idx="5">
                  <v>45627</v>
                </pt>
                <pt idx="6">
                  <v>45658</v>
                </pt>
                <pt idx="7">
                  <v>45689</v>
                </pt>
                <pt idx="8">
                  <v>45717</v>
                </pt>
                <pt idx="9">
                  <v>45748</v>
                </pt>
                <pt idx="10">
                  <v>45778</v>
                </pt>
                <pt idx="11">
                  <v>45809</v>
                </pt>
                <pt idx="12">
                  <v>45839</v>
                </pt>
                <pt idx="13">
                  <v>45870</v>
                </pt>
                <pt idx="14">
                  <v>45901</v>
                </pt>
                <pt idx="15">
                  <v>45931</v>
                </pt>
                <pt idx="16">
                  <v>45962</v>
                </pt>
                <pt idx="17">
                  <v>45992</v>
                </pt>
                <pt idx="18">
                  <v>46023</v>
                </pt>
                <pt idx="19">
                  <v>46054</v>
                </pt>
                <pt idx="20">
                  <v>46082</v>
                </pt>
                <pt idx="21">
                  <v>46113</v>
                </pt>
                <pt idx="22">
                  <v>46143</v>
                </pt>
                <pt idx="23">
                  <v>46174</v>
                </pt>
                <pt idx="24">
                  <v>46204</v>
                </pt>
                <pt idx="25">
                  <v>46235</v>
                </pt>
                <pt idx="26">
                  <v>46266</v>
                </pt>
                <pt idx="27">
                  <v>46296</v>
                </pt>
                <pt idx="28">
                  <v>46327</v>
                </pt>
                <pt idx="29">
                  <v>46357</v>
                </pt>
                <pt idx="30">
                  <v>46388</v>
                </pt>
                <pt idx="31">
                  <v>46419</v>
                </pt>
                <pt idx="32">
                  <v>46447</v>
                </pt>
                <pt idx="33">
                  <v>46478</v>
                </pt>
                <pt idx="34">
                  <v>46508</v>
                </pt>
                <pt idx="35">
                  <v>46539</v>
                </pt>
                <pt idx="36">
                  <v>46569</v>
                </pt>
                <pt idx="37">
                  <v>46600</v>
                </pt>
                <pt idx="38">
                  <v>46631</v>
                </pt>
                <pt idx="39">
                  <v>46661</v>
                </pt>
                <pt idx="40">
                  <v>46692</v>
                </pt>
                <pt idx="41">
                  <v>46722</v>
                </pt>
                <pt idx="42">
                  <v>46753</v>
                </pt>
                <pt idx="43">
                  <v>46784</v>
                </pt>
                <pt idx="44">
                  <v>46813</v>
                </pt>
                <pt idx="45">
                  <v>46844</v>
                </pt>
                <pt idx="46">
                  <v>46874</v>
                </pt>
                <pt idx="47">
                  <v>46905</v>
                </pt>
                <pt idx="48">
                  <v>46935</v>
                </pt>
                <pt idx="49">
                  <v>46966</v>
                </pt>
                <pt idx="50">
                  <v>46997</v>
                </pt>
                <pt idx="51">
                  <v>47027</v>
                </pt>
                <pt idx="52">
                  <v>47058</v>
                </pt>
                <pt idx="53">
                  <v>47088</v>
                </pt>
                <pt idx="54">
                  <v>47119</v>
                </pt>
                <pt idx="55">
                  <v>47150</v>
                </pt>
                <pt idx="56">
                  <v>47178</v>
                </pt>
                <pt idx="57">
                  <v>47209</v>
                </pt>
                <pt idx="58">
                  <v>47239</v>
                </pt>
                <pt idx="59">
                  <v>47270</v>
                </pt>
                <pt idx="60">
                  <v>47300</v>
                </pt>
                <pt idx="61">
                  <v>47331</v>
                </pt>
                <pt idx="62">
                  <v>47362</v>
                </pt>
                <pt idx="63">
                  <v>47392</v>
                </pt>
                <pt idx="64">
                  <v>47423</v>
                </pt>
                <pt idx="65">
                  <v>47453</v>
                </pt>
                <pt idx="66">
                  <v>47484</v>
                </pt>
                <pt idx="67">
                  <v>47515</v>
                </pt>
                <pt idx="68">
                  <v>47543</v>
                </pt>
              </numCache>
            </numRef>
          </cat>
          <val>
            <numRef>
              <f>'04_TOTALIZADORA (3)'!$H$14:$H$82</f>
              <numCache>
                <formatCode>_(* #,##0.00_);_(* \(#,##0.00\);_(* "-"??_);_(@_)</formatCode>
                <ptCount val="69"/>
                <pt idx="0">
                  <v>0</v>
                </pt>
                <pt idx="1">
                  <v>0</v>
                </pt>
                <pt idx="2">
                  <v>0</v>
                </pt>
                <pt idx="3">
                  <v>0</v>
                </pt>
                <pt idx="4">
                  <v>0</v>
                </pt>
                <pt idx="5">
                  <v>0</v>
                </pt>
                <pt idx="6">
                  <v>0</v>
                </pt>
                <pt idx="7">
                  <v>0</v>
                </pt>
                <pt idx="8">
                  <v>0</v>
                </pt>
                <pt idx="9">
                  <v>0</v>
                </pt>
                <pt idx="10">
                  <v>0</v>
                </pt>
                <pt idx="11">
                  <v>0</v>
                </pt>
                <pt idx="12">
                  <v>0</v>
                </pt>
                <pt idx="13">
                  <v>0</v>
                </pt>
                <pt idx="14">
                  <v>0</v>
                </pt>
                <pt idx="15">
                  <v>412245.1763298608</v>
                </pt>
                <pt idx="16">
                  <v>412245.1763298608</v>
                </pt>
                <pt idx="17">
                  <v>412245.1763298608</v>
                </pt>
                <pt idx="18">
                  <v>853756.6463298609</v>
                </pt>
                <pt idx="19">
                  <v>4666578.200786479</v>
                </pt>
                <pt idx="20">
                  <v>5321733.030786479</v>
                </pt>
                <pt idx="21">
                  <v>8054345.923620228</v>
                </pt>
                <pt idx="22">
                  <v>9682123.153620228</v>
                </pt>
                <pt idx="23">
                  <v>10837152.89112023</v>
                </pt>
                <pt idx="24">
                  <v>11997176.24043967</v>
                </pt>
                <pt idx="25">
                  <v>16403366.73012317</v>
                </pt>
                <pt idx="26">
                  <v>21346281.35012317</v>
                </pt>
                <pt idx="27">
                  <v>31880808.57012317</v>
                </pt>
                <pt idx="28">
                  <v>35401389.95012317</v>
                </pt>
                <pt idx="29">
                  <v>48421729.22762317</v>
                </pt>
                <pt idx="30">
                  <v>63014155.13762318</v>
                </pt>
                <pt idx="31">
                  <v>70370889.11462317</v>
                </pt>
                <pt idx="32">
                  <v>75821585.67162317</v>
                </pt>
                <pt idx="33">
                  <v>89248072.23462318</v>
                </pt>
                <pt idx="34">
                  <v>93927306.02926429</v>
                </pt>
                <pt idx="35">
                  <v>95061364.00926429</v>
                </pt>
                <pt idx="36">
                  <v>98798689.82326429</v>
                </pt>
                <pt idx="37">
                  <v>101659931.6632643</v>
                </pt>
                <pt idx="38">
                  <v>109840350.0072854</v>
                </pt>
                <pt idx="39">
                  <v>112101829.4172854</v>
                </pt>
                <pt idx="40">
                  <v>112101829.4172854</v>
                </pt>
                <pt idx="41">
                  <v>112507655.0372854</v>
                </pt>
                <pt idx="42">
                  <v>115125239.6772854</v>
                </pt>
                <pt idx="43">
                  <v>121188125.2322854</v>
                </pt>
                <pt idx="44">
                  <v>126086566.5472854</v>
                </pt>
                <pt idx="45">
                  <v>137165366.4842854</v>
                </pt>
                <pt idx="46">
                  <v>138839196.4520771</v>
                </pt>
                <pt idx="47">
                  <v>139291764.089577</v>
                </pt>
                <pt idx="48">
                  <v>142265600.8895771</v>
                </pt>
                <pt idx="49">
                  <v>143884059.7395771</v>
                </pt>
                <pt idx="50">
                  <v>145124531.8895771</v>
                </pt>
                <pt idx="51">
                  <v>150897527.7370771</v>
                </pt>
                <pt idx="52">
                  <v>155692547.1670771</v>
                </pt>
                <pt idx="53">
                  <v>160414095.2445771</v>
                </pt>
                <pt idx="54">
                  <v>165490438.1395771</v>
                </pt>
                <pt idx="55">
                  <v>166628719.3966733</v>
                </pt>
                <pt idx="56">
                  <v>168460653.8866733</v>
                </pt>
                <pt idx="57">
                  <v>170008876.6806733</v>
                </pt>
                <pt idx="58">
                  <v>171105875.0781733</v>
                </pt>
                <pt idx="59">
                  <v>173435710.8061733</v>
                </pt>
                <pt idx="60">
                  <v>180990250.2816733</v>
                </pt>
                <pt idx="61">
                  <v>183412342.8816732</v>
                </pt>
                <pt idx="62">
                  <v>186838644.9091733</v>
                </pt>
                <pt idx="63">
                  <v>187769244.9091733</v>
                </pt>
                <pt idx="64">
                  <v>194406271.0449522</v>
                </pt>
                <pt idx="65">
                  <v>196137169.9182439</v>
                </pt>
                <pt idx="66">
                  <v>198649962.5352439</v>
                </pt>
                <pt idx="67">
                  <v>198827691.7802439</v>
                </pt>
                <pt idx="68">
                  <v>198827691.7802439</v>
                </pt>
              </numCache>
            </numRef>
          </val>
          <smooth val="0"/>
        </ser>
        <ser>
          <idx val="1"/>
          <order val="1"/>
          <tx>
            <strRef>
              <f>'04_TOTALIZADORA (3)'!$T$12:$T$13</f>
              <strCache>
                <ptCount val="2"/>
                <pt idx="0">
                  <v>FAT. DIRETO ACUMULADO PREVISTO</v>
                </pt>
              </strCache>
            </strRef>
          </tx>
          <spPr>
            <a:ln xmlns:a="http://schemas.openxmlformats.org/drawingml/2006/main" w="28575" cap="rnd">
              <a:solidFill>
                <a:schemeClr val="accent4"/>
              </a:solidFill>
              <a:prstDash val="solid"/>
              <a:round/>
            </a:ln>
          </spPr>
          <marker>
            <symbol val="none"/>
            <spPr>
              <a:ln xmlns:a="http://schemas.openxmlformats.org/drawingml/2006/main">
                <a:prstDash val="solid"/>
              </a:ln>
            </spPr>
          </marker>
          <cat>
            <numRef>
              <f>'04_TOTALIZADORA (3)'!$B$14:$B$82</f>
              <numCache>
                <formatCode>mmm\-yy</formatCode>
                <ptCount val="69"/>
                <pt idx="0">
                  <v>45474</v>
                </pt>
                <pt idx="1">
                  <v>45505</v>
                </pt>
                <pt idx="2">
                  <v>45536</v>
                </pt>
                <pt idx="3">
                  <v>45566</v>
                </pt>
                <pt idx="4">
                  <v>45597</v>
                </pt>
                <pt idx="5">
                  <v>45627</v>
                </pt>
                <pt idx="6">
                  <v>45658</v>
                </pt>
                <pt idx="7">
                  <v>45689</v>
                </pt>
                <pt idx="8">
                  <v>45717</v>
                </pt>
                <pt idx="9">
                  <v>45748</v>
                </pt>
                <pt idx="10">
                  <v>45778</v>
                </pt>
                <pt idx="11">
                  <v>45809</v>
                </pt>
                <pt idx="12">
                  <v>45839</v>
                </pt>
                <pt idx="13">
                  <v>45870</v>
                </pt>
                <pt idx="14">
                  <v>45901</v>
                </pt>
                <pt idx="15">
                  <v>45931</v>
                </pt>
                <pt idx="16">
                  <v>45962</v>
                </pt>
                <pt idx="17">
                  <v>45992</v>
                </pt>
                <pt idx="18">
                  <v>46023</v>
                </pt>
                <pt idx="19">
                  <v>46054</v>
                </pt>
                <pt idx="20">
                  <v>46082</v>
                </pt>
                <pt idx="21">
                  <v>46113</v>
                </pt>
                <pt idx="22">
                  <v>46143</v>
                </pt>
                <pt idx="23">
                  <v>46174</v>
                </pt>
                <pt idx="24">
                  <v>46204</v>
                </pt>
                <pt idx="25">
                  <v>46235</v>
                </pt>
                <pt idx="26">
                  <v>46266</v>
                </pt>
                <pt idx="27">
                  <v>46296</v>
                </pt>
                <pt idx="28">
                  <v>46327</v>
                </pt>
                <pt idx="29">
                  <v>46357</v>
                </pt>
                <pt idx="30">
                  <v>46388</v>
                </pt>
                <pt idx="31">
                  <v>46419</v>
                </pt>
                <pt idx="32">
                  <v>46447</v>
                </pt>
                <pt idx="33">
                  <v>46478</v>
                </pt>
                <pt idx="34">
                  <v>46508</v>
                </pt>
                <pt idx="35">
                  <v>46539</v>
                </pt>
                <pt idx="36">
                  <v>46569</v>
                </pt>
                <pt idx="37">
                  <v>46600</v>
                </pt>
                <pt idx="38">
                  <v>46631</v>
                </pt>
                <pt idx="39">
                  <v>46661</v>
                </pt>
                <pt idx="40">
                  <v>46692</v>
                </pt>
                <pt idx="41">
                  <v>46722</v>
                </pt>
                <pt idx="42">
                  <v>46753</v>
                </pt>
                <pt idx="43">
                  <v>46784</v>
                </pt>
                <pt idx="44">
                  <v>46813</v>
                </pt>
                <pt idx="45">
                  <v>46844</v>
                </pt>
                <pt idx="46">
                  <v>46874</v>
                </pt>
                <pt idx="47">
                  <v>46905</v>
                </pt>
                <pt idx="48">
                  <v>46935</v>
                </pt>
                <pt idx="49">
                  <v>46966</v>
                </pt>
                <pt idx="50">
                  <v>46997</v>
                </pt>
                <pt idx="51">
                  <v>47027</v>
                </pt>
                <pt idx="52">
                  <v>47058</v>
                </pt>
                <pt idx="53">
                  <v>47088</v>
                </pt>
                <pt idx="54">
                  <v>47119</v>
                </pt>
                <pt idx="55">
                  <v>47150</v>
                </pt>
                <pt idx="56">
                  <v>47178</v>
                </pt>
                <pt idx="57">
                  <v>47209</v>
                </pt>
                <pt idx="58">
                  <v>47239</v>
                </pt>
                <pt idx="59">
                  <v>47270</v>
                </pt>
                <pt idx="60">
                  <v>47300</v>
                </pt>
                <pt idx="61">
                  <v>47331</v>
                </pt>
                <pt idx="62">
                  <v>47362</v>
                </pt>
                <pt idx="63">
                  <v>47392</v>
                </pt>
                <pt idx="64">
                  <v>47423</v>
                </pt>
                <pt idx="65">
                  <v>47453</v>
                </pt>
                <pt idx="66">
                  <v>47484</v>
                </pt>
                <pt idx="67">
                  <v>47515</v>
                </pt>
                <pt idx="68">
                  <v>47543</v>
                </pt>
              </numCache>
            </numRef>
          </cat>
          <val>
            <numRef>
              <f>'04_TOTALIZADORA (3)'!$T$14:$T$82</f>
              <numCache>
                <formatCode>_(* #,##0.00_);_(* \(#,##0.00\);_(* "-"??_);_(@_)</formatCode>
                <ptCount val="69"/>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220525.94</v>
                </pt>
                <pt idx="20">
                  <v>690004.9199999999</v>
                </pt>
                <pt idx="21">
                  <v>1020758.22</v>
                </pt>
                <pt idx="22">
                  <v>1822300.88</v>
                </pt>
                <pt idx="23">
                  <v>2090839.96</v>
                </pt>
                <pt idx="24">
                  <v>2307667.899319443</v>
                </pt>
                <pt idx="25">
                  <v>2516457.801937495</v>
                </pt>
                <pt idx="26">
                  <v>4659301.971937494</v>
                </pt>
                <pt idx="27">
                  <v>4659301.971937494</v>
                </pt>
                <pt idx="28">
                  <v>4659301.971937494</v>
                </pt>
                <pt idx="29">
                  <v>10763321.55943749</v>
                </pt>
                <pt idx="30">
                  <v>20238537.7494375</v>
                </pt>
                <pt idx="31">
                  <v>21881841.0614375</v>
                </pt>
                <pt idx="32">
                  <v>22545309.5934375</v>
                </pt>
                <pt idx="33">
                  <v>23479648.1234375</v>
                </pt>
                <pt idx="34">
                  <v>24225962.7934375</v>
                </pt>
                <pt idx="35">
                  <v>24327130.3434375</v>
                </pt>
                <pt idx="36">
                  <v>24658433.4174375</v>
                </pt>
                <pt idx="37">
                  <v>24826458.0574375</v>
                </pt>
                <pt idx="38">
                  <v>27082391.1949375</v>
                </pt>
                <pt idx="39">
                  <v>27105009.7549375</v>
                </pt>
                <pt idx="40">
                  <v>27105009.7549375</v>
                </pt>
                <pt idx="41">
                  <v>27156866.3049375</v>
                </pt>
                <pt idx="42">
                  <v>29156866.3049375</v>
                </pt>
                <pt idx="43">
                  <v>29366385.5049375</v>
                </pt>
                <pt idx="44">
                  <v>29665857.06493749</v>
                </pt>
                <pt idx="45">
                  <v>29945857.06493749</v>
                </pt>
                <pt idx="46">
                  <v>30097549.06493749</v>
                </pt>
                <pt idx="47">
                  <v>30149130.28493749</v>
                </pt>
                <pt idx="48">
                  <v>30149130.28493749</v>
                </pt>
                <pt idx="49">
                  <v>30210446.02493749</v>
                </pt>
                <pt idx="50">
                  <v>30210446.02493749</v>
                </pt>
                <pt idx="51">
                  <v>32466379.16243749</v>
                </pt>
                <pt idx="52">
                  <v>36466379.16243749</v>
                </pt>
                <pt idx="53">
                  <v>36715379.16243749</v>
                </pt>
                <pt idx="54">
                  <v>36859184.90243749</v>
                </pt>
                <pt idx="55">
                  <v>37018529.8524375</v>
                </pt>
                <pt idx="56">
                  <v>37318001.4124375</v>
                </pt>
                <pt idx="57">
                  <v>37638376.2164375</v>
                </pt>
                <pt idx="58">
                  <v>37689957.4364375</v>
                </pt>
                <pt idx="59">
                  <v>37761277.20443749</v>
                </pt>
                <pt idx="60">
                  <v>40088530.1099375</v>
                </pt>
                <pt idx="61">
                  <v>40106259.86993749</v>
                </pt>
                <pt idx="62">
                  <v>40355259.86993749</v>
                </pt>
                <pt idx="63">
                  <v>40355259.86993749</v>
                </pt>
                <pt idx="64">
                  <v>40607049.44226736</v>
                </pt>
                <pt idx="65">
                  <v>40766394.39226736</v>
                </pt>
                <pt idx="66">
                  <v>41470199.02426736</v>
                </pt>
                <pt idx="67">
                  <v>41470199.02426736</v>
                </pt>
                <pt idx="68">
                  <v>41470199.02426736</v>
                </pt>
              </numCache>
            </numRef>
          </val>
          <smooth val="0"/>
        </ser>
        <ser>
          <idx val="2"/>
          <order val="2"/>
          <tx>
            <strRef>
              <f>'04_TOTALIZADORA (3)'!$U$12:$U$13</f>
              <strCache>
                <ptCount val="2"/>
                <pt idx="0">
                  <v xml:space="preserve">DESEMBOLSO INSIGHT ACUMULADO </v>
                </pt>
              </strCache>
            </strRef>
          </tx>
          <spPr>
            <a:ln xmlns:a="http://schemas.openxmlformats.org/drawingml/2006/main" w="28575" cap="rnd">
              <a:solidFill>
                <a:schemeClr val="accent6"/>
              </a:solidFill>
              <a:prstDash val="solid"/>
              <a:round/>
            </a:ln>
          </spPr>
          <marker>
            <symbol val="none"/>
            <spPr>
              <a:ln xmlns:a="http://schemas.openxmlformats.org/drawingml/2006/main">
                <a:prstDash val="solid"/>
              </a:ln>
            </spPr>
          </marker>
          <cat>
            <numRef>
              <f>'04_TOTALIZADORA (3)'!$B$14:$B$82</f>
              <numCache>
                <formatCode>mmm\-yy</formatCode>
                <ptCount val="69"/>
                <pt idx="0">
                  <v>45474</v>
                </pt>
                <pt idx="1">
                  <v>45505</v>
                </pt>
                <pt idx="2">
                  <v>45536</v>
                </pt>
                <pt idx="3">
                  <v>45566</v>
                </pt>
                <pt idx="4">
                  <v>45597</v>
                </pt>
                <pt idx="5">
                  <v>45627</v>
                </pt>
                <pt idx="6">
                  <v>45658</v>
                </pt>
                <pt idx="7">
                  <v>45689</v>
                </pt>
                <pt idx="8">
                  <v>45717</v>
                </pt>
                <pt idx="9">
                  <v>45748</v>
                </pt>
                <pt idx="10">
                  <v>45778</v>
                </pt>
                <pt idx="11">
                  <v>45809</v>
                </pt>
                <pt idx="12">
                  <v>45839</v>
                </pt>
                <pt idx="13">
                  <v>45870</v>
                </pt>
                <pt idx="14">
                  <v>45901</v>
                </pt>
                <pt idx="15">
                  <v>45931</v>
                </pt>
                <pt idx="16">
                  <v>45962</v>
                </pt>
                <pt idx="17">
                  <v>45992</v>
                </pt>
                <pt idx="18">
                  <v>46023</v>
                </pt>
                <pt idx="19">
                  <v>46054</v>
                </pt>
                <pt idx="20">
                  <v>46082</v>
                </pt>
                <pt idx="21">
                  <v>46113</v>
                </pt>
                <pt idx="22">
                  <v>46143</v>
                </pt>
                <pt idx="23">
                  <v>46174</v>
                </pt>
                <pt idx="24">
                  <v>46204</v>
                </pt>
                <pt idx="25">
                  <v>46235</v>
                </pt>
                <pt idx="26">
                  <v>46266</v>
                </pt>
                <pt idx="27">
                  <v>46296</v>
                </pt>
                <pt idx="28">
                  <v>46327</v>
                </pt>
                <pt idx="29">
                  <v>46357</v>
                </pt>
                <pt idx="30">
                  <v>46388</v>
                </pt>
                <pt idx="31">
                  <v>46419</v>
                </pt>
                <pt idx="32">
                  <v>46447</v>
                </pt>
                <pt idx="33">
                  <v>46478</v>
                </pt>
                <pt idx="34">
                  <v>46508</v>
                </pt>
                <pt idx="35">
                  <v>46539</v>
                </pt>
                <pt idx="36">
                  <v>46569</v>
                </pt>
                <pt idx="37">
                  <v>46600</v>
                </pt>
                <pt idx="38">
                  <v>46631</v>
                </pt>
                <pt idx="39">
                  <v>46661</v>
                </pt>
                <pt idx="40">
                  <v>46692</v>
                </pt>
                <pt idx="41">
                  <v>46722</v>
                </pt>
                <pt idx="42">
                  <v>46753</v>
                </pt>
                <pt idx="43">
                  <v>46784</v>
                </pt>
                <pt idx="44">
                  <v>46813</v>
                </pt>
                <pt idx="45">
                  <v>46844</v>
                </pt>
                <pt idx="46">
                  <v>46874</v>
                </pt>
                <pt idx="47">
                  <v>46905</v>
                </pt>
                <pt idx="48">
                  <v>46935</v>
                </pt>
                <pt idx="49">
                  <v>46966</v>
                </pt>
                <pt idx="50">
                  <v>46997</v>
                </pt>
                <pt idx="51">
                  <v>47027</v>
                </pt>
                <pt idx="52">
                  <v>47058</v>
                </pt>
                <pt idx="53">
                  <v>47088</v>
                </pt>
                <pt idx="54">
                  <v>47119</v>
                </pt>
                <pt idx="55">
                  <v>47150</v>
                </pt>
                <pt idx="56">
                  <v>47178</v>
                </pt>
                <pt idx="57">
                  <v>47209</v>
                </pt>
                <pt idx="58">
                  <v>47239</v>
                </pt>
                <pt idx="59">
                  <v>47270</v>
                </pt>
                <pt idx="60">
                  <v>47300</v>
                </pt>
                <pt idx="61">
                  <v>47331</v>
                </pt>
                <pt idx="62">
                  <v>47362</v>
                </pt>
                <pt idx="63">
                  <v>47392</v>
                </pt>
                <pt idx="64">
                  <v>47423</v>
                </pt>
                <pt idx="65">
                  <v>47453</v>
                </pt>
                <pt idx="66">
                  <v>47484</v>
                </pt>
                <pt idx="67">
                  <v>47515</v>
                </pt>
                <pt idx="68">
                  <v>47543</v>
                </pt>
              </numCache>
            </numRef>
          </cat>
          <val>
            <numRef>
              <f>'04_TOTALIZADORA (3)'!$U$14:$U$82</f>
              <numCache>
                <formatCode>_(* #,##0.00_);_(* \(#,##0.00\);_(* "-"??_);_(@_)</formatCode>
                <ptCount val="69"/>
                <pt idx="0">
                  <v>100000</v>
                </pt>
                <pt idx="1">
                  <v>100000</v>
                </pt>
                <pt idx="2">
                  <v>100000</v>
                </pt>
                <pt idx="3">
                  <v>100000</v>
                </pt>
                <pt idx="4">
                  <v>100000</v>
                </pt>
                <pt idx="5">
                  <v>100000</v>
                </pt>
                <pt idx="6">
                  <v>100000</v>
                </pt>
                <pt idx="7">
                  <v>100000</v>
                </pt>
                <pt idx="8">
                  <v>100000</v>
                </pt>
                <pt idx="9">
                  <v>100000</v>
                </pt>
                <pt idx="10">
                  <v>100000</v>
                </pt>
                <pt idx="11">
                  <v>100000</v>
                </pt>
                <pt idx="12">
                  <v>100000</v>
                </pt>
                <pt idx="13">
                  <v>100000</v>
                </pt>
                <pt idx="14">
                  <v>157924.445</v>
                </pt>
                <pt idx="15">
                  <v>157924.445</v>
                </pt>
                <pt idx="16">
                  <v>197924.445</v>
                </pt>
                <pt idx="17">
                  <v>5599361.295</v>
                </pt>
                <pt idx="18">
                  <v>7306007.845000001</v>
                </pt>
                <pt idx="19">
                  <v>9226533.785</v>
                </pt>
                <pt idx="20">
                  <v>15847728.906</v>
                </pt>
                <pt idx="21">
                  <v>16418482.206</v>
                </pt>
                <pt idx="22">
                  <v>17415841.036</v>
                </pt>
                <pt idx="23">
                  <v>19556111.76</v>
                </pt>
                <pt idx="24">
                  <v>22148390.08931945</v>
                </pt>
                <pt idx="25">
                  <v>22624506.5359375</v>
                </pt>
                <pt idx="26">
                  <v>25167350.7059375</v>
                </pt>
                <pt idx="27">
                  <v>26607495.8599375</v>
                </pt>
                <pt idx="28">
                  <v>30897091.11003427</v>
                </pt>
                <pt idx="29">
                  <v>37401917.47253427</v>
                </pt>
                <pt idx="30">
                  <v>50238000.05628427</v>
                </pt>
                <pt idx="31">
                  <v>52067402.04428427</v>
                </pt>
                <pt idx="32">
                  <v>54786557.24828427</v>
                </pt>
                <pt idx="33">
                  <v>57122701.09028427</v>
                </pt>
                <pt idx="34">
                  <v>58220199.15028428</v>
                </pt>
                <pt idx="35">
                  <v>61073326.46028428</v>
                </pt>
                <pt idx="36">
                  <v>62896591.06028428</v>
                </pt>
                <pt idx="37">
                  <v>64223070.21028428</v>
                </pt>
                <pt idx="38">
                  <v>68816858.61778428</v>
                </pt>
                <pt idx="39">
                  <v>70005157.17778428</v>
                </pt>
                <pt idx="40">
                  <v>71827870.92778428</v>
                </pt>
                <pt idx="41">
                  <v>72358179.97778428</v>
                </pt>
                <pt idx="42">
                  <v>74704278.65378428</v>
                </pt>
                <pt idx="43">
                  <v>78274664.24753428</v>
                </pt>
                <pt idx="44">
                  <v>78742135.80753428</v>
                </pt>
                <pt idx="45">
                  <v>79022135.80753428</v>
                </pt>
                <pt idx="46">
                  <v>79173827.80753428</v>
                </pt>
                <pt idx="47">
                  <v>79473409.02753428</v>
                </pt>
                <pt idx="48">
                  <v>80902458.78553428</v>
                </pt>
                <pt idx="49">
                  <v>82875454.52553427</v>
                </pt>
                <pt idx="50">
                  <v>86829424.65928428</v>
                </pt>
                <pt idx="51">
                  <v>89543810.29678428</v>
                </pt>
                <pt idx="52">
                  <v>93943810.29678428</v>
                </pt>
                <pt idx="53">
                  <v>94417097.41778429</v>
                </pt>
                <pt idx="54">
                  <v>94865214.69278429</v>
                </pt>
                <pt idx="55">
                  <v>95024559.6427843</v>
                </pt>
                <pt idx="56">
                  <v>95404031.2027843</v>
                </pt>
                <pt idx="57">
                  <v>98930804.8905343</v>
                </pt>
                <pt idx="58">
                  <v>100329890.3785343</v>
                </pt>
                <pt idx="59">
                  <v>100773936.5065343</v>
                </pt>
                <pt idx="60">
                  <v>103501189.4120343</v>
                </pt>
                <pt idx="61">
                  <v>103677914.7190343</v>
                </pt>
                <pt idx="62">
                  <v>103926914.7190343</v>
                </pt>
                <pt idx="63">
                  <v>104967765.6450343</v>
                </pt>
                <pt idx="64">
                  <v>105219555.2173642</v>
                </pt>
                <pt idx="65">
                  <v>105378900.1673642</v>
                </pt>
                <pt idx="66">
                  <v>106082704.7993642</v>
                </pt>
                <pt idx="67">
                  <v>106244983.6253642</v>
                </pt>
                <pt idx="68">
                  <v>106244983.6253642</v>
                </pt>
              </numCache>
            </numRef>
          </val>
          <smooth val="0"/>
        </ser>
        <ser>
          <idx val="3"/>
          <order val="3"/>
          <tx>
            <strRef>
              <f>'04_TOTALIZADORA (3)'!$J$12:$J$13</f>
              <strCache>
                <ptCount val="2"/>
                <pt idx="0">
                  <v>RECEITA ACUMULADA  INSIGHT</v>
                </pt>
              </strCache>
            </strRef>
          </tx>
          <spPr>
            <a:ln xmlns:a="http://schemas.openxmlformats.org/drawingml/2006/main" w="28575" cap="rnd">
              <a:solidFill>
                <a:schemeClr val="accent1"/>
              </a:solidFill>
              <a:prstDash val="solid"/>
              <a:round/>
            </a:ln>
          </spPr>
          <marker>
            <symbol val="none"/>
            <spPr>
              <a:ln xmlns:a="http://schemas.openxmlformats.org/drawingml/2006/main">
                <a:prstDash val="solid"/>
              </a:ln>
            </spPr>
          </marker>
          <val>
            <numRef>
              <f>'04_TOTALIZADORA (3)'!$J$14:$J$82</f>
              <numCache>
                <formatCode>_(* #,##0.00_);_(* \(#,##0.00\);_(* "-"??_);_(@_)</formatCode>
                <ptCount val="69"/>
                <pt idx="0">
                  <v>0</v>
                </pt>
                <pt idx="1">
                  <v>0</v>
                </pt>
                <pt idx="2">
                  <v>0</v>
                </pt>
                <pt idx="3">
                  <v>0</v>
                </pt>
                <pt idx="4">
                  <v>0</v>
                </pt>
                <pt idx="5">
                  <v>0</v>
                </pt>
                <pt idx="6">
                  <v>0</v>
                </pt>
                <pt idx="7">
                  <v>0</v>
                </pt>
                <pt idx="8">
                  <v>0</v>
                </pt>
                <pt idx="9">
                  <v>0</v>
                </pt>
                <pt idx="10">
                  <v>0</v>
                </pt>
                <pt idx="11">
                  <v>0</v>
                </pt>
                <pt idx="12">
                  <v>0</v>
                </pt>
                <pt idx="13">
                  <v>0</v>
                </pt>
                <pt idx="14">
                  <v>0</v>
                </pt>
                <pt idx="15">
                  <v>412245.1763298608</v>
                </pt>
                <pt idx="16">
                  <v>412245.1763298608</v>
                </pt>
                <pt idx="17">
                  <v>412245.1763298608</v>
                </pt>
                <pt idx="18">
                  <v>853756.6463298609</v>
                </pt>
                <pt idx="19">
                  <v>4446052.260786478</v>
                </pt>
                <pt idx="20">
                  <v>4631728.110786479</v>
                </pt>
                <pt idx="21">
                  <v>7033587.703620228</v>
                </pt>
                <pt idx="22">
                  <v>7859822.273620228</v>
                </pt>
                <pt idx="23">
                  <v>8746312.931120228</v>
                </pt>
                <pt idx="24">
                  <v>9689508.341120228</v>
                </pt>
                <pt idx="25">
                  <v>13886908.92818567</v>
                </pt>
                <pt idx="26">
                  <v>16686979.37818567</v>
                </pt>
                <pt idx="27">
                  <v>27221506.59818567</v>
                </pt>
                <pt idx="28">
                  <v>30742087.97818568</v>
                </pt>
                <pt idx="29">
                  <v>37658407.66818568</v>
                </pt>
                <pt idx="30">
                  <v>42775617.38818568</v>
                </pt>
                <pt idx="31">
                  <v>48489048.05318568</v>
                </pt>
                <pt idx="32">
                  <v>53276276.07818568</v>
                </pt>
                <pt idx="33">
                  <v>65768424.11118568</v>
                </pt>
                <pt idx="34">
                  <v>69701343.23582679</v>
                </pt>
                <pt idx="35">
                  <v>70734233.6658268</v>
                </pt>
                <pt idx="36">
                  <v>74140256.40582679</v>
                </pt>
                <pt idx="37">
                  <v>76833473.6058268</v>
                </pt>
                <pt idx="38">
                  <v>82757958.81234787</v>
                </pt>
                <pt idx="39">
                  <v>84996819.66234787</v>
                </pt>
                <pt idx="40">
                  <v>84996819.66234787</v>
                </pt>
                <pt idx="41">
                  <v>85350788.73234788</v>
                </pt>
                <pt idx="42">
                  <v>85968373.37234788</v>
                </pt>
                <pt idx="43">
                  <v>91821739.72734788</v>
                </pt>
                <pt idx="44">
                  <v>96420709.48234788</v>
                </pt>
                <pt idx="45">
                  <v>107219509.4193479</v>
                </pt>
                <pt idx="46">
                  <v>108741647.3871396</v>
                </pt>
                <pt idx="47">
                  <v>109142633.8046395</v>
                </pt>
                <pt idx="48">
                  <v>112116470.6046396</v>
                </pt>
                <pt idx="49">
                  <v>113673613.7146396</v>
                </pt>
                <pt idx="50">
                  <v>114914085.8646396</v>
                </pt>
                <pt idx="51">
                  <v>118431148.5746396</v>
                </pt>
                <pt idx="52">
                  <v>119226168.0046396</v>
                </pt>
                <pt idx="53">
                  <v>123698716.0821396</v>
                </pt>
                <pt idx="54">
                  <v>128631253.2371396</v>
                </pt>
                <pt idx="55">
                  <v>129610189.5442358</v>
                </pt>
                <pt idx="56">
                  <v>131142652.4742358</v>
                </pt>
                <pt idx="57">
                  <v>132370500.4642358</v>
                </pt>
                <pt idx="58">
                  <v>133415917.6417358</v>
                </pt>
                <pt idx="59">
                  <v>135674433.6017358</v>
                </pt>
                <pt idx="60">
                  <v>140901720.1717358</v>
                </pt>
                <pt idx="61">
                  <v>143306083.0117357</v>
                </pt>
                <pt idx="62">
                  <v>146483385.0392358</v>
                </pt>
                <pt idx="63">
                  <v>147413985.0392358</v>
                </pt>
                <pt idx="64">
                  <v>153799221.6026848</v>
                </pt>
                <pt idx="65">
                  <v>155370775.5259765</v>
                </pt>
                <pt idx="66">
                  <v>157179763.5109766</v>
                </pt>
                <pt idx="67">
                  <v>157357492.7559766</v>
                </pt>
                <pt idx="68">
                  <v>157357492.7559766</v>
                </pt>
              </numCache>
            </numRef>
          </val>
          <smooth val="0"/>
        </ser>
        <dLbls>
          <showLegendKey val="0"/>
          <showVal val="0"/>
          <showCatName val="0"/>
          <showSerName val="0"/>
          <showPercent val="0"/>
          <showBubbleSize val="0"/>
        </dLbls>
        <smooth val="0"/>
        <axId val="1006042335"/>
        <axId val="1006036927"/>
      </lineChart>
      <dateAx>
        <axId val="1006042335"/>
        <scaling>
          <orientation val="minMax"/>
        </scaling>
        <delete val="0"/>
        <axPos val="b"/>
        <numFmt formatCode="mmm\-yy" sourceLinked="1"/>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baseline="0">
                <a:solidFill>
                  <a:schemeClr val="tx1">
                    <a:lumMod val="65000"/>
                    <a:lumOff val="35000"/>
                  </a:schemeClr>
                </a:solidFill>
                <a:latin typeface="+mn-lt"/>
                <a:ea typeface="+mn-ea"/>
                <a:cs typeface="+mn-cs"/>
              </a:defRPr>
            </a:pPr>
            <a:r>
              <a:t/>
            </a:r>
            <a:endParaRPr lang="pt-BR"/>
          </a:p>
        </txPr>
        <crossAx val="1006036927"/>
        <crosses val="autoZero"/>
        <lblOffset val="100"/>
        <baseTimeUnit val="months"/>
      </dateAx>
      <valAx>
        <axId val="1006036927"/>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_(* #,##0_);_(* \(#,##0\);_(* &quot;-&quot;_);_(@_)" sourceLinked="0"/>
        <majorTickMark val="out"/>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baseline="0">
                <a:solidFill>
                  <a:schemeClr val="tx1">
                    <a:lumMod val="65000"/>
                    <a:lumOff val="35000"/>
                  </a:schemeClr>
                </a:solidFill>
                <a:latin typeface="+mn-lt"/>
                <a:ea typeface="+mn-ea"/>
                <a:cs typeface="+mn-cs"/>
              </a:defRPr>
            </a:pPr>
            <a:r>
              <a:t/>
            </a:r>
            <a:endParaRPr lang="pt-BR"/>
          </a:p>
        </txPr>
        <crossAx val="1006042335"/>
        <crosses val="autoZero"/>
        <crossBetween val="between"/>
        <majorUnit val="20000000"/>
        <dispUnits>
          <builtInUnit val="millions"/>
          <dispUnitsLbl>
            <spPr>
              <a:noFill xmlns:a="http://schemas.openxmlformats.org/drawingml/2006/main"/>
              <a:ln xmlns:a="http://schemas.openxmlformats.org/drawingml/2006/main">
                <a:noFill/>
                <a:prstDash val="solid"/>
              </a:ln>
            </spPr>
            <txPr>
              <a:bodyPr xmlns:a="http://schemas.openxmlformats.org/drawingml/2006/main" rot="-5400000" spcFirstLastPara="1" vertOverflow="ellipsis" vert="horz" wrap="square" anchor="ctr" anchorCtr="1"/>
              <a:lstStyle xmlns:a="http://schemas.openxmlformats.org/drawingml/2006/main"/>
              <a:p xmlns:a="http://schemas.openxmlformats.org/drawingml/2006/main">
                <a:pPr>
                  <a:defRPr sz="900" b="0" i="0" strike="noStrike" baseline="0">
                    <a:solidFill>
                      <a:schemeClr val="tx1">
                        <a:lumMod val="65000"/>
                        <a:lumOff val="35000"/>
                      </a:schemeClr>
                    </a:solidFill>
                    <a:latin typeface="+mn-lt"/>
                    <a:ea typeface="+mn-ea"/>
                    <a:cs typeface="+mn-cs"/>
                  </a:defRPr>
                </a:pPr>
                <a:r>
                  <a:t/>
                </a:r>
                <a:endParaRPr lang="pt-BR"/>
              </a:p>
            </txPr>
          </dispUnitsLbl>
        </dispUnits>
      </valAx>
    </plotArea>
    <legend>
      <legendPos val="r"/>
      <layout>
        <manualLayout>
          <xMode val="edge"/>
          <yMode val="edge"/>
          <wMode val="factor"/>
          <hMode val="factor"/>
          <x val="0.07198145064658187"/>
          <y val="0.235638805209523"/>
          <w val="0.1830228733690328"/>
          <h val="0.1404192252352835"/>
        </manualLayout>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baseline="0">
              <a:solidFill>
                <a:schemeClr val="tx1">
                  <a:lumMod val="65000"/>
                  <a:lumOff val="35000"/>
                </a:schemeClr>
              </a:solidFill>
              <a:latin typeface="+mn-lt"/>
              <a:ea typeface="+mn-ea"/>
              <a:cs typeface="+mn-cs"/>
            </a:defRPr>
          </a:pPr>
          <a:r>
            <a:t/>
          </a:r>
          <a:endParaRPr lang="pt-BR"/>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8.xml><?xml version="1.0" encoding="utf-8"?>
<chartSpace xmlns="http://schemas.openxmlformats.org/drawingml/2006/chart">
  <chart>
    <plotArea>
      <layout>
        <manualLayout>
          <layoutTarget val="inner"/>
          <xMode val="edge"/>
          <yMode val="edge"/>
          <wMode val="factor"/>
          <hMode val="factor"/>
          <x val="0.05900583825980926"/>
          <y val="0.008667822421076127"/>
          <w val="0.8594663988514242"/>
          <h val="0.9386696123707743"/>
        </manualLayout>
      </layout>
      <barChart>
        <barDir val="col"/>
        <grouping val="clustered"/>
        <varyColors val="0"/>
        <ser>
          <idx val="0"/>
          <order val="0"/>
          <tx>
            <strRef>
              <f>'04_TOTALIZADORA (3)'!$G$12:$G$13</f>
              <strCache>
                <ptCount val="2"/>
                <pt idx="0">
                  <v>RECEITA MENSAL PREVISTA</v>
                </pt>
              </strCache>
            </strRef>
          </tx>
          <spPr>
            <a:solidFill xmlns:a="http://schemas.openxmlformats.org/drawingml/2006/main">
              <a:schemeClr val="accent1"/>
            </a:solidFill>
            <a:ln xmlns:a="http://schemas.openxmlformats.org/drawingml/2006/main">
              <a:noFill/>
              <a:prstDash val="solid"/>
            </a:ln>
          </spPr>
          <invertIfNegative val="0"/>
          <cat>
            <numRef>
              <f>'04_TOTALIZADORA (3)'!$B$14:$B$82</f>
              <numCache>
                <formatCode>mmm\-yy</formatCode>
                <ptCount val="69"/>
                <pt idx="0">
                  <v>45474</v>
                </pt>
                <pt idx="1">
                  <v>45505</v>
                </pt>
                <pt idx="2">
                  <v>45536</v>
                </pt>
                <pt idx="3">
                  <v>45566</v>
                </pt>
                <pt idx="4">
                  <v>45597</v>
                </pt>
                <pt idx="5">
                  <v>45627</v>
                </pt>
                <pt idx="6">
                  <v>45658</v>
                </pt>
                <pt idx="7">
                  <v>45689</v>
                </pt>
                <pt idx="8">
                  <v>45717</v>
                </pt>
                <pt idx="9">
                  <v>45748</v>
                </pt>
                <pt idx="10">
                  <v>45778</v>
                </pt>
                <pt idx="11">
                  <v>45809</v>
                </pt>
                <pt idx="12">
                  <v>45839</v>
                </pt>
                <pt idx="13">
                  <v>45870</v>
                </pt>
                <pt idx="14">
                  <v>45901</v>
                </pt>
                <pt idx="15">
                  <v>45931</v>
                </pt>
                <pt idx="16">
                  <v>45962</v>
                </pt>
                <pt idx="17">
                  <v>45992</v>
                </pt>
                <pt idx="18">
                  <v>46023</v>
                </pt>
                <pt idx="19">
                  <v>46054</v>
                </pt>
                <pt idx="20">
                  <v>46082</v>
                </pt>
                <pt idx="21">
                  <v>46113</v>
                </pt>
                <pt idx="22">
                  <v>46143</v>
                </pt>
                <pt idx="23">
                  <v>46174</v>
                </pt>
                <pt idx="24">
                  <v>46204</v>
                </pt>
                <pt idx="25">
                  <v>46235</v>
                </pt>
                <pt idx="26">
                  <v>46266</v>
                </pt>
                <pt idx="27">
                  <v>46296</v>
                </pt>
                <pt idx="28">
                  <v>46327</v>
                </pt>
                <pt idx="29">
                  <v>46357</v>
                </pt>
                <pt idx="30">
                  <v>46388</v>
                </pt>
                <pt idx="31">
                  <v>46419</v>
                </pt>
                <pt idx="32">
                  <v>46447</v>
                </pt>
                <pt idx="33">
                  <v>46478</v>
                </pt>
                <pt idx="34">
                  <v>46508</v>
                </pt>
                <pt idx="35">
                  <v>46539</v>
                </pt>
                <pt idx="36">
                  <v>46569</v>
                </pt>
                <pt idx="37">
                  <v>46600</v>
                </pt>
                <pt idx="38">
                  <v>46631</v>
                </pt>
                <pt idx="39">
                  <v>46661</v>
                </pt>
                <pt idx="40">
                  <v>46692</v>
                </pt>
                <pt idx="41">
                  <v>46722</v>
                </pt>
                <pt idx="42">
                  <v>46753</v>
                </pt>
                <pt idx="43">
                  <v>46784</v>
                </pt>
                <pt idx="44">
                  <v>46813</v>
                </pt>
                <pt idx="45">
                  <v>46844</v>
                </pt>
                <pt idx="46">
                  <v>46874</v>
                </pt>
                <pt idx="47">
                  <v>46905</v>
                </pt>
                <pt idx="48">
                  <v>46935</v>
                </pt>
                <pt idx="49">
                  <v>46966</v>
                </pt>
                <pt idx="50">
                  <v>46997</v>
                </pt>
                <pt idx="51">
                  <v>47027</v>
                </pt>
                <pt idx="52">
                  <v>47058</v>
                </pt>
                <pt idx="53">
                  <v>47088</v>
                </pt>
                <pt idx="54">
                  <v>47119</v>
                </pt>
                <pt idx="55">
                  <v>47150</v>
                </pt>
                <pt idx="56">
                  <v>47178</v>
                </pt>
                <pt idx="57">
                  <v>47209</v>
                </pt>
                <pt idx="58">
                  <v>47239</v>
                </pt>
                <pt idx="59">
                  <v>47270</v>
                </pt>
                <pt idx="60">
                  <v>47300</v>
                </pt>
                <pt idx="61">
                  <v>47331</v>
                </pt>
                <pt idx="62">
                  <v>47362</v>
                </pt>
                <pt idx="63">
                  <v>47392</v>
                </pt>
                <pt idx="64">
                  <v>47423</v>
                </pt>
                <pt idx="65">
                  <v>47453</v>
                </pt>
                <pt idx="66">
                  <v>47484</v>
                </pt>
                <pt idx="67">
                  <v>47515</v>
                </pt>
                <pt idx="68">
                  <v>47543</v>
                </pt>
              </numCache>
            </numRef>
          </cat>
          <val>
            <numRef>
              <f>'04_TOTALIZADORA (3)'!$G$14:$G$82</f>
              <numCache>
                <formatCode>_(* #,##0.00_);_(* \(#,##0.00\);_(* "-"??_);_(@_)</formatCode>
                <ptCount val="69"/>
                <pt idx="0">
                  <v>0</v>
                </pt>
                <pt idx="1">
                  <v>0</v>
                </pt>
                <pt idx="2">
                  <v>0</v>
                </pt>
                <pt idx="3">
                  <v>0</v>
                </pt>
                <pt idx="4">
                  <v>0</v>
                </pt>
                <pt idx="5">
                  <v>0</v>
                </pt>
                <pt idx="6">
                  <v>0</v>
                </pt>
                <pt idx="7">
                  <v>0</v>
                </pt>
                <pt idx="8">
                  <v>0</v>
                </pt>
                <pt idx="9">
                  <v>0</v>
                </pt>
                <pt idx="10">
                  <v>0</v>
                </pt>
                <pt idx="11">
                  <v>0</v>
                </pt>
                <pt idx="12">
                  <v>0</v>
                </pt>
                <pt idx="13">
                  <v>0</v>
                </pt>
                <pt idx="14">
                  <v>0</v>
                </pt>
                <pt idx="15">
                  <v>412245.1763298608</v>
                </pt>
                <pt idx="16">
                  <v>0</v>
                </pt>
                <pt idx="17">
                  <v>0</v>
                </pt>
                <pt idx="18">
                  <v>441511.47</v>
                </pt>
                <pt idx="19">
                  <v>3812821.554456618</v>
                </pt>
                <pt idx="20">
                  <v>655154.8299999998</v>
                </pt>
                <pt idx="21">
                  <v>2732612.892833749</v>
                </pt>
                <pt idx="22">
                  <v>1627777.23</v>
                </pt>
                <pt idx="23">
                  <v>1155029.7375</v>
                </pt>
                <pt idx="24">
                  <v>1160023.349319443</v>
                </pt>
                <pt idx="25">
                  <v>4406190.489683495</v>
                </pt>
                <pt idx="26">
                  <v>4942914.62</v>
                </pt>
                <pt idx="27">
                  <v>10534527.22</v>
                </pt>
                <pt idx="28">
                  <v>3520581.38</v>
                </pt>
                <pt idx="29">
                  <v>13020339.2775</v>
                </pt>
                <pt idx="30">
                  <v>14592425.91</v>
                </pt>
                <pt idx="31">
                  <v>7356733.977000001</v>
                </pt>
                <pt idx="32">
                  <v>5450696.557000001</v>
                </pt>
                <pt idx="33">
                  <v>13426486.563</v>
                </pt>
                <pt idx="34">
                  <v>4679233.794641106</v>
                </pt>
                <pt idx="35">
                  <v>1134057.98</v>
                </pt>
                <pt idx="36">
                  <v>3737325.814</v>
                </pt>
                <pt idx="37">
                  <v>2861241.84</v>
                </pt>
                <pt idx="38">
                  <v>8180418.344021075</v>
                </pt>
                <pt idx="39">
                  <v>2261479.41</v>
                </pt>
                <pt idx="40">
                  <v>0</v>
                </pt>
                <pt idx="41">
                  <v>405825.62</v>
                </pt>
                <pt idx="42">
                  <v>2617584.64</v>
                </pt>
                <pt idx="43">
                  <v>6062885.555000001</v>
                </pt>
                <pt idx="44">
                  <v>4898441.314999999</v>
                </pt>
                <pt idx="45">
                  <v>11078799.937</v>
                </pt>
                <pt idx="46">
                  <v>1673829.967791691</v>
                </pt>
                <pt idx="47">
                  <v>452567.6375</v>
                </pt>
                <pt idx="48">
                  <v>2973836.8</v>
                </pt>
                <pt idx="49">
                  <v>1618458.85</v>
                </pt>
                <pt idx="50">
                  <v>1240472.15</v>
                </pt>
                <pt idx="51">
                  <v>5772995.847500001</v>
                </pt>
                <pt idx="52">
                  <v>4795019.43</v>
                </pt>
                <pt idx="53">
                  <v>4721548.077500001</v>
                </pt>
                <pt idx="54">
                  <v>5076342.895</v>
                </pt>
                <pt idx="55">
                  <v>1138281.257096209</v>
                </pt>
                <pt idx="56">
                  <v>1831934.49</v>
                </pt>
                <pt idx="57">
                  <v>1548222.794</v>
                </pt>
                <pt idx="58">
                  <v>1096998.3975</v>
                </pt>
                <pt idx="59">
                  <v>2329835.728</v>
                </pt>
                <pt idx="60">
                  <v>7554539.475500002</v>
                </pt>
                <pt idx="61">
                  <v>2422092.6</v>
                </pt>
                <pt idx="62">
                  <v>3426302.0275</v>
                </pt>
                <pt idx="63">
                  <v>930600.0000000001</v>
                </pt>
                <pt idx="64">
                  <v>6637026.13577893</v>
                </pt>
                <pt idx="65">
                  <v>1730898.873291691</v>
                </pt>
                <pt idx="66">
                  <v>2512792.617</v>
                </pt>
                <pt idx="67">
                  <v>177729.245</v>
                </pt>
                <pt idx="68">
                  <v>0</v>
                </pt>
              </numCache>
            </numRef>
          </val>
        </ser>
        <ser>
          <idx val="1"/>
          <order val="1"/>
          <tx>
            <strRef>
              <f>'04_TOTALIZADORA (3)'!$R$12:$R$13</f>
              <strCache>
                <ptCount val="2"/>
                <pt idx="0">
                  <v>DESEMBOLSO INSIGHT MENSAL  PREVISTO</v>
                </pt>
              </strCache>
            </strRef>
          </tx>
          <spPr>
            <a:solidFill xmlns:a="http://schemas.openxmlformats.org/drawingml/2006/main">
              <a:schemeClr val="accent3"/>
            </a:solidFill>
            <a:ln xmlns:a="http://schemas.openxmlformats.org/drawingml/2006/main">
              <a:noFill/>
              <a:prstDash val="solid"/>
            </a:ln>
          </spPr>
          <invertIfNegative val="0"/>
          <cat>
            <numRef>
              <f>'04_TOTALIZADORA (3)'!$B$14:$B$82</f>
              <numCache>
                <formatCode>mmm\-yy</formatCode>
                <ptCount val="69"/>
                <pt idx="0">
                  <v>45474</v>
                </pt>
                <pt idx="1">
                  <v>45505</v>
                </pt>
                <pt idx="2">
                  <v>45536</v>
                </pt>
                <pt idx="3">
                  <v>45566</v>
                </pt>
                <pt idx="4">
                  <v>45597</v>
                </pt>
                <pt idx="5">
                  <v>45627</v>
                </pt>
                <pt idx="6">
                  <v>45658</v>
                </pt>
                <pt idx="7">
                  <v>45689</v>
                </pt>
                <pt idx="8">
                  <v>45717</v>
                </pt>
                <pt idx="9">
                  <v>45748</v>
                </pt>
                <pt idx="10">
                  <v>45778</v>
                </pt>
                <pt idx="11">
                  <v>45809</v>
                </pt>
                <pt idx="12">
                  <v>45839</v>
                </pt>
                <pt idx="13">
                  <v>45870</v>
                </pt>
                <pt idx="14">
                  <v>45901</v>
                </pt>
                <pt idx="15">
                  <v>45931</v>
                </pt>
                <pt idx="16">
                  <v>45962</v>
                </pt>
                <pt idx="17">
                  <v>45992</v>
                </pt>
                <pt idx="18">
                  <v>46023</v>
                </pt>
                <pt idx="19">
                  <v>46054</v>
                </pt>
                <pt idx="20">
                  <v>46082</v>
                </pt>
                <pt idx="21">
                  <v>46113</v>
                </pt>
                <pt idx="22">
                  <v>46143</v>
                </pt>
                <pt idx="23">
                  <v>46174</v>
                </pt>
                <pt idx="24">
                  <v>46204</v>
                </pt>
                <pt idx="25">
                  <v>46235</v>
                </pt>
                <pt idx="26">
                  <v>46266</v>
                </pt>
                <pt idx="27">
                  <v>46296</v>
                </pt>
                <pt idx="28">
                  <v>46327</v>
                </pt>
                <pt idx="29">
                  <v>46357</v>
                </pt>
                <pt idx="30">
                  <v>46388</v>
                </pt>
                <pt idx="31">
                  <v>46419</v>
                </pt>
                <pt idx="32">
                  <v>46447</v>
                </pt>
                <pt idx="33">
                  <v>46478</v>
                </pt>
                <pt idx="34">
                  <v>46508</v>
                </pt>
                <pt idx="35">
                  <v>46539</v>
                </pt>
                <pt idx="36">
                  <v>46569</v>
                </pt>
                <pt idx="37">
                  <v>46600</v>
                </pt>
                <pt idx="38">
                  <v>46631</v>
                </pt>
                <pt idx="39">
                  <v>46661</v>
                </pt>
                <pt idx="40">
                  <v>46692</v>
                </pt>
                <pt idx="41">
                  <v>46722</v>
                </pt>
                <pt idx="42">
                  <v>46753</v>
                </pt>
                <pt idx="43">
                  <v>46784</v>
                </pt>
                <pt idx="44">
                  <v>46813</v>
                </pt>
                <pt idx="45">
                  <v>46844</v>
                </pt>
                <pt idx="46">
                  <v>46874</v>
                </pt>
                <pt idx="47">
                  <v>46905</v>
                </pt>
                <pt idx="48">
                  <v>46935</v>
                </pt>
                <pt idx="49">
                  <v>46966</v>
                </pt>
                <pt idx="50">
                  <v>46997</v>
                </pt>
                <pt idx="51">
                  <v>47027</v>
                </pt>
                <pt idx="52">
                  <v>47058</v>
                </pt>
                <pt idx="53">
                  <v>47088</v>
                </pt>
                <pt idx="54">
                  <v>47119</v>
                </pt>
                <pt idx="55">
                  <v>47150</v>
                </pt>
                <pt idx="56">
                  <v>47178</v>
                </pt>
                <pt idx="57">
                  <v>47209</v>
                </pt>
                <pt idx="58">
                  <v>47239</v>
                </pt>
                <pt idx="59">
                  <v>47270</v>
                </pt>
                <pt idx="60">
                  <v>47300</v>
                </pt>
                <pt idx="61">
                  <v>47331</v>
                </pt>
                <pt idx="62">
                  <v>47362</v>
                </pt>
                <pt idx="63">
                  <v>47392</v>
                </pt>
                <pt idx="64">
                  <v>47423</v>
                </pt>
                <pt idx="65">
                  <v>47453</v>
                </pt>
                <pt idx="66">
                  <v>47484</v>
                </pt>
                <pt idx="67">
                  <v>47515</v>
                </pt>
                <pt idx="68">
                  <v>47543</v>
                </pt>
              </numCache>
            </numRef>
          </cat>
          <val>
            <numRef>
              <f>'04_TOTALIZADORA (3)'!$R$14:$R$82</f>
              <numCache>
                <formatCode>_(* #,##0.00_);_(* \(#,##0.00\);_(* "-"??_);_(@_)</formatCode>
                <ptCount val="69"/>
                <pt idx="0">
                  <v>100000</v>
                </pt>
                <pt idx="1">
                  <v>100000</v>
                </pt>
                <pt idx="2">
                  <v>100000</v>
                </pt>
                <pt idx="3">
                  <v>100000</v>
                </pt>
                <pt idx="4">
                  <v>100000</v>
                </pt>
                <pt idx="5">
                  <v>100000</v>
                </pt>
                <pt idx="6">
                  <v>100000</v>
                </pt>
                <pt idx="7">
                  <v>100000</v>
                </pt>
                <pt idx="8">
                  <v>100000</v>
                </pt>
                <pt idx="9">
                  <v>100000</v>
                </pt>
                <pt idx="10">
                  <v>100000</v>
                </pt>
                <pt idx="11">
                  <v>100000</v>
                </pt>
                <pt idx="12">
                  <v>100000</v>
                </pt>
                <pt idx="13">
                  <v>100000</v>
                </pt>
                <pt idx="14">
                  <v>157924.445</v>
                </pt>
                <pt idx="15">
                  <v>100000</v>
                </pt>
                <pt idx="16">
                  <v>140000</v>
                </pt>
                <pt idx="17">
                  <v>5501436.85</v>
                </pt>
                <pt idx="18">
                  <v>1806646.55</v>
                </pt>
                <pt idx="19">
                  <v>1800000</v>
                </pt>
                <pt idx="20">
                  <v>6251716.141000001</v>
                </pt>
                <pt idx="21">
                  <v>340000</v>
                </pt>
                <pt idx="22">
                  <v>295816.17</v>
                </pt>
                <pt idx="23">
                  <v>1971731.644</v>
                </pt>
                <pt idx="24">
                  <v>2475450.39</v>
                </pt>
                <pt idx="25">
                  <v>367326.544</v>
                </pt>
                <pt idx="26">
                  <v>500000</v>
                </pt>
                <pt idx="27">
                  <v>1540145.154</v>
                </pt>
                <pt idx="28">
                  <v>4389595.250096774</v>
                </pt>
                <pt idx="29">
                  <v>500806.775</v>
                </pt>
                <pt idx="30">
                  <v>3460866.39375</v>
                </pt>
                <pt idx="31">
                  <v>286098.676</v>
                </pt>
                <pt idx="32">
                  <v>2155686.672</v>
                </pt>
                <pt idx="33">
                  <v>1501805.312</v>
                </pt>
                <pt idx="34">
                  <v>451183.39</v>
                </pt>
                <pt idx="35">
                  <v>2851959.76</v>
                </pt>
                <pt idx="36">
                  <v>1591961.526</v>
                </pt>
                <pt idx="37">
                  <v>1258454.51</v>
                </pt>
                <pt idx="38">
                  <v>2437855.27</v>
                </pt>
                <pt idx="39">
                  <v>1265680</v>
                </pt>
                <pt idx="40">
                  <v>1922713.75</v>
                </pt>
                <pt idx="41">
                  <v>578452.5</v>
                </pt>
                <pt idx="42">
                  <v>446098.676</v>
                </pt>
                <pt idx="43">
                  <v>3460866.39375</v>
                </pt>
                <pt idx="44">
                  <v>268000</v>
                </pt>
                <pt idx="45">
                  <v>100000</v>
                </pt>
                <pt idx="46">
                  <v>100000</v>
                </pt>
                <pt idx="47">
                  <v>348000</v>
                </pt>
                <pt idx="48">
                  <v>1529049.758</v>
                </pt>
                <pt idx="49">
                  <v>2011680</v>
                </pt>
                <pt idx="50">
                  <v>4053970.13375</v>
                </pt>
                <pt idx="51">
                  <v>558452.5</v>
                </pt>
                <pt idx="52">
                  <v>500000</v>
                </pt>
                <pt idx="53">
                  <v>324287.121</v>
                </pt>
                <pt idx="54">
                  <v>404311.535</v>
                </pt>
                <pt idx="55">
                  <v>100000</v>
                </pt>
                <pt idx="56">
                  <v>180000</v>
                </pt>
                <pt idx="57">
                  <v>3306398.88375</v>
                </pt>
                <pt idx="58">
                  <v>1447504.268</v>
                </pt>
                <pt idx="59">
                  <v>472726.36</v>
                </pt>
                <pt idx="60">
                  <v>500000</v>
                </pt>
                <pt idx="61">
                  <v>258995.547</v>
                </pt>
                <pt idx="62">
                  <v>100000</v>
                </pt>
                <pt idx="63">
                  <v>1140850.926</v>
                </pt>
                <pt idx="64">
                  <v>100000</v>
                </pt>
                <pt idx="65">
                  <v>100000</v>
                </pt>
                <pt idx="66">
                  <v>100000</v>
                </pt>
                <pt idx="67">
                  <v>262278.826</v>
                </pt>
                <pt idx="68">
                  <v>100000</v>
                </pt>
              </numCache>
            </numRef>
          </val>
        </ser>
        <ser>
          <idx val="2"/>
          <order val="2"/>
          <tx>
            <strRef>
              <f>'04_TOTALIZADORA (3)'!$S$12:$S$13</f>
              <strCache>
                <ptCount val="2"/>
                <pt idx="0">
                  <v>FAT. DIRETO MENSAL PREVISTO</v>
                </pt>
              </strCache>
            </strRef>
          </tx>
          <spPr>
            <a:solidFill xmlns:a="http://schemas.openxmlformats.org/drawingml/2006/main">
              <a:schemeClr val="accent5"/>
            </a:solidFill>
            <a:ln xmlns:a="http://schemas.openxmlformats.org/drawingml/2006/main">
              <a:noFill/>
              <a:prstDash val="solid"/>
            </a:ln>
          </spPr>
          <invertIfNegative val="0"/>
          <cat>
            <numRef>
              <f>'04_TOTALIZADORA (3)'!$B$14:$B$82</f>
              <numCache>
                <formatCode>mmm\-yy</formatCode>
                <ptCount val="69"/>
                <pt idx="0">
                  <v>45474</v>
                </pt>
                <pt idx="1">
                  <v>45505</v>
                </pt>
                <pt idx="2">
                  <v>45536</v>
                </pt>
                <pt idx="3">
                  <v>45566</v>
                </pt>
                <pt idx="4">
                  <v>45597</v>
                </pt>
                <pt idx="5">
                  <v>45627</v>
                </pt>
                <pt idx="6">
                  <v>45658</v>
                </pt>
                <pt idx="7">
                  <v>45689</v>
                </pt>
                <pt idx="8">
                  <v>45717</v>
                </pt>
                <pt idx="9">
                  <v>45748</v>
                </pt>
                <pt idx="10">
                  <v>45778</v>
                </pt>
                <pt idx="11">
                  <v>45809</v>
                </pt>
                <pt idx="12">
                  <v>45839</v>
                </pt>
                <pt idx="13">
                  <v>45870</v>
                </pt>
                <pt idx="14">
                  <v>45901</v>
                </pt>
                <pt idx="15">
                  <v>45931</v>
                </pt>
                <pt idx="16">
                  <v>45962</v>
                </pt>
                <pt idx="17">
                  <v>45992</v>
                </pt>
                <pt idx="18">
                  <v>46023</v>
                </pt>
                <pt idx="19">
                  <v>46054</v>
                </pt>
                <pt idx="20">
                  <v>46082</v>
                </pt>
                <pt idx="21">
                  <v>46113</v>
                </pt>
                <pt idx="22">
                  <v>46143</v>
                </pt>
                <pt idx="23">
                  <v>46174</v>
                </pt>
                <pt idx="24">
                  <v>46204</v>
                </pt>
                <pt idx="25">
                  <v>46235</v>
                </pt>
                <pt idx="26">
                  <v>46266</v>
                </pt>
                <pt idx="27">
                  <v>46296</v>
                </pt>
                <pt idx="28">
                  <v>46327</v>
                </pt>
                <pt idx="29">
                  <v>46357</v>
                </pt>
                <pt idx="30">
                  <v>46388</v>
                </pt>
                <pt idx="31">
                  <v>46419</v>
                </pt>
                <pt idx="32">
                  <v>46447</v>
                </pt>
                <pt idx="33">
                  <v>46478</v>
                </pt>
                <pt idx="34">
                  <v>46508</v>
                </pt>
                <pt idx="35">
                  <v>46539</v>
                </pt>
                <pt idx="36">
                  <v>46569</v>
                </pt>
                <pt idx="37">
                  <v>46600</v>
                </pt>
                <pt idx="38">
                  <v>46631</v>
                </pt>
                <pt idx="39">
                  <v>46661</v>
                </pt>
                <pt idx="40">
                  <v>46692</v>
                </pt>
                <pt idx="41">
                  <v>46722</v>
                </pt>
                <pt idx="42">
                  <v>46753</v>
                </pt>
                <pt idx="43">
                  <v>46784</v>
                </pt>
                <pt idx="44">
                  <v>46813</v>
                </pt>
                <pt idx="45">
                  <v>46844</v>
                </pt>
                <pt idx="46">
                  <v>46874</v>
                </pt>
                <pt idx="47">
                  <v>46905</v>
                </pt>
                <pt idx="48">
                  <v>46935</v>
                </pt>
                <pt idx="49">
                  <v>46966</v>
                </pt>
                <pt idx="50">
                  <v>46997</v>
                </pt>
                <pt idx="51">
                  <v>47027</v>
                </pt>
                <pt idx="52">
                  <v>47058</v>
                </pt>
                <pt idx="53">
                  <v>47088</v>
                </pt>
                <pt idx="54">
                  <v>47119</v>
                </pt>
                <pt idx="55">
                  <v>47150</v>
                </pt>
                <pt idx="56">
                  <v>47178</v>
                </pt>
                <pt idx="57">
                  <v>47209</v>
                </pt>
                <pt idx="58">
                  <v>47239</v>
                </pt>
                <pt idx="59">
                  <v>47270</v>
                </pt>
                <pt idx="60">
                  <v>47300</v>
                </pt>
                <pt idx="61">
                  <v>47331</v>
                </pt>
                <pt idx="62">
                  <v>47362</v>
                </pt>
                <pt idx="63">
                  <v>47392</v>
                </pt>
                <pt idx="64">
                  <v>47423</v>
                </pt>
                <pt idx="65">
                  <v>47453</v>
                </pt>
                <pt idx="66">
                  <v>47484</v>
                </pt>
                <pt idx="67">
                  <v>47515</v>
                </pt>
                <pt idx="68">
                  <v>47543</v>
                </pt>
              </numCache>
            </numRef>
          </cat>
          <val>
            <numRef>
              <f>'04_TOTALIZADORA (3)'!$S$14:$S$82</f>
              <numCache>
                <formatCode>_(* #,##0.00_);_(* \(#,##0.00\);_(* "-"??_);_(@_)</formatCode>
                <ptCount val="69"/>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220525.94</v>
                </pt>
                <pt idx="20">
                  <v>469478.98</v>
                </pt>
                <pt idx="21">
                  <v>330753.3</v>
                </pt>
                <pt idx="22">
                  <v>801542.66</v>
                </pt>
                <pt idx="23">
                  <v>268539.08</v>
                </pt>
                <pt idx="24">
                  <v>216827.9393194433</v>
                </pt>
                <pt idx="25">
                  <v>208789.9026180516</v>
                </pt>
                <pt idx="26">
                  <v>2142844.17</v>
                </pt>
                <pt idx="27">
                  <v>0</v>
                </pt>
                <pt idx="28">
                  <v>0</v>
                </pt>
                <pt idx="29">
                  <v>6104019.5875</v>
                </pt>
                <pt idx="30">
                  <v>9475216.190000001</v>
                </pt>
                <pt idx="31">
                  <v>1643303.312</v>
                </pt>
                <pt idx="32">
                  <v>663468.532</v>
                </pt>
                <pt idx="33">
                  <v>934338.53</v>
                </pt>
                <pt idx="34">
                  <v>746314.6699999999</v>
                </pt>
                <pt idx="35">
                  <v>101167.55</v>
                </pt>
                <pt idx="36">
                  <v>331303.0740000001</v>
                </pt>
                <pt idx="37">
                  <v>168024.64</v>
                </pt>
                <pt idx="38">
                  <v>2255933.1375</v>
                </pt>
                <pt idx="39">
                  <v>22618.56</v>
                </pt>
                <pt idx="40">
                  <v>0</v>
                </pt>
                <pt idx="41">
                  <v>51856.55</v>
                </pt>
                <pt idx="42">
                  <v>2000000</v>
                </pt>
                <pt idx="43">
                  <v>209519.2</v>
                </pt>
                <pt idx="44">
                  <v>299471.56</v>
                </pt>
                <pt idx="45">
                  <v>280000</v>
                </pt>
                <pt idx="46">
                  <v>151692</v>
                </pt>
                <pt idx="47">
                  <v>51581.22</v>
                </pt>
                <pt idx="48">
                  <v>0</v>
                </pt>
                <pt idx="49">
                  <v>61315.74</v>
                </pt>
                <pt idx="50">
                  <v>0</v>
                </pt>
                <pt idx="51">
                  <v>2255933.1375</v>
                </pt>
                <pt idx="52">
                  <v>4000000</v>
                </pt>
                <pt idx="53">
                  <v>249000</v>
                </pt>
                <pt idx="54">
                  <v>143805.74</v>
                </pt>
                <pt idx="55">
                  <v>159344.95</v>
                </pt>
                <pt idx="56">
                  <v>299471.56</v>
                </pt>
                <pt idx="57">
                  <v>320374.8040000001</v>
                </pt>
                <pt idx="58">
                  <v>51581.22</v>
                </pt>
                <pt idx="59">
                  <v>71319.76800000001</v>
                </pt>
                <pt idx="60">
                  <v>2327252.9055</v>
                </pt>
                <pt idx="61">
                  <v>17729.76</v>
                </pt>
                <pt idx="62">
                  <v>249000</v>
                </pt>
                <pt idx="63">
                  <v>0</v>
                </pt>
                <pt idx="64">
                  <v>251789.5723298608</v>
                </pt>
                <pt idx="65">
                  <v>159344.95</v>
                </pt>
                <pt idx="66">
                  <v>703804.6320000001</v>
                </pt>
                <pt idx="67">
                  <v>0</v>
                </pt>
                <pt idx="68">
                  <v>0</v>
                </pt>
              </numCache>
            </numRef>
          </val>
        </ser>
        <dLbls>
          <showLegendKey val="0"/>
          <showVal val="0"/>
          <showCatName val="0"/>
          <showSerName val="0"/>
          <showPercent val="0"/>
          <showBubbleSize val="0"/>
        </dLbls>
        <gapWidth val="150"/>
        <axId val="1006042335"/>
        <axId val="1006036927"/>
      </barChart>
      <lineChart>
        <grouping val="standard"/>
        <varyColors val="0"/>
        <ser>
          <idx val="3"/>
          <order val="0"/>
          <tx>
            <strRef>
              <f>'04_TOTALIZADORA (3)'!$H$12</f>
              <strCache>
                <ptCount val="1"/>
                <pt idx="0">
                  <v>RECEITA TOTAL PREVISTA</v>
                </pt>
              </strCache>
            </strRef>
          </tx>
          <spPr>
            <a:ln xmlns:a="http://schemas.openxmlformats.org/drawingml/2006/main" w="28575" cap="rnd">
              <a:solidFill>
                <a:schemeClr val="accent2"/>
              </a:solidFill>
              <a:prstDash val="solid"/>
              <a:round/>
            </a:ln>
          </spPr>
          <marker>
            <symbol val="none"/>
            <spPr>
              <a:ln xmlns:a="http://schemas.openxmlformats.org/drawingml/2006/main">
                <a:prstDash val="solid"/>
              </a:ln>
            </spPr>
          </marker>
          <cat>
            <numRef>
              <f>'04_TOTALIZADORA (3)'!$B$14:$B$82</f>
              <numCache>
                <formatCode>mmm\-yy</formatCode>
                <ptCount val="69"/>
                <pt idx="0">
                  <v>45474</v>
                </pt>
                <pt idx="1">
                  <v>45505</v>
                </pt>
                <pt idx="2">
                  <v>45536</v>
                </pt>
                <pt idx="3">
                  <v>45566</v>
                </pt>
                <pt idx="4">
                  <v>45597</v>
                </pt>
                <pt idx="5">
                  <v>45627</v>
                </pt>
                <pt idx="6">
                  <v>45658</v>
                </pt>
                <pt idx="7">
                  <v>45689</v>
                </pt>
                <pt idx="8">
                  <v>45717</v>
                </pt>
                <pt idx="9">
                  <v>45748</v>
                </pt>
                <pt idx="10">
                  <v>45778</v>
                </pt>
                <pt idx="11">
                  <v>45809</v>
                </pt>
                <pt idx="12">
                  <v>45839</v>
                </pt>
                <pt idx="13">
                  <v>45870</v>
                </pt>
                <pt idx="14">
                  <v>45901</v>
                </pt>
                <pt idx="15">
                  <v>45931</v>
                </pt>
                <pt idx="16">
                  <v>45962</v>
                </pt>
                <pt idx="17">
                  <v>45992</v>
                </pt>
                <pt idx="18">
                  <v>46023</v>
                </pt>
                <pt idx="19">
                  <v>46054</v>
                </pt>
                <pt idx="20">
                  <v>46082</v>
                </pt>
                <pt idx="21">
                  <v>46113</v>
                </pt>
                <pt idx="22">
                  <v>46143</v>
                </pt>
                <pt idx="23">
                  <v>46174</v>
                </pt>
                <pt idx="24">
                  <v>46204</v>
                </pt>
                <pt idx="25">
                  <v>46235</v>
                </pt>
                <pt idx="26">
                  <v>46266</v>
                </pt>
                <pt idx="27">
                  <v>46296</v>
                </pt>
                <pt idx="28">
                  <v>46327</v>
                </pt>
                <pt idx="29">
                  <v>46357</v>
                </pt>
                <pt idx="30">
                  <v>46388</v>
                </pt>
                <pt idx="31">
                  <v>46419</v>
                </pt>
                <pt idx="32">
                  <v>46447</v>
                </pt>
                <pt idx="33">
                  <v>46478</v>
                </pt>
                <pt idx="34">
                  <v>46508</v>
                </pt>
                <pt idx="35">
                  <v>46539</v>
                </pt>
                <pt idx="36">
                  <v>46569</v>
                </pt>
                <pt idx="37">
                  <v>46600</v>
                </pt>
                <pt idx="38">
                  <v>46631</v>
                </pt>
                <pt idx="39">
                  <v>46661</v>
                </pt>
                <pt idx="40">
                  <v>46692</v>
                </pt>
                <pt idx="41">
                  <v>46722</v>
                </pt>
                <pt idx="42">
                  <v>46753</v>
                </pt>
                <pt idx="43">
                  <v>46784</v>
                </pt>
                <pt idx="44">
                  <v>46813</v>
                </pt>
                <pt idx="45">
                  <v>46844</v>
                </pt>
                <pt idx="46">
                  <v>46874</v>
                </pt>
                <pt idx="47">
                  <v>46905</v>
                </pt>
                <pt idx="48">
                  <v>46935</v>
                </pt>
                <pt idx="49">
                  <v>46966</v>
                </pt>
                <pt idx="50">
                  <v>46997</v>
                </pt>
                <pt idx="51">
                  <v>47027</v>
                </pt>
                <pt idx="52">
                  <v>47058</v>
                </pt>
                <pt idx="53">
                  <v>47088</v>
                </pt>
                <pt idx="54">
                  <v>47119</v>
                </pt>
                <pt idx="55">
                  <v>47150</v>
                </pt>
                <pt idx="56">
                  <v>47178</v>
                </pt>
                <pt idx="57">
                  <v>47209</v>
                </pt>
                <pt idx="58">
                  <v>47239</v>
                </pt>
                <pt idx="59">
                  <v>47270</v>
                </pt>
                <pt idx="60">
                  <v>47300</v>
                </pt>
                <pt idx="61">
                  <v>47331</v>
                </pt>
                <pt idx="62">
                  <v>47362</v>
                </pt>
                <pt idx="63">
                  <v>47392</v>
                </pt>
                <pt idx="64">
                  <v>47423</v>
                </pt>
                <pt idx="65">
                  <v>47453</v>
                </pt>
                <pt idx="66">
                  <v>47484</v>
                </pt>
                <pt idx="67">
                  <v>47515</v>
                </pt>
                <pt idx="68">
                  <v>47543</v>
                </pt>
              </numCache>
            </numRef>
          </cat>
          <val>
            <numRef>
              <f>'04_TOTALIZADORA (3)'!$H$14:$H$82</f>
              <numCache>
                <formatCode>_(* #,##0.00_);_(* \(#,##0.00\);_(* "-"??_);_(@_)</formatCode>
                <ptCount val="69"/>
                <pt idx="0">
                  <v>0</v>
                </pt>
                <pt idx="1">
                  <v>0</v>
                </pt>
                <pt idx="2">
                  <v>0</v>
                </pt>
                <pt idx="3">
                  <v>0</v>
                </pt>
                <pt idx="4">
                  <v>0</v>
                </pt>
                <pt idx="5">
                  <v>0</v>
                </pt>
                <pt idx="6">
                  <v>0</v>
                </pt>
                <pt idx="7">
                  <v>0</v>
                </pt>
                <pt idx="8">
                  <v>0</v>
                </pt>
                <pt idx="9">
                  <v>0</v>
                </pt>
                <pt idx="10">
                  <v>0</v>
                </pt>
                <pt idx="11">
                  <v>0</v>
                </pt>
                <pt idx="12">
                  <v>0</v>
                </pt>
                <pt idx="13">
                  <v>0</v>
                </pt>
                <pt idx="14">
                  <v>0</v>
                </pt>
                <pt idx="15">
                  <v>412245.1763298608</v>
                </pt>
                <pt idx="16">
                  <v>412245.1763298608</v>
                </pt>
                <pt idx="17">
                  <v>412245.1763298608</v>
                </pt>
                <pt idx="18">
                  <v>853756.6463298609</v>
                </pt>
                <pt idx="19">
                  <v>4666578.200786479</v>
                </pt>
                <pt idx="20">
                  <v>5321733.030786479</v>
                </pt>
                <pt idx="21">
                  <v>8054345.923620228</v>
                </pt>
                <pt idx="22">
                  <v>9682123.153620228</v>
                </pt>
                <pt idx="23">
                  <v>10837152.89112023</v>
                </pt>
                <pt idx="24">
                  <v>11997176.24043967</v>
                </pt>
                <pt idx="25">
                  <v>16403366.73012317</v>
                </pt>
                <pt idx="26">
                  <v>21346281.35012317</v>
                </pt>
                <pt idx="27">
                  <v>31880808.57012317</v>
                </pt>
                <pt idx="28">
                  <v>35401389.95012317</v>
                </pt>
                <pt idx="29">
                  <v>48421729.22762317</v>
                </pt>
                <pt idx="30">
                  <v>63014155.13762318</v>
                </pt>
                <pt idx="31">
                  <v>70370889.11462317</v>
                </pt>
                <pt idx="32">
                  <v>75821585.67162317</v>
                </pt>
                <pt idx="33">
                  <v>89248072.23462318</v>
                </pt>
                <pt idx="34">
                  <v>93927306.02926429</v>
                </pt>
                <pt idx="35">
                  <v>95061364.00926429</v>
                </pt>
                <pt idx="36">
                  <v>98798689.82326429</v>
                </pt>
                <pt idx="37">
                  <v>101659931.6632643</v>
                </pt>
                <pt idx="38">
                  <v>109840350.0072854</v>
                </pt>
                <pt idx="39">
                  <v>112101829.4172854</v>
                </pt>
                <pt idx="40">
                  <v>112101829.4172854</v>
                </pt>
                <pt idx="41">
                  <v>112507655.0372854</v>
                </pt>
                <pt idx="42">
                  <v>115125239.6772854</v>
                </pt>
                <pt idx="43">
                  <v>121188125.2322854</v>
                </pt>
                <pt idx="44">
                  <v>126086566.5472854</v>
                </pt>
                <pt idx="45">
                  <v>137165366.4842854</v>
                </pt>
                <pt idx="46">
                  <v>138839196.4520771</v>
                </pt>
                <pt idx="47">
                  <v>139291764.089577</v>
                </pt>
                <pt idx="48">
                  <v>142265600.8895771</v>
                </pt>
                <pt idx="49">
                  <v>143884059.7395771</v>
                </pt>
                <pt idx="50">
                  <v>145124531.8895771</v>
                </pt>
                <pt idx="51">
                  <v>150897527.7370771</v>
                </pt>
                <pt idx="52">
                  <v>155692547.1670771</v>
                </pt>
                <pt idx="53">
                  <v>160414095.2445771</v>
                </pt>
                <pt idx="54">
                  <v>165490438.1395771</v>
                </pt>
                <pt idx="55">
                  <v>166628719.3966733</v>
                </pt>
                <pt idx="56">
                  <v>168460653.8866733</v>
                </pt>
                <pt idx="57">
                  <v>170008876.6806733</v>
                </pt>
                <pt idx="58">
                  <v>171105875.0781733</v>
                </pt>
                <pt idx="59">
                  <v>173435710.8061733</v>
                </pt>
                <pt idx="60">
                  <v>180990250.2816733</v>
                </pt>
                <pt idx="61">
                  <v>183412342.8816732</v>
                </pt>
                <pt idx="62">
                  <v>186838644.9091733</v>
                </pt>
                <pt idx="63">
                  <v>187769244.9091733</v>
                </pt>
                <pt idx="64">
                  <v>194406271.0449522</v>
                </pt>
                <pt idx="65">
                  <v>196137169.9182439</v>
                </pt>
                <pt idx="66">
                  <v>198649962.5352439</v>
                </pt>
                <pt idx="67">
                  <v>198827691.7802439</v>
                </pt>
                <pt idx="68">
                  <v>198827691.7802439</v>
                </pt>
              </numCache>
            </numRef>
          </val>
          <smooth val="0"/>
        </ser>
        <ser>
          <idx val="4"/>
          <order val="1"/>
          <tx>
            <strRef>
              <f>'04_TOTALIZADORA (3)'!$T$12:$T$13</f>
              <strCache>
                <ptCount val="2"/>
                <pt idx="0">
                  <v>FAT. DIRETO ACUMULADO PREVISTO</v>
                </pt>
              </strCache>
            </strRef>
          </tx>
          <spPr>
            <a:ln xmlns:a="http://schemas.openxmlformats.org/drawingml/2006/main" w="28575" cap="rnd">
              <a:solidFill>
                <a:schemeClr val="accent4"/>
              </a:solidFill>
              <a:prstDash val="solid"/>
              <a:round/>
            </a:ln>
          </spPr>
          <marker>
            <symbol val="none"/>
            <spPr>
              <a:ln xmlns:a="http://schemas.openxmlformats.org/drawingml/2006/main">
                <a:prstDash val="solid"/>
              </a:ln>
            </spPr>
          </marker>
          <cat>
            <numRef>
              <f>'04_TOTALIZADORA (3)'!$B$14:$B$82</f>
              <numCache>
                <formatCode>mmm\-yy</formatCode>
                <ptCount val="69"/>
                <pt idx="0">
                  <v>45474</v>
                </pt>
                <pt idx="1">
                  <v>45505</v>
                </pt>
                <pt idx="2">
                  <v>45536</v>
                </pt>
                <pt idx="3">
                  <v>45566</v>
                </pt>
                <pt idx="4">
                  <v>45597</v>
                </pt>
                <pt idx="5">
                  <v>45627</v>
                </pt>
                <pt idx="6">
                  <v>45658</v>
                </pt>
                <pt idx="7">
                  <v>45689</v>
                </pt>
                <pt idx="8">
                  <v>45717</v>
                </pt>
                <pt idx="9">
                  <v>45748</v>
                </pt>
                <pt idx="10">
                  <v>45778</v>
                </pt>
                <pt idx="11">
                  <v>45809</v>
                </pt>
                <pt idx="12">
                  <v>45839</v>
                </pt>
                <pt idx="13">
                  <v>45870</v>
                </pt>
                <pt idx="14">
                  <v>45901</v>
                </pt>
                <pt idx="15">
                  <v>45931</v>
                </pt>
                <pt idx="16">
                  <v>45962</v>
                </pt>
                <pt idx="17">
                  <v>45992</v>
                </pt>
                <pt idx="18">
                  <v>46023</v>
                </pt>
                <pt idx="19">
                  <v>46054</v>
                </pt>
                <pt idx="20">
                  <v>46082</v>
                </pt>
                <pt idx="21">
                  <v>46113</v>
                </pt>
                <pt idx="22">
                  <v>46143</v>
                </pt>
                <pt idx="23">
                  <v>46174</v>
                </pt>
                <pt idx="24">
                  <v>46204</v>
                </pt>
                <pt idx="25">
                  <v>46235</v>
                </pt>
                <pt idx="26">
                  <v>46266</v>
                </pt>
                <pt idx="27">
                  <v>46296</v>
                </pt>
                <pt idx="28">
                  <v>46327</v>
                </pt>
                <pt idx="29">
                  <v>46357</v>
                </pt>
                <pt idx="30">
                  <v>46388</v>
                </pt>
                <pt idx="31">
                  <v>46419</v>
                </pt>
                <pt idx="32">
                  <v>46447</v>
                </pt>
                <pt idx="33">
                  <v>46478</v>
                </pt>
                <pt idx="34">
                  <v>46508</v>
                </pt>
                <pt idx="35">
                  <v>46539</v>
                </pt>
                <pt idx="36">
                  <v>46569</v>
                </pt>
                <pt idx="37">
                  <v>46600</v>
                </pt>
                <pt idx="38">
                  <v>46631</v>
                </pt>
                <pt idx="39">
                  <v>46661</v>
                </pt>
                <pt idx="40">
                  <v>46692</v>
                </pt>
                <pt idx="41">
                  <v>46722</v>
                </pt>
                <pt idx="42">
                  <v>46753</v>
                </pt>
                <pt idx="43">
                  <v>46784</v>
                </pt>
                <pt idx="44">
                  <v>46813</v>
                </pt>
                <pt idx="45">
                  <v>46844</v>
                </pt>
                <pt idx="46">
                  <v>46874</v>
                </pt>
                <pt idx="47">
                  <v>46905</v>
                </pt>
                <pt idx="48">
                  <v>46935</v>
                </pt>
                <pt idx="49">
                  <v>46966</v>
                </pt>
                <pt idx="50">
                  <v>46997</v>
                </pt>
                <pt idx="51">
                  <v>47027</v>
                </pt>
                <pt idx="52">
                  <v>47058</v>
                </pt>
                <pt idx="53">
                  <v>47088</v>
                </pt>
                <pt idx="54">
                  <v>47119</v>
                </pt>
                <pt idx="55">
                  <v>47150</v>
                </pt>
                <pt idx="56">
                  <v>47178</v>
                </pt>
                <pt idx="57">
                  <v>47209</v>
                </pt>
                <pt idx="58">
                  <v>47239</v>
                </pt>
                <pt idx="59">
                  <v>47270</v>
                </pt>
                <pt idx="60">
                  <v>47300</v>
                </pt>
                <pt idx="61">
                  <v>47331</v>
                </pt>
                <pt idx="62">
                  <v>47362</v>
                </pt>
                <pt idx="63">
                  <v>47392</v>
                </pt>
                <pt idx="64">
                  <v>47423</v>
                </pt>
                <pt idx="65">
                  <v>47453</v>
                </pt>
                <pt idx="66">
                  <v>47484</v>
                </pt>
                <pt idx="67">
                  <v>47515</v>
                </pt>
                <pt idx="68">
                  <v>47543</v>
                </pt>
              </numCache>
            </numRef>
          </cat>
          <val>
            <numRef>
              <f>'04_TOTALIZADORA (3)'!$T$14:$T$82</f>
              <numCache>
                <formatCode>_(* #,##0.00_);_(* \(#,##0.00\);_(* "-"??_);_(@_)</formatCode>
                <ptCount val="69"/>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220525.94</v>
                </pt>
                <pt idx="20">
                  <v>690004.9199999999</v>
                </pt>
                <pt idx="21">
                  <v>1020758.22</v>
                </pt>
                <pt idx="22">
                  <v>1822300.88</v>
                </pt>
                <pt idx="23">
                  <v>2090839.96</v>
                </pt>
                <pt idx="24">
                  <v>2307667.899319443</v>
                </pt>
                <pt idx="25">
                  <v>2516457.801937495</v>
                </pt>
                <pt idx="26">
                  <v>4659301.971937494</v>
                </pt>
                <pt idx="27">
                  <v>4659301.971937494</v>
                </pt>
                <pt idx="28">
                  <v>4659301.971937494</v>
                </pt>
                <pt idx="29">
                  <v>10763321.55943749</v>
                </pt>
                <pt idx="30">
                  <v>20238537.7494375</v>
                </pt>
                <pt idx="31">
                  <v>21881841.0614375</v>
                </pt>
                <pt idx="32">
                  <v>22545309.5934375</v>
                </pt>
                <pt idx="33">
                  <v>23479648.1234375</v>
                </pt>
                <pt idx="34">
                  <v>24225962.7934375</v>
                </pt>
                <pt idx="35">
                  <v>24327130.3434375</v>
                </pt>
                <pt idx="36">
                  <v>24658433.4174375</v>
                </pt>
                <pt idx="37">
                  <v>24826458.0574375</v>
                </pt>
                <pt idx="38">
                  <v>27082391.1949375</v>
                </pt>
                <pt idx="39">
                  <v>27105009.7549375</v>
                </pt>
                <pt idx="40">
                  <v>27105009.7549375</v>
                </pt>
                <pt idx="41">
                  <v>27156866.3049375</v>
                </pt>
                <pt idx="42">
                  <v>29156866.3049375</v>
                </pt>
                <pt idx="43">
                  <v>29366385.5049375</v>
                </pt>
                <pt idx="44">
                  <v>29665857.06493749</v>
                </pt>
                <pt idx="45">
                  <v>29945857.06493749</v>
                </pt>
                <pt idx="46">
                  <v>30097549.06493749</v>
                </pt>
                <pt idx="47">
                  <v>30149130.28493749</v>
                </pt>
                <pt idx="48">
                  <v>30149130.28493749</v>
                </pt>
                <pt idx="49">
                  <v>30210446.02493749</v>
                </pt>
                <pt idx="50">
                  <v>30210446.02493749</v>
                </pt>
                <pt idx="51">
                  <v>32466379.16243749</v>
                </pt>
                <pt idx="52">
                  <v>36466379.16243749</v>
                </pt>
                <pt idx="53">
                  <v>36715379.16243749</v>
                </pt>
                <pt idx="54">
                  <v>36859184.90243749</v>
                </pt>
                <pt idx="55">
                  <v>37018529.8524375</v>
                </pt>
                <pt idx="56">
                  <v>37318001.4124375</v>
                </pt>
                <pt idx="57">
                  <v>37638376.2164375</v>
                </pt>
                <pt idx="58">
                  <v>37689957.4364375</v>
                </pt>
                <pt idx="59">
                  <v>37761277.20443749</v>
                </pt>
                <pt idx="60">
                  <v>40088530.1099375</v>
                </pt>
                <pt idx="61">
                  <v>40106259.86993749</v>
                </pt>
                <pt idx="62">
                  <v>40355259.86993749</v>
                </pt>
                <pt idx="63">
                  <v>40355259.86993749</v>
                </pt>
                <pt idx="64">
                  <v>40607049.44226736</v>
                </pt>
                <pt idx="65">
                  <v>40766394.39226736</v>
                </pt>
                <pt idx="66">
                  <v>41470199.02426736</v>
                </pt>
                <pt idx="67">
                  <v>41470199.02426736</v>
                </pt>
                <pt idx="68">
                  <v>41470199.02426736</v>
                </pt>
              </numCache>
            </numRef>
          </val>
          <smooth val="0"/>
        </ser>
        <ser>
          <idx val="5"/>
          <order val="2"/>
          <tx>
            <strRef>
              <f>'04_TOTALIZADORA (3)'!$U$12:$U$13</f>
              <strCache>
                <ptCount val="2"/>
                <pt idx="0">
                  <v xml:space="preserve">DESEMBOLSO INSIGHT ACUMULADO </v>
                </pt>
              </strCache>
            </strRef>
          </tx>
          <spPr>
            <a:ln xmlns:a="http://schemas.openxmlformats.org/drawingml/2006/main" w="28575" cap="rnd">
              <a:solidFill>
                <a:schemeClr val="accent6"/>
              </a:solidFill>
              <a:prstDash val="solid"/>
              <a:round/>
            </a:ln>
          </spPr>
          <marker>
            <symbol val="none"/>
            <spPr>
              <a:ln xmlns:a="http://schemas.openxmlformats.org/drawingml/2006/main">
                <a:prstDash val="solid"/>
              </a:ln>
            </spPr>
          </marker>
          <cat>
            <numRef>
              <f>'04_TOTALIZADORA (3)'!$B$14:$B$82</f>
              <numCache>
                <formatCode>mmm\-yy</formatCode>
                <ptCount val="69"/>
                <pt idx="0">
                  <v>45474</v>
                </pt>
                <pt idx="1">
                  <v>45505</v>
                </pt>
                <pt idx="2">
                  <v>45536</v>
                </pt>
                <pt idx="3">
                  <v>45566</v>
                </pt>
                <pt idx="4">
                  <v>45597</v>
                </pt>
                <pt idx="5">
                  <v>45627</v>
                </pt>
                <pt idx="6">
                  <v>45658</v>
                </pt>
                <pt idx="7">
                  <v>45689</v>
                </pt>
                <pt idx="8">
                  <v>45717</v>
                </pt>
                <pt idx="9">
                  <v>45748</v>
                </pt>
                <pt idx="10">
                  <v>45778</v>
                </pt>
                <pt idx="11">
                  <v>45809</v>
                </pt>
                <pt idx="12">
                  <v>45839</v>
                </pt>
                <pt idx="13">
                  <v>45870</v>
                </pt>
                <pt idx="14">
                  <v>45901</v>
                </pt>
                <pt idx="15">
                  <v>45931</v>
                </pt>
                <pt idx="16">
                  <v>45962</v>
                </pt>
                <pt idx="17">
                  <v>45992</v>
                </pt>
                <pt idx="18">
                  <v>46023</v>
                </pt>
                <pt idx="19">
                  <v>46054</v>
                </pt>
                <pt idx="20">
                  <v>46082</v>
                </pt>
                <pt idx="21">
                  <v>46113</v>
                </pt>
                <pt idx="22">
                  <v>46143</v>
                </pt>
                <pt idx="23">
                  <v>46174</v>
                </pt>
                <pt idx="24">
                  <v>46204</v>
                </pt>
                <pt idx="25">
                  <v>46235</v>
                </pt>
                <pt idx="26">
                  <v>46266</v>
                </pt>
                <pt idx="27">
                  <v>46296</v>
                </pt>
                <pt idx="28">
                  <v>46327</v>
                </pt>
                <pt idx="29">
                  <v>46357</v>
                </pt>
                <pt idx="30">
                  <v>46388</v>
                </pt>
                <pt idx="31">
                  <v>46419</v>
                </pt>
                <pt idx="32">
                  <v>46447</v>
                </pt>
                <pt idx="33">
                  <v>46478</v>
                </pt>
                <pt idx="34">
                  <v>46508</v>
                </pt>
                <pt idx="35">
                  <v>46539</v>
                </pt>
                <pt idx="36">
                  <v>46569</v>
                </pt>
                <pt idx="37">
                  <v>46600</v>
                </pt>
                <pt idx="38">
                  <v>46631</v>
                </pt>
                <pt idx="39">
                  <v>46661</v>
                </pt>
                <pt idx="40">
                  <v>46692</v>
                </pt>
                <pt idx="41">
                  <v>46722</v>
                </pt>
                <pt idx="42">
                  <v>46753</v>
                </pt>
                <pt idx="43">
                  <v>46784</v>
                </pt>
                <pt idx="44">
                  <v>46813</v>
                </pt>
                <pt idx="45">
                  <v>46844</v>
                </pt>
                <pt idx="46">
                  <v>46874</v>
                </pt>
                <pt idx="47">
                  <v>46905</v>
                </pt>
                <pt idx="48">
                  <v>46935</v>
                </pt>
                <pt idx="49">
                  <v>46966</v>
                </pt>
                <pt idx="50">
                  <v>46997</v>
                </pt>
                <pt idx="51">
                  <v>47027</v>
                </pt>
                <pt idx="52">
                  <v>47058</v>
                </pt>
                <pt idx="53">
                  <v>47088</v>
                </pt>
                <pt idx="54">
                  <v>47119</v>
                </pt>
                <pt idx="55">
                  <v>47150</v>
                </pt>
                <pt idx="56">
                  <v>47178</v>
                </pt>
                <pt idx="57">
                  <v>47209</v>
                </pt>
                <pt idx="58">
                  <v>47239</v>
                </pt>
                <pt idx="59">
                  <v>47270</v>
                </pt>
                <pt idx="60">
                  <v>47300</v>
                </pt>
                <pt idx="61">
                  <v>47331</v>
                </pt>
                <pt idx="62">
                  <v>47362</v>
                </pt>
                <pt idx="63">
                  <v>47392</v>
                </pt>
                <pt idx="64">
                  <v>47423</v>
                </pt>
                <pt idx="65">
                  <v>47453</v>
                </pt>
                <pt idx="66">
                  <v>47484</v>
                </pt>
                <pt idx="67">
                  <v>47515</v>
                </pt>
                <pt idx="68">
                  <v>47543</v>
                </pt>
              </numCache>
            </numRef>
          </cat>
          <val>
            <numRef>
              <f>'04_TOTALIZADORA (3)'!$U$14:$U$82</f>
              <numCache>
                <formatCode>_(* #,##0.00_);_(* \(#,##0.00\);_(* "-"??_);_(@_)</formatCode>
                <ptCount val="69"/>
                <pt idx="0">
                  <v>100000</v>
                </pt>
                <pt idx="1">
                  <v>100000</v>
                </pt>
                <pt idx="2">
                  <v>100000</v>
                </pt>
                <pt idx="3">
                  <v>100000</v>
                </pt>
                <pt idx="4">
                  <v>100000</v>
                </pt>
                <pt idx="5">
                  <v>100000</v>
                </pt>
                <pt idx="6">
                  <v>100000</v>
                </pt>
                <pt idx="7">
                  <v>100000</v>
                </pt>
                <pt idx="8">
                  <v>100000</v>
                </pt>
                <pt idx="9">
                  <v>100000</v>
                </pt>
                <pt idx="10">
                  <v>100000</v>
                </pt>
                <pt idx="11">
                  <v>100000</v>
                </pt>
                <pt idx="12">
                  <v>100000</v>
                </pt>
                <pt idx="13">
                  <v>100000</v>
                </pt>
                <pt idx="14">
                  <v>157924.445</v>
                </pt>
                <pt idx="15">
                  <v>157924.445</v>
                </pt>
                <pt idx="16">
                  <v>197924.445</v>
                </pt>
                <pt idx="17">
                  <v>5599361.295</v>
                </pt>
                <pt idx="18">
                  <v>7306007.845000001</v>
                </pt>
                <pt idx="19">
                  <v>9226533.785</v>
                </pt>
                <pt idx="20">
                  <v>15847728.906</v>
                </pt>
                <pt idx="21">
                  <v>16418482.206</v>
                </pt>
                <pt idx="22">
                  <v>17415841.036</v>
                </pt>
                <pt idx="23">
                  <v>19556111.76</v>
                </pt>
                <pt idx="24">
                  <v>22148390.08931945</v>
                </pt>
                <pt idx="25">
                  <v>22624506.5359375</v>
                </pt>
                <pt idx="26">
                  <v>25167350.7059375</v>
                </pt>
                <pt idx="27">
                  <v>26607495.8599375</v>
                </pt>
                <pt idx="28">
                  <v>30897091.11003427</v>
                </pt>
                <pt idx="29">
                  <v>37401917.47253427</v>
                </pt>
                <pt idx="30">
                  <v>50238000.05628427</v>
                </pt>
                <pt idx="31">
                  <v>52067402.04428427</v>
                </pt>
                <pt idx="32">
                  <v>54786557.24828427</v>
                </pt>
                <pt idx="33">
                  <v>57122701.09028427</v>
                </pt>
                <pt idx="34">
                  <v>58220199.15028428</v>
                </pt>
                <pt idx="35">
                  <v>61073326.46028428</v>
                </pt>
                <pt idx="36">
                  <v>62896591.06028428</v>
                </pt>
                <pt idx="37">
                  <v>64223070.21028428</v>
                </pt>
                <pt idx="38">
                  <v>68816858.61778428</v>
                </pt>
                <pt idx="39">
                  <v>70005157.17778428</v>
                </pt>
                <pt idx="40">
                  <v>71827870.92778428</v>
                </pt>
                <pt idx="41">
                  <v>72358179.97778428</v>
                </pt>
                <pt idx="42">
                  <v>74704278.65378428</v>
                </pt>
                <pt idx="43">
                  <v>78274664.24753428</v>
                </pt>
                <pt idx="44">
                  <v>78742135.80753428</v>
                </pt>
                <pt idx="45">
                  <v>79022135.80753428</v>
                </pt>
                <pt idx="46">
                  <v>79173827.80753428</v>
                </pt>
                <pt idx="47">
                  <v>79473409.02753428</v>
                </pt>
                <pt idx="48">
                  <v>80902458.78553428</v>
                </pt>
                <pt idx="49">
                  <v>82875454.52553427</v>
                </pt>
                <pt idx="50">
                  <v>86829424.65928428</v>
                </pt>
                <pt idx="51">
                  <v>89543810.29678428</v>
                </pt>
                <pt idx="52">
                  <v>93943810.29678428</v>
                </pt>
                <pt idx="53">
                  <v>94417097.41778429</v>
                </pt>
                <pt idx="54">
                  <v>94865214.69278429</v>
                </pt>
                <pt idx="55">
                  <v>95024559.6427843</v>
                </pt>
                <pt idx="56">
                  <v>95404031.2027843</v>
                </pt>
                <pt idx="57">
                  <v>98930804.8905343</v>
                </pt>
                <pt idx="58">
                  <v>100329890.3785343</v>
                </pt>
                <pt idx="59">
                  <v>100773936.5065343</v>
                </pt>
                <pt idx="60">
                  <v>103501189.4120343</v>
                </pt>
                <pt idx="61">
                  <v>103677914.7190343</v>
                </pt>
                <pt idx="62">
                  <v>103926914.7190343</v>
                </pt>
                <pt idx="63">
                  <v>104967765.6450343</v>
                </pt>
                <pt idx="64">
                  <v>105219555.2173642</v>
                </pt>
                <pt idx="65">
                  <v>105378900.1673642</v>
                </pt>
                <pt idx="66">
                  <v>106082704.7993642</v>
                </pt>
                <pt idx="67">
                  <v>106244983.6253642</v>
                </pt>
                <pt idx="68">
                  <v>106244983.6253642</v>
                </pt>
              </numCache>
            </numRef>
          </val>
          <smooth val="0"/>
        </ser>
        <dLbls>
          <showLegendKey val="0"/>
          <showVal val="0"/>
          <showCatName val="0"/>
          <showSerName val="0"/>
          <showPercent val="0"/>
          <showBubbleSize val="0"/>
        </dLbls>
        <marker val="1"/>
        <smooth val="0"/>
        <axId val="1501918479"/>
        <axId val="1501910799"/>
      </lineChart>
      <dateAx>
        <axId val="1006042335"/>
        <scaling>
          <orientation val="minMax"/>
        </scaling>
        <delete val="0"/>
        <axPos val="b"/>
        <numFmt formatCode="mmm\-yy" sourceLinked="1"/>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baseline="0">
                <a:solidFill>
                  <a:schemeClr val="tx1">
                    <a:lumMod val="65000"/>
                    <a:lumOff val="35000"/>
                  </a:schemeClr>
                </a:solidFill>
                <a:latin typeface="+mn-lt"/>
                <a:ea typeface="+mn-ea"/>
                <a:cs typeface="+mn-cs"/>
              </a:defRPr>
            </a:pPr>
            <a:r>
              <a:t/>
            </a:r>
            <a:endParaRPr lang="pt-BR"/>
          </a:p>
        </txPr>
        <crossAx val="1006036927"/>
        <crosses val="autoZero"/>
        <lblOffset val="100"/>
        <baseTimeUnit val="months"/>
      </dateAx>
      <valAx>
        <axId val="1006036927"/>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_(* #,##0_);_(* \(#,##0\);_(* &quot;-&quot;_);_(@_)" sourceLinked="0"/>
        <majorTickMark val="out"/>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baseline="0">
                <a:solidFill>
                  <a:schemeClr val="tx1">
                    <a:lumMod val="65000"/>
                    <a:lumOff val="35000"/>
                  </a:schemeClr>
                </a:solidFill>
                <a:latin typeface="+mn-lt"/>
                <a:ea typeface="+mn-ea"/>
                <a:cs typeface="+mn-cs"/>
              </a:defRPr>
            </a:pPr>
            <a:r>
              <a:t/>
            </a:r>
            <a:endParaRPr lang="pt-BR"/>
          </a:p>
        </txPr>
        <crossAx val="1006042335"/>
        <crosses val="autoZero"/>
        <crossBetween val="between"/>
        <dispUnits>
          <builtInUnit val="millions"/>
          <dispUnitsLbl>
            <spPr>
              <a:noFill xmlns:a="http://schemas.openxmlformats.org/drawingml/2006/main"/>
              <a:ln xmlns:a="http://schemas.openxmlformats.org/drawingml/2006/main">
                <a:noFill/>
                <a:prstDash val="solid"/>
              </a:ln>
            </spPr>
            <txPr>
              <a:bodyPr xmlns:a="http://schemas.openxmlformats.org/drawingml/2006/main" rot="-5400000" spcFirstLastPara="1" vertOverflow="ellipsis" vert="horz" wrap="square" anchor="ctr" anchorCtr="1"/>
              <a:lstStyle xmlns:a="http://schemas.openxmlformats.org/drawingml/2006/main"/>
              <a:p xmlns:a="http://schemas.openxmlformats.org/drawingml/2006/main">
                <a:pPr>
                  <a:defRPr sz="900" b="0" i="0" strike="noStrike" baseline="0">
                    <a:solidFill>
                      <a:schemeClr val="tx1">
                        <a:lumMod val="65000"/>
                        <a:lumOff val="35000"/>
                      </a:schemeClr>
                    </a:solidFill>
                    <a:latin typeface="+mn-lt"/>
                    <a:ea typeface="+mn-ea"/>
                    <a:cs typeface="+mn-cs"/>
                  </a:defRPr>
                </a:pPr>
                <a:r>
                  <a:t/>
                </a:r>
                <a:endParaRPr lang="pt-BR"/>
              </a:p>
            </txPr>
          </dispUnitsLbl>
        </dispUnits>
      </valAx>
      <dateAx>
        <axId val="1501918479"/>
        <scaling>
          <orientation val="minMax"/>
        </scaling>
        <delete val="1"/>
        <axPos val="b"/>
        <numFmt formatCode="mmm\-yy" sourceLinked="1"/>
        <majorTickMark val="out"/>
        <minorTickMark val="none"/>
        <tickLblPos val="nextTo"/>
        <crossAx val="1501910799"/>
        <crosses val="autoZero"/>
        <lblOffset val="100"/>
        <baseTimeUnit val="months"/>
      </dateAx>
      <valAx>
        <axId val="1501910799"/>
        <scaling>
          <orientation val="minMax"/>
        </scaling>
        <delete val="0"/>
        <axPos val="r"/>
        <numFmt formatCode="_(* #,##0.00_);_(* \(#,##0.00\);_(* &quot;-&quot;??_);_(@_)" sourceLinked="1"/>
        <majorTickMark val="out"/>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baseline="0">
                <a:solidFill>
                  <a:schemeClr val="tx1">
                    <a:lumMod val="65000"/>
                    <a:lumOff val="35000"/>
                  </a:schemeClr>
                </a:solidFill>
                <a:latin typeface="+mn-lt"/>
                <a:ea typeface="+mn-ea"/>
                <a:cs typeface="+mn-cs"/>
              </a:defRPr>
            </a:pPr>
            <a:r>
              <a:t/>
            </a:r>
            <a:endParaRPr lang="pt-BR"/>
          </a:p>
        </txPr>
        <crossAx val="1501918479"/>
        <crosses val="max"/>
        <crossBetween val="between"/>
      </valAx>
    </plotArea>
    <legend>
      <legendPos val="r"/>
      <layout>
        <manualLayout>
          <xMode val="edge"/>
          <yMode val="edge"/>
          <wMode val="factor"/>
          <hMode val="factor"/>
          <x val="0.06759677961869466"/>
          <y val="0.02613389444740828"/>
          <w val="0.2038400818738833"/>
          <h val="0.2106288378529252"/>
        </manualLayout>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baseline="0">
              <a:solidFill>
                <a:schemeClr val="tx1">
                  <a:lumMod val="65000"/>
                  <a:lumOff val="35000"/>
                </a:schemeClr>
              </a:solidFill>
              <a:latin typeface="+mn-lt"/>
              <a:ea typeface="+mn-ea"/>
              <a:cs typeface="+mn-cs"/>
            </a:defRPr>
          </a:pPr>
          <a:r>
            <a:t/>
          </a:r>
          <a:endParaRPr lang="pt-BR"/>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9.xml><?xml version="1.0" encoding="utf-8"?>
<chartSpace xmlns="http://schemas.openxmlformats.org/drawingml/2006/chart">
  <chart>
    <plotArea>
      <layout>
        <manualLayout>
          <layoutTarget val="inner"/>
          <xMode val="edge"/>
          <yMode val="edge"/>
          <wMode val="factor"/>
          <hMode val="factor"/>
          <x val="0.05900583825980926"/>
          <y val="0.008667822421076127"/>
          <w val="0.8594663988514242"/>
          <h val="0.9386696123707743"/>
        </manualLayout>
      </layout>
      <barChart>
        <barDir val="col"/>
        <grouping val="clustered"/>
        <varyColors val="0"/>
        <ser>
          <idx val="0"/>
          <order val="0"/>
          <tx>
            <strRef>
              <f>'04_TOTALIZADORA (3)'!$I$13</f>
              <strCache>
                <ptCount val="1"/>
                <pt idx="0">
                  <v>RECEITA INSIGHT MENSAL</v>
                </pt>
              </strCache>
            </strRef>
          </tx>
          <spPr>
            <a:solidFill xmlns:a="http://schemas.openxmlformats.org/drawingml/2006/main">
              <a:srgbClr val="00B050"/>
            </a:solidFill>
            <a:ln xmlns:a="http://schemas.openxmlformats.org/drawingml/2006/main">
              <a:solidFill>
                <a:srgbClr val="00B050"/>
              </a:solidFill>
              <a:prstDash val="solid"/>
            </a:ln>
          </spPr>
          <invertIfNegative val="0"/>
          <cat>
            <numRef>
              <f>'04_TOTALIZADORA (3)'!$B$37:$B$82</f>
              <numCache>
                <formatCode>mmm\-yy</formatCode>
                <ptCount val="46"/>
                <pt idx="0">
                  <v>46174</v>
                </pt>
                <pt idx="1">
                  <v>46204</v>
                </pt>
                <pt idx="2">
                  <v>46235</v>
                </pt>
                <pt idx="3">
                  <v>46266</v>
                </pt>
                <pt idx="4">
                  <v>46296</v>
                </pt>
                <pt idx="5">
                  <v>46327</v>
                </pt>
                <pt idx="6">
                  <v>46357</v>
                </pt>
                <pt idx="7">
                  <v>46388</v>
                </pt>
                <pt idx="8">
                  <v>46419</v>
                </pt>
                <pt idx="9">
                  <v>46447</v>
                </pt>
                <pt idx="10">
                  <v>46478</v>
                </pt>
                <pt idx="11">
                  <v>46508</v>
                </pt>
                <pt idx="12">
                  <v>46539</v>
                </pt>
                <pt idx="13">
                  <v>46569</v>
                </pt>
                <pt idx="14">
                  <v>46600</v>
                </pt>
                <pt idx="15">
                  <v>46631</v>
                </pt>
                <pt idx="16">
                  <v>46661</v>
                </pt>
                <pt idx="17">
                  <v>46692</v>
                </pt>
                <pt idx="18">
                  <v>46722</v>
                </pt>
                <pt idx="19">
                  <v>46753</v>
                </pt>
                <pt idx="20">
                  <v>46784</v>
                </pt>
                <pt idx="21">
                  <v>46813</v>
                </pt>
                <pt idx="22">
                  <v>46844</v>
                </pt>
                <pt idx="23">
                  <v>46874</v>
                </pt>
                <pt idx="24">
                  <v>46905</v>
                </pt>
                <pt idx="25">
                  <v>46935</v>
                </pt>
                <pt idx="26">
                  <v>46966</v>
                </pt>
                <pt idx="27">
                  <v>46997</v>
                </pt>
                <pt idx="28">
                  <v>47027</v>
                </pt>
                <pt idx="29">
                  <v>47058</v>
                </pt>
                <pt idx="30">
                  <v>47088</v>
                </pt>
                <pt idx="31">
                  <v>47119</v>
                </pt>
                <pt idx="32">
                  <v>47150</v>
                </pt>
                <pt idx="33">
                  <v>47178</v>
                </pt>
                <pt idx="34">
                  <v>47209</v>
                </pt>
                <pt idx="35">
                  <v>47239</v>
                </pt>
                <pt idx="36">
                  <v>47270</v>
                </pt>
                <pt idx="37">
                  <v>47300</v>
                </pt>
                <pt idx="38">
                  <v>47331</v>
                </pt>
                <pt idx="39">
                  <v>47362</v>
                </pt>
                <pt idx="40">
                  <v>47392</v>
                </pt>
                <pt idx="41">
                  <v>47423</v>
                </pt>
                <pt idx="42">
                  <v>47453</v>
                </pt>
                <pt idx="43">
                  <v>47484</v>
                </pt>
                <pt idx="44">
                  <v>47515</v>
                </pt>
                <pt idx="45">
                  <v>47543</v>
                </pt>
              </numCache>
            </numRef>
          </cat>
          <val>
            <numRef>
              <f>'04_TOTALIZADORA (3)'!$I$14:$I$82</f>
              <numCache>
                <formatCode>_(* #,##0.00_);_(* \(#,##0.00\);_(* "-"??_);_(@_)</formatCode>
                <ptCount val="69"/>
                <pt idx="0">
                  <v>0</v>
                </pt>
                <pt idx="1">
                  <v>0</v>
                </pt>
                <pt idx="2">
                  <v>0</v>
                </pt>
                <pt idx="3">
                  <v>0</v>
                </pt>
                <pt idx="4">
                  <v>0</v>
                </pt>
                <pt idx="5">
                  <v>0</v>
                </pt>
                <pt idx="6">
                  <v>0</v>
                </pt>
                <pt idx="7">
                  <v>0</v>
                </pt>
                <pt idx="8">
                  <v>0</v>
                </pt>
                <pt idx="9">
                  <v>0</v>
                </pt>
                <pt idx="10">
                  <v>0</v>
                </pt>
                <pt idx="11">
                  <v>0</v>
                </pt>
                <pt idx="12">
                  <v>0</v>
                </pt>
                <pt idx="13">
                  <v>0</v>
                </pt>
                <pt idx="14">
                  <v>0</v>
                </pt>
                <pt idx="15">
                  <v>412245.1763298608</v>
                </pt>
                <pt idx="16">
                  <v>0</v>
                </pt>
                <pt idx="17">
                  <v>0</v>
                </pt>
                <pt idx="18">
                  <v>441511.47</v>
                </pt>
                <pt idx="19">
                  <v>3592295.614456618</v>
                </pt>
                <pt idx="20">
                  <v>185675.8499999999</v>
                </pt>
                <pt idx="21">
                  <v>2401859.592833749</v>
                </pt>
                <pt idx="22">
                  <v>826234.5699999999</v>
                </pt>
                <pt idx="23">
                  <v>886490.6574999999</v>
                </pt>
                <pt idx="24">
                  <v>943195.4099999998</v>
                </pt>
                <pt idx="25">
                  <v>4197400.587065443</v>
                </pt>
                <pt idx="26">
                  <v>2800070.45</v>
                </pt>
                <pt idx="27">
                  <v>10534527.22</v>
                </pt>
                <pt idx="28">
                  <v>3520581.38</v>
                </pt>
                <pt idx="29">
                  <v>6916319.690000001</v>
                </pt>
                <pt idx="30">
                  <v>5117209.719999999</v>
                </pt>
                <pt idx="31">
                  <v>5713430.665000001</v>
                </pt>
                <pt idx="32">
                  <v>4787228.025000001</v>
                </pt>
                <pt idx="33">
                  <v>12492148.033</v>
                </pt>
                <pt idx="34">
                  <v>3932919.124641106</v>
                </pt>
                <pt idx="35">
                  <v>1032890.43</v>
                </pt>
                <pt idx="36">
                  <v>3406022.74</v>
                </pt>
                <pt idx="37">
                  <v>2693217.2</v>
                </pt>
                <pt idx="38">
                  <v>5924485.206521075</v>
                </pt>
                <pt idx="39">
                  <v>2238860.85</v>
                </pt>
                <pt idx="40">
                  <v>0</v>
                </pt>
                <pt idx="41">
                  <v>353969.07</v>
                </pt>
                <pt idx="42">
                  <v>617584.6400000001</v>
                </pt>
                <pt idx="43">
                  <v>5853366.355</v>
                </pt>
                <pt idx="44">
                  <v>4598969.755</v>
                </pt>
                <pt idx="45">
                  <v>10798799.937</v>
                </pt>
                <pt idx="46">
                  <v>1522137.967791691</v>
                </pt>
                <pt idx="47">
                  <v>400986.4175</v>
                </pt>
                <pt idx="48">
                  <v>2973836.8</v>
                </pt>
                <pt idx="49">
                  <v>1557143.11</v>
                </pt>
                <pt idx="50">
                  <v>1240472.15</v>
                </pt>
                <pt idx="51">
                  <v>3517062.710000001</v>
                </pt>
                <pt idx="52">
                  <v>795019.4299999997</v>
                </pt>
                <pt idx="53">
                  <v>4472548.077500001</v>
                </pt>
                <pt idx="54">
                  <v>4932537.155</v>
                </pt>
                <pt idx="55">
                  <v>978936.3070962094</v>
                </pt>
                <pt idx="56">
                  <v>1532462.93</v>
                </pt>
                <pt idx="57">
                  <v>1227847.99</v>
                </pt>
                <pt idx="58">
                  <v>1045417.1775</v>
                </pt>
                <pt idx="59">
                  <v>2258515.96</v>
                </pt>
                <pt idx="60">
                  <v>5227286.570000002</v>
                </pt>
                <pt idx="61">
                  <v>2404362.84</v>
                </pt>
                <pt idx="62">
                  <v>3177302.0275</v>
                </pt>
                <pt idx="63">
                  <v>930600.0000000001</v>
                </pt>
                <pt idx="64">
                  <v>6385236.563449069</v>
                </pt>
                <pt idx="65">
                  <v>1571553.923291691</v>
                </pt>
                <pt idx="66">
                  <v>1808987.985</v>
                </pt>
                <pt idx="67">
                  <v>177729.245</v>
                </pt>
                <pt idx="68">
                  <v>0</v>
                </pt>
              </numCache>
            </numRef>
          </val>
        </ser>
        <ser>
          <idx val="1"/>
          <order val="1"/>
          <tx>
            <strRef>
              <f>'04_TOTALIZADORA (3)'!$R$12:$R$13</f>
              <strCache>
                <ptCount val="2"/>
                <pt idx="0">
                  <v>DESEMBOLSO INSIGHT MENSAL  PREVISTO</v>
                </pt>
              </strCache>
            </strRef>
          </tx>
          <spPr>
            <a:solidFill xmlns:a="http://schemas.openxmlformats.org/drawingml/2006/main">
              <a:srgbClr val="FF0000"/>
            </a:solidFill>
            <a:ln xmlns:a="http://schemas.openxmlformats.org/drawingml/2006/main">
              <a:solidFill>
                <a:srgbClr val="FF0000"/>
              </a:solidFill>
              <a:prstDash val="solid"/>
            </a:ln>
          </spPr>
          <invertIfNegative val="0"/>
          <cat>
            <numRef>
              <f>'04_TOTALIZADORA (3)'!$B$37:$B$82</f>
              <numCache>
                <formatCode>mmm\-yy</formatCode>
                <ptCount val="46"/>
                <pt idx="0">
                  <v>46174</v>
                </pt>
                <pt idx="1">
                  <v>46204</v>
                </pt>
                <pt idx="2">
                  <v>46235</v>
                </pt>
                <pt idx="3">
                  <v>46266</v>
                </pt>
                <pt idx="4">
                  <v>46296</v>
                </pt>
                <pt idx="5">
                  <v>46327</v>
                </pt>
                <pt idx="6">
                  <v>46357</v>
                </pt>
                <pt idx="7">
                  <v>46388</v>
                </pt>
                <pt idx="8">
                  <v>46419</v>
                </pt>
                <pt idx="9">
                  <v>46447</v>
                </pt>
                <pt idx="10">
                  <v>46478</v>
                </pt>
                <pt idx="11">
                  <v>46508</v>
                </pt>
                <pt idx="12">
                  <v>46539</v>
                </pt>
                <pt idx="13">
                  <v>46569</v>
                </pt>
                <pt idx="14">
                  <v>46600</v>
                </pt>
                <pt idx="15">
                  <v>46631</v>
                </pt>
                <pt idx="16">
                  <v>46661</v>
                </pt>
                <pt idx="17">
                  <v>46692</v>
                </pt>
                <pt idx="18">
                  <v>46722</v>
                </pt>
                <pt idx="19">
                  <v>46753</v>
                </pt>
                <pt idx="20">
                  <v>46784</v>
                </pt>
                <pt idx="21">
                  <v>46813</v>
                </pt>
                <pt idx="22">
                  <v>46844</v>
                </pt>
                <pt idx="23">
                  <v>46874</v>
                </pt>
                <pt idx="24">
                  <v>46905</v>
                </pt>
                <pt idx="25">
                  <v>46935</v>
                </pt>
                <pt idx="26">
                  <v>46966</v>
                </pt>
                <pt idx="27">
                  <v>46997</v>
                </pt>
                <pt idx="28">
                  <v>47027</v>
                </pt>
                <pt idx="29">
                  <v>47058</v>
                </pt>
                <pt idx="30">
                  <v>47088</v>
                </pt>
                <pt idx="31">
                  <v>47119</v>
                </pt>
                <pt idx="32">
                  <v>47150</v>
                </pt>
                <pt idx="33">
                  <v>47178</v>
                </pt>
                <pt idx="34">
                  <v>47209</v>
                </pt>
                <pt idx="35">
                  <v>47239</v>
                </pt>
                <pt idx="36">
                  <v>47270</v>
                </pt>
                <pt idx="37">
                  <v>47300</v>
                </pt>
                <pt idx="38">
                  <v>47331</v>
                </pt>
                <pt idx="39">
                  <v>47362</v>
                </pt>
                <pt idx="40">
                  <v>47392</v>
                </pt>
                <pt idx="41">
                  <v>47423</v>
                </pt>
                <pt idx="42">
                  <v>47453</v>
                </pt>
                <pt idx="43">
                  <v>47484</v>
                </pt>
                <pt idx="44">
                  <v>47515</v>
                </pt>
                <pt idx="45">
                  <v>47543</v>
                </pt>
              </numCache>
            </numRef>
          </cat>
          <val>
            <numRef>
              <f>'04_TOTALIZADORA (3)'!$R$14:$R$82</f>
              <numCache>
                <formatCode>_(* #,##0.00_);_(* \(#,##0.00\);_(* "-"??_);_(@_)</formatCode>
                <ptCount val="69"/>
                <pt idx="0">
                  <v>100000</v>
                </pt>
                <pt idx="1">
                  <v>100000</v>
                </pt>
                <pt idx="2">
                  <v>100000</v>
                </pt>
                <pt idx="3">
                  <v>100000</v>
                </pt>
                <pt idx="4">
                  <v>100000</v>
                </pt>
                <pt idx="5">
                  <v>100000</v>
                </pt>
                <pt idx="6">
                  <v>100000</v>
                </pt>
                <pt idx="7">
                  <v>100000</v>
                </pt>
                <pt idx="8">
                  <v>100000</v>
                </pt>
                <pt idx="9">
                  <v>100000</v>
                </pt>
                <pt idx="10">
                  <v>100000</v>
                </pt>
                <pt idx="11">
                  <v>100000</v>
                </pt>
                <pt idx="12">
                  <v>100000</v>
                </pt>
                <pt idx="13">
                  <v>100000</v>
                </pt>
                <pt idx="14">
                  <v>157924.445</v>
                </pt>
                <pt idx="15">
                  <v>100000</v>
                </pt>
                <pt idx="16">
                  <v>140000</v>
                </pt>
                <pt idx="17">
                  <v>5501436.85</v>
                </pt>
                <pt idx="18">
                  <v>1806646.55</v>
                </pt>
                <pt idx="19">
                  <v>1800000</v>
                </pt>
                <pt idx="20">
                  <v>6251716.141000001</v>
                </pt>
                <pt idx="21">
                  <v>340000</v>
                </pt>
                <pt idx="22">
                  <v>295816.17</v>
                </pt>
                <pt idx="23">
                  <v>1971731.644</v>
                </pt>
                <pt idx="24">
                  <v>2475450.39</v>
                </pt>
                <pt idx="25">
                  <v>367326.544</v>
                </pt>
                <pt idx="26">
                  <v>500000</v>
                </pt>
                <pt idx="27">
                  <v>1540145.154</v>
                </pt>
                <pt idx="28">
                  <v>4389595.250096774</v>
                </pt>
                <pt idx="29">
                  <v>500806.775</v>
                </pt>
                <pt idx="30">
                  <v>3460866.39375</v>
                </pt>
                <pt idx="31">
                  <v>286098.676</v>
                </pt>
                <pt idx="32">
                  <v>2155686.672</v>
                </pt>
                <pt idx="33">
                  <v>1501805.312</v>
                </pt>
                <pt idx="34">
                  <v>451183.39</v>
                </pt>
                <pt idx="35">
                  <v>2851959.76</v>
                </pt>
                <pt idx="36">
                  <v>1591961.526</v>
                </pt>
                <pt idx="37">
                  <v>1258454.51</v>
                </pt>
                <pt idx="38">
                  <v>2437855.27</v>
                </pt>
                <pt idx="39">
                  <v>1265680</v>
                </pt>
                <pt idx="40">
                  <v>1922713.75</v>
                </pt>
                <pt idx="41">
                  <v>578452.5</v>
                </pt>
                <pt idx="42">
                  <v>446098.676</v>
                </pt>
                <pt idx="43">
                  <v>3460866.39375</v>
                </pt>
                <pt idx="44">
                  <v>268000</v>
                </pt>
                <pt idx="45">
                  <v>100000</v>
                </pt>
                <pt idx="46">
                  <v>100000</v>
                </pt>
                <pt idx="47">
                  <v>348000</v>
                </pt>
                <pt idx="48">
                  <v>1529049.758</v>
                </pt>
                <pt idx="49">
                  <v>2011680</v>
                </pt>
                <pt idx="50">
                  <v>4053970.13375</v>
                </pt>
                <pt idx="51">
                  <v>558452.5</v>
                </pt>
                <pt idx="52">
                  <v>500000</v>
                </pt>
                <pt idx="53">
                  <v>324287.121</v>
                </pt>
                <pt idx="54">
                  <v>404311.535</v>
                </pt>
                <pt idx="55">
                  <v>100000</v>
                </pt>
                <pt idx="56">
                  <v>180000</v>
                </pt>
                <pt idx="57">
                  <v>3306398.88375</v>
                </pt>
                <pt idx="58">
                  <v>1447504.268</v>
                </pt>
                <pt idx="59">
                  <v>472726.36</v>
                </pt>
                <pt idx="60">
                  <v>500000</v>
                </pt>
                <pt idx="61">
                  <v>258995.547</v>
                </pt>
                <pt idx="62">
                  <v>100000</v>
                </pt>
                <pt idx="63">
                  <v>1140850.926</v>
                </pt>
                <pt idx="64">
                  <v>100000</v>
                </pt>
                <pt idx="65">
                  <v>100000</v>
                </pt>
                <pt idx="66">
                  <v>100000</v>
                </pt>
                <pt idx="67">
                  <v>262278.826</v>
                </pt>
                <pt idx="68">
                  <v>100000</v>
                </pt>
              </numCache>
            </numRef>
          </val>
        </ser>
        <ser>
          <idx val="2"/>
          <order val="2"/>
          <tx>
            <strRef>
              <f>'04_TOTALIZADORA (3)'!$O$13</f>
              <strCache>
                <ptCount val="1"/>
                <pt idx="0">
                  <v>RECEITA LÍQUIDA INSIGHT</v>
                </pt>
              </strCache>
            </strRef>
          </tx>
          <spPr>
            <a:solidFill xmlns:a="http://schemas.openxmlformats.org/drawingml/2006/main">
              <a:srgbClr val="0070C0"/>
            </a:solidFill>
            <a:ln xmlns:a="http://schemas.openxmlformats.org/drawingml/2006/main">
              <a:solidFill>
                <a:srgbClr val="0070C0"/>
              </a:solidFill>
              <a:prstDash val="solid"/>
            </a:ln>
          </spPr>
          <invertIfNegative val="0"/>
          <cat>
            <numRef>
              <f>'04_TOTALIZADORA (3)'!$B$37:$B$82</f>
              <numCache>
                <formatCode>mmm\-yy</formatCode>
                <ptCount val="46"/>
                <pt idx="0">
                  <v>46174</v>
                </pt>
                <pt idx="1">
                  <v>46204</v>
                </pt>
                <pt idx="2">
                  <v>46235</v>
                </pt>
                <pt idx="3">
                  <v>46266</v>
                </pt>
                <pt idx="4">
                  <v>46296</v>
                </pt>
                <pt idx="5">
                  <v>46327</v>
                </pt>
                <pt idx="6">
                  <v>46357</v>
                </pt>
                <pt idx="7">
                  <v>46388</v>
                </pt>
                <pt idx="8">
                  <v>46419</v>
                </pt>
                <pt idx="9">
                  <v>46447</v>
                </pt>
                <pt idx="10">
                  <v>46478</v>
                </pt>
                <pt idx="11">
                  <v>46508</v>
                </pt>
                <pt idx="12">
                  <v>46539</v>
                </pt>
                <pt idx="13">
                  <v>46569</v>
                </pt>
                <pt idx="14">
                  <v>46600</v>
                </pt>
                <pt idx="15">
                  <v>46631</v>
                </pt>
                <pt idx="16">
                  <v>46661</v>
                </pt>
                <pt idx="17">
                  <v>46692</v>
                </pt>
                <pt idx="18">
                  <v>46722</v>
                </pt>
                <pt idx="19">
                  <v>46753</v>
                </pt>
                <pt idx="20">
                  <v>46784</v>
                </pt>
                <pt idx="21">
                  <v>46813</v>
                </pt>
                <pt idx="22">
                  <v>46844</v>
                </pt>
                <pt idx="23">
                  <v>46874</v>
                </pt>
                <pt idx="24">
                  <v>46905</v>
                </pt>
                <pt idx="25">
                  <v>46935</v>
                </pt>
                <pt idx="26">
                  <v>46966</v>
                </pt>
                <pt idx="27">
                  <v>46997</v>
                </pt>
                <pt idx="28">
                  <v>47027</v>
                </pt>
                <pt idx="29">
                  <v>47058</v>
                </pt>
                <pt idx="30">
                  <v>47088</v>
                </pt>
                <pt idx="31">
                  <v>47119</v>
                </pt>
                <pt idx="32">
                  <v>47150</v>
                </pt>
                <pt idx="33">
                  <v>47178</v>
                </pt>
                <pt idx="34">
                  <v>47209</v>
                </pt>
                <pt idx="35">
                  <v>47239</v>
                </pt>
                <pt idx="36">
                  <v>47270</v>
                </pt>
                <pt idx="37">
                  <v>47300</v>
                </pt>
                <pt idx="38">
                  <v>47331</v>
                </pt>
                <pt idx="39">
                  <v>47362</v>
                </pt>
                <pt idx="40">
                  <v>47392</v>
                </pt>
                <pt idx="41">
                  <v>47423</v>
                </pt>
                <pt idx="42">
                  <v>47453</v>
                </pt>
                <pt idx="43">
                  <v>47484</v>
                </pt>
                <pt idx="44">
                  <v>47515</v>
                </pt>
                <pt idx="45">
                  <v>47543</v>
                </pt>
              </numCache>
            </numRef>
          </cat>
          <val>
            <numRef>
              <f>'04_TOTALIZADORA (3)'!$O$14:$O$82</f>
              <numCache>
                <formatCode>_(* #,##0.00_);_(* \(#,##0.00\);_(* "-"??_);_(@_)</formatCode>
                <ptCount val="69"/>
                <pt idx="0">
                  <v>-100000</v>
                </pt>
                <pt idx="1">
                  <v>-100000</v>
                </pt>
                <pt idx="2">
                  <v>-100000</v>
                </pt>
                <pt idx="3">
                  <v>-100000</v>
                </pt>
                <pt idx="4">
                  <v>-100000</v>
                </pt>
                <pt idx="5">
                  <v>-100000</v>
                </pt>
                <pt idx="6">
                  <v>-100000</v>
                </pt>
                <pt idx="7">
                  <v>-100000</v>
                </pt>
                <pt idx="8">
                  <v>-100000</v>
                </pt>
                <pt idx="9">
                  <v>-100000</v>
                </pt>
                <pt idx="10">
                  <v>-100000</v>
                </pt>
                <pt idx="11">
                  <v>-100000</v>
                </pt>
                <pt idx="12">
                  <v>-100000</v>
                </pt>
                <pt idx="13">
                  <v>-100000</v>
                </pt>
                <pt idx="14">
                  <v>-157924.445</v>
                </pt>
                <pt idx="15">
                  <v>312245.1763298608</v>
                </pt>
                <pt idx="16">
                  <v>-140000</v>
                </pt>
                <pt idx="17">
                  <v>-5501436.85</v>
                </pt>
                <pt idx="18">
                  <v>-1365135.08</v>
                </pt>
                <pt idx="19">
                  <v>1792295.614456618</v>
                </pt>
                <pt idx="20">
                  <v>-6066040.291000001</v>
                </pt>
                <pt idx="21">
                  <v>2061859.592833749</v>
                </pt>
                <pt idx="22">
                  <v>530418.3999999999</v>
                </pt>
                <pt idx="23">
                  <v>-1085240.9865</v>
                </pt>
                <pt idx="24">
                  <v>-1532254.98</v>
                </pt>
                <pt idx="25">
                  <v>3830074.043065444</v>
                </pt>
                <pt idx="26">
                  <v>2300070.45</v>
                </pt>
                <pt idx="27">
                  <v>8994382.066</v>
                </pt>
                <pt idx="28">
                  <v>-869013.8700967734</v>
                </pt>
                <pt idx="29">
                  <v>6415512.915000001</v>
                </pt>
                <pt idx="30">
                  <v>1656343.326249999</v>
                </pt>
                <pt idx="31">
                  <v>5427331.989000001</v>
                </pt>
                <pt idx="32">
                  <v>2631541.353000001</v>
                </pt>
                <pt idx="33">
                  <v>10990342.721</v>
                </pt>
                <pt idx="34">
                  <v>3481735.734641106</v>
                </pt>
                <pt idx="35">
                  <v>-1819069.33</v>
                </pt>
                <pt idx="36">
                  <v>1814061.214</v>
                </pt>
                <pt idx="37">
                  <v>1434762.69</v>
                </pt>
                <pt idx="38">
                  <v>3486629.936521076</v>
                </pt>
                <pt idx="39">
                  <v>973180.8500000001</v>
                </pt>
                <pt idx="40">
                  <v>-1922713.75</v>
                </pt>
                <pt idx="41">
                  <v>-224483.43</v>
                </pt>
                <pt idx="42">
                  <v>171485.9640000002</v>
                </pt>
                <pt idx="43">
                  <v>2392499.961250001</v>
                </pt>
                <pt idx="44">
                  <v>4330969.755</v>
                </pt>
                <pt idx="45">
                  <v>10698799.937</v>
                </pt>
                <pt idx="46">
                  <v>1422137.967791691</v>
                </pt>
                <pt idx="47">
                  <v>52986.41749999998</v>
                </pt>
                <pt idx="48">
                  <v>1444787.042</v>
                </pt>
                <pt idx="49">
                  <v>-454536.8899999999</v>
                </pt>
                <pt idx="50">
                  <v>-2813497.98375</v>
                </pt>
                <pt idx="51">
                  <v>2958610.210000001</v>
                </pt>
                <pt idx="52">
                  <v>295019.4299999997</v>
                </pt>
                <pt idx="53">
                  <v>4148260.9565</v>
                </pt>
                <pt idx="54">
                  <v>4528225.62</v>
                </pt>
                <pt idx="55">
                  <v>878936.3070962094</v>
                </pt>
                <pt idx="56">
                  <v>1352462.93</v>
                </pt>
                <pt idx="57">
                  <v>-2078550.89375</v>
                </pt>
                <pt idx="58">
                  <v>-402087.0904999999</v>
                </pt>
                <pt idx="59">
                  <v>1785789.6</v>
                </pt>
                <pt idx="60">
                  <v>4727286.570000002</v>
                </pt>
                <pt idx="61">
                  <v>2145367.293</v>
                </pt>
                <pt idx="62">
                  <v>3077302.0275</v>
                </pt>
                <pt idx="63">
                  <v>-210250.9259999999</v>
                </pt>
                <pt idx="64">
                  <v>6285236.563449069</v>
                </pt>
                <pt idx="65">
                  <v>1471553.923291691</v>
                </pt>
                <pt idx="66">
                  <v>1708987.985</v>
                </pt>
                <pt idx="67">
                  <v>-84549.58100000001</v>
                </pt>
                <pt idx="68">
                  <v>-100000</v>
                </pt>
              </numCache>
            </numRef>
          </val>
        </ser>
        <dLbls>
          <showLegendKey val="0"/>
          <showVal val="0"/>
          <showCatName val="0"/>
          <showSerName val="0"/>
          <showPercent val="0"/>
          <showBubbleSize val="0"/>
        </dLbls>
        <gapWidth val="150"/>
        <axId val="1006042335"/>
        <axId val="1006036927"/>
      </barChart>
      <dateAx>
        <axId val="1006042335"/>
        <scaling>
          <orientation val="minMax"/>
        </scaling>
        <delete val="0"/>
        <axPos val="b"/>
        <numFmt formatCode="mmm\-yy" sourceLinked="1"/>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baseline="0">
                <a:solidFill>
                  <a:schemeClr val="tx1">
                    <a:lumMod val="65000"/>
                    <a:lumOff val="35000"/>
                  </a:schemeClr>
                </a:solidFill>
                <a:latin typeface="+mn-lt"/>
                <a:ea typeface="+mn-ea"/>
                <a:cs typeface="+mn-cs"/>
              </a:defRPr>
            </a:pPr>
            <a:r>
              <a:t/>
            </a:r>
            <a:endParaRPr lang="pt-BR"/>
          </a:p>
        </txPr>
        <crossAx val="1006036927"/>
        <crosses val="autoZero"/>
        <lblOffset val="100"/>
        <baseTimeUnit val="months"/>
      </dateAx>
      <valAx>
        <axId val="1006036927"/>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_(* #,##0_);_(* \(#,##0\);_(* &quot;-&quot;_);_(@_)" sourceLinked="0"/>
        <majorTickMark val="out"/>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baseline="0">
                <a:solidFill>
                  <a:schemeClr val="tx1">
                    <a:lumMod val="65000"/>
                    <a:lumOff val="35000"/>
                  </a:schemeClr>
                </a:solidFill>
                <a:latin typeface="+mn-lt"/>
                <a:ea typeface="+mn-ea"/>
                <a:cs typeface="+mn-cs"/>
              </a:defRPr>
            </a:pPr>
            <a:r>
              <a:t/>
            </a:r>
            <a:endParaRPr lang="pt-BR"/>
          </a:p>
        </txPr>
        <crossAx val="1006042335"/>
        <crosses val="autoZero"/>
        <crossBetween val="between"/>
        <dispUnits>
          <builtInUnit val="millions"/>
          <dispUnitsLbl>
            <spPr>
              <a:noFill xmlns:a="http://schemas.openxmlformats.org/drawingml/2006/main"/>
              <a:ln xmlns:a="http://schemas.openxmlformats.org/drawingml/2006/main">
                <a:noFill/>
                <a:prstDash val="solid"/>
              </a:ln>
            </spPr>
            <txPr>
              <a:bodyPr xmlns:a="http://schemas.openxmlformats.org/drawingml/2006/main" rot="-5400000" spcFirstLastPara="1" vertOverflow="ellipsis" vert="horz" wrap="square" anchor="ctr" anchorCtr="1"/>
              <a:lstStyle xmlns:a="http://schemas.openxmlformats.org/drawingml/2006/main"/>
              <a:p xmlns:a="http://schemas.openxmlformats.org/drawingml/2006/main">
                <a:pPr>
                  <a:defRPr sz="900" b="0" i="0" strike="noStrike" baseline="0">
                    <a:solidFill>
                      <a:schemeClr val="tx1">
                        <a:lumMod val="65000"/>
                        <a:lumOff val="35000"/>
                      </a:schemeClr>
                    </a:solidFill>
                    <a:latin typeface="+mn-lt"/>
                    <a:ea typeface="+mn-ea"/>
                    <a:cs typeface="+mn-cs"/>
                  </a:defRPr>
                </a:pPr>
                <a:r>
                  <a:t/>
                </a:r>
                <a:endParaRPr lang="pt-BR"/>
              </a:p>
            </txPr>
          </dispUnitsLbl>
        </dispUnits>
      </valAx>
    </plotArea>
    <legend>
      <legendPos val="r"/>
      <layout>
        <manualLayout>
          <xMode val="edge"/>
          <yMode val="edge"/>
          <wMode val="factor"/>
          <hMode val="factor"/>
          <x val="0.06759677961869466"/>
          <y val="0.02613389444740828"/>
          <w val="0.1997617834251521"/>
          <h val="0.1157097019009598"/>
        </manualLayout>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baseline="0">
              <a:solidFill>
                <a:schemeClr val="tx1">
                  <a:lumMod val="65000"/>
                  <a:lumOff val="35000"/>
                </a:schemeClr>
              </a:solidFill>
              <a:latin typeface="+mn-lt"/>
              <a:ea typeface="+mn-ea"/>
              <a:cs typeface="+mn-cs"/>
            </a:defRPr>
          </a:pPr>
          <a:r>
            <a:t/>
          </a:r>
          <a:endParaRPr lang="pt-BR"/>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10.xml><?xml version="1.0" encoding="utf-8"?>
<chartSpace xmlns="http://schemas.openxmlformats.org/drawingml/2006/chart">
  <chart>
    <title>
      <tx>
        <rich>
          <a:bodyPr xmlns:a="http://schemas.openxmlformats.org/drawingml/2006/main"/>
          <a:p xmlns:a="http://schemas.openxmlformats.org/drawingml/2006/main">
            <a:pPr>
              <a:defRPr/>
            </a:pPr>
            <a:r>
              <a:t>Curva S Receita x Desembolso</a:t>
            </a:r>
          </a:p>
        </rich>
      </tx>
    </title>
    <plotArea>
      <lineChart>
        <grouping val="standard"/>
        <ser>
          <idx val="0"/>
          <order val="0"/>
          <tx>
            <v>Receita acumulada</v>
          </tx>
          <spPr>
            <a:ln xmlns:a="http://schemas.openxmlformats.org/drawingml/2006/main">
              <a:prstDash val="solid"/>
            </a:ln>
          </spPr>
          <marker>
            <symbol val="none"/>
            <spPr>
              <a:ln xmlns:a="http://schemas.openxmlformats.org/drawingml/2006/main">
                <a:prstDash val="solid"/>
              </a:ln>
            </spPr>
          </marker>
          <cat>
            <numRef>
              <f>'Investor_Dashboard'!$N$61:$N$129</f>
            </numRef>
          </cat>
          <val>
            <numRef>
              <f>'Investor_Dashboard'!$O$61:$O$129</f>
            </numRef>
          </val>
        </ser>
        <ser>
          <idx val="1"/>
          <order val="1"/>
          <tx>
            <v>Desembolso acumulado</v>
          </tx>
          <spPr>
            <a:ln xmlns:a="http://schemas.openxmlformats.org/drawingml/2006/main">
              <a:prstDash val="solid"/>
            </a:ln>
          </spPr>
          <marker>
            <symbol val="none"/>
            <spPr>
              <a:ln xmlns:a="http://schemas.openxmlformats.org/drawingml/2006/main">
                <a:prstDash val="solid"/>
              </a:ln>
            </spPr>
          </marker>
          <cat>
            <numRef>
              <f>'Investor_Dashboard'!$N$61:$N$129</f>
            </numRef>
          </cat>
          <val>
            <numRef>
              <f>'Investor_Dashboard'!$P$61:$P$129</f>
            </numRef>
          </val>
        </ser>
        <axId val="10"/>
        <axId val="100"/>
      </lineChart>
      <catAx>
        <axId val="10"/>
        <scaling>
          <orientation val="minMax"/>
        </scaling>
        <axPos val="l"/>
        <title>
          <tx>
            <rich>
              <a:bodyPr xmlns:a="http://schemas.openxmlformats.org/drawingml/2006/main"/>
              <a:p xmlns:a="http://schemas.openxmlformats.org/drawingml/2006/main">
                <a:pPr>
                  <a:defRPr/>
                </a:pPr>
                <a:r>
                  <a:t>Mês</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BRL</a:t>
                </a:r>
              </a:p>
            </rich>
          </tx>
        </title>
        <numFmt formatCode="R$ #,##0;[Red](R$ #,##0);-" sourceLinked="0"/>
        <majorTickMark val="none"/>
        <minorTickMark val="none"/>
        <crossAx val="10"/>
      </valAx>
    </plotArea>
    <legend>
      <legendPos val="b"/>
    </legend>
    <plotVisOnly val="1"/>
    <dispBlanksAs val="gap"/>
  </chart>
</chartSpace>
</file>

<file path=xl/charts/chart11.xml><?xml version="1.0" encoding="utf-8"?>
<chartSpace xmlns="http://schemas.openxmlformats.org/drawingml/2006/chart">
  <style val="10"/>
  <chart>
    <title>
      <tx>
        <rich>
          <a:bodyPr xmlns:a="http://schemas.openxmlformats.org/drawingml/2006/main"/>
          <a:p xmlns:a="http://schemas.openxmlformats.org/drawingml/2006/main">
            <a:pPr>
              <a:defRPr/>
            </a:pPr>
            <a:r>
              <a:t>Fluxo mensal</a:t>
            </a:r>
          </a:p>
        </rich>
      </tx>
    </title>
    <plotArea>
      <barChart>
        <barDir val="col"/>
        <grouping val="clustered"/>
        <ser>
          <idx val="0"/>
          <order val="0"/>
          <tx>
            <v>Receita mensal</v>
          </tx>
          <spPr>
            <a:ln xmlns:a="http://schemas.openxmlformats.org/drawingml/2006/main">
              <a:prstDash val="solid"/>
            </a:ln>
          </spPr>
          <cat>
            <numRef>
              <f>'Investor_Dashboard'!$N$61:$N$129</f>
            </numRef>
          </cat>
          <val>
            <numRef>
              <f>'Investor_Dashboard'!$Q$61:$Q$129</f>
            </numRef>
          </val>
        </ser>
        <ser>
          <idx val="1"/>
          <order val="1"/>
          <tx>
            <v>Desembolso mensal</v>
          </tx>
          <spPr>
            <a:ln xmlns:a="http://schemas.openxmlformats.org/drawingml/2006/main">
              <a:prstDash val="solid"/>
            </a:ln>
          </spPr>
          <cat>
            <numRef>
              <f>'Investor_Dashboard'!$N$61:$N$129</f>
            </numRef>
          </cat>
          <val>
            <numRef>
              <f>'Investor_Dashboard'!$R$61:$R$129</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Mês</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BRL</a:t>
                </a:r>
              </a:p>
            </rich>
          </tx>
        </title>
        <numFmt formatCode="R$ #,##0;[Red](R$ #,##0);-" sourceLinked="0"/>
        <majorTickMark val="none"/>
        <minorTickMark val="none"/>
        <crossAx val="10"/>
      </valAx>
    </plotArea>
    <legend>
      <legendPos val="b"/>
    </legend>
    <plotVisOnly val="1"/>
    <dispBlanksAs val="gap"/>
  </chart>
</chartSpace>
</file>

<file path=xl/charts/chart12.xml><?xml version="1.0" encoding="utf-8"?>
<chartSpace xmlns="http://schemas.openxmlformats.org/drawingml/2006/chart">
  <chart>
    <title>
      <tx>
        <rich>
          <a:bodyPr xmlns:a="http://schemas.openxmlformats.org/drawingml/2006/main"/>
          <a:p xmlns:a="http://schemas.openxmlformats.org/drawingml/2006/main">
            <a:pPr>
              <a:defRPr/>
            </a:pPr>
            <a:r>
              <a:t>Resultado líquido acumulado</a:t>
            </a:r>
          </a:p>
        </rich>
      </tx>
    </title>
    <plotArea>
      <lineChart>
        <grouping val="standard"/>
        <ser>
          <idx val="0"/>
          <order val="0"/>
          <tx>
            <v>Resultado acumulado</v>
          </tx>
          <spPr>
            <a:ln xmlns:a="http://schemas.openxmlformats.org/drawingml/2006/main">
              <a:prstDash val="solid"/>
            </a:ln>
          </spPr>
          <marker>
            <symbol val="none"/>
            <spPr>
              <a:ln xmlns:a="http://schemas.openxmlformats.org/drawingml/2006/main">
                <a:prstDash val="solid"/>
              </a:ln>
            </spPr>
          </marker>
          <cat>
            <numRef>
              <f>'Investor_Dashboard'!$N$61:$N$129</f>
            </numRef>
          </cat>
          <val>
            <numRef>
              <f>'Investor_Dashboard'!$S$61:$S$129</f>
            </numRef>
          </val>
        </ser>
        <axId val="10"/>
        <axId val="100"/>
      </lineChart>
      <catAx>
        <axId val="10"/>
        <scaling>
          <orientation val="minMax"/>
        </scaling>
        <axPos val="l"/>
        <title>
          <tx>
            <rich>
              <a:bodyPr xmlns:a="http://schemas.openxmlformats.org/drawingml/2006/main"/>
              <a:p xmlns:a="http://schemas.openxmlformats.org/drawingml/2006/main">
                <a:pPr>
                  <a:defRPr/>
                </a:pPr>
                <a:r>
                  <a:t>Mês</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BRL</a:t>
                </a:r>
              </a:p>
            </rich>
          </tx>
        </title>
        <numFmt formatCode="R$ #,##0;[Red](R$ #,##0);-" sourceLinked="0"/>
        <majorTickMark val="none"/>
        <minorTickMark val="none"/>
        <crossAx val="10"/>
      </valAx>
    </plotArea>
    <plotVisOnly val="1"/>
    <dispBlanksAs val="gap"/>
  </chart>
</chartSpace>
</file>

<file path=xl/charts/chart13.xml><?xml version="1.0" encoding="utf-8"?>
<chartSpace xmlns="http://schemas.openxmlformats.org/drawingml/2006/chart">
  <chart>
    <title>
      <tx>
        <rich>
          <a:bodyPr xmlns:a="http://schemas.openxmlformats.org/drawingml/2006/main"/>
          <a:p xmlns:a="http://schemas.openxmlformats.org/drawingml/2006/main">
            <a:pPr>
              <a:defRPr/>
            </a:pPr>
            <a:r>
              <a:t>Bridge previsto</a:t>
            </a:r>
          </a:p>
        </rich>
      </tx>
    </title>
    <plotArea>
      <barChart>
        <barDir val="col"/>
        <grouping val="clustered"/>
        <ser>
          <idx val="0"/>
          <order val="0"/>
          <tx>
            <strRef>
              <f>'Investor_Dashboard'!B132</f>
            </strRef>
          </tx>
          <spPr>
            <a:ln xmlns:a="http://schemas.openxmlformats.org/drawingml/2006/main">
              <a:prstDash val="solid"/>
            </a:ln>
          </spPr>
          <cat>
            <numRef>
              <f>'Investor_Dashboard'!$A$133:$A$135</f>
            </numRef>
          </cat>
          <val>
            <numRef>
              <f>'Investor_Dashboard'!$B$133:$B$135</f>
            </numRef>
          </val>
        </ser>
        <dLbls>
          <showVal val="1"/>
        </dLbls>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BRL</a:t>
                </a:r>
              </a:p>
            </rich>
          </tx>
        </title>
        <numFmt formatCode="R$ #,##0;[Red](R$ #,##0);-" sourceLinked="0"/>
        <majorTickMark val="none"/>
        <minorTickMark val="none"/>
        <crossAx val="10"/>
      </valAx>
    </plotArea>
    <plotVisOnly val="1"/>
    <dispBlanksAs val="gap"/>
  </chart>
</chartSpace>
</file>

<file path=xl/comments/comment1.xml><?xml version="1.0" encoding="utf-8"?>
<comments xmlns="http://schemas.openxmlformats.org/spreadsheetml/2006/main">
  <authors>
    <author>tc={1FE291D1-19FC-4D7E-8227-77BB0EA40C11}</author>
    <author>c057244</author>
  </authors>
  <commentList>
    <comment ref="C10" authorId="0" shapeId="0">
      <text>
        <t>[Comentário encadeado]
Sua versão do Excel permite que você leia este comentário encadeado, no entanto, as edições serão removidas se o arquivo for aberto em uma versão mais recente do Excel. Saiba mais: https://go.microsoft.com/fwlink/?linkid=870924
Comentário:
    Padrão: BM-9.99.99-XXX-99</t>
      </text>
    </comment>
    <comment ref="H553" authorId="1" shapeId="0">
      <text>
        <t>Esse valor é proveniente da aba 02_Sobressalent_Especif_CEMIG_D e equivale a 90% do valor total da lista de sobressalentes.</t>
      </text>
    </comment>
  </commentList>
</comments>
</file>

<file path=xl/comments/comment2.xml><?xml version="1.0" encoding="utf-8"?>
<comments xmlns="http://schemas.openxmlformats.org/spreadsheetml/2006/main">
  <authors>
    <author>tc={862B5F9C-BB70-4B6C-B29F-4655A05DF348}</author>
    <author>tc={D089FF11-9634-4337-9E65-9343066E8105}</author>
    <author>tc={2058DBAA-0A46-4C31-8FE7-51B2086399CE}</author>
    <author>tc={85F92D28-85F2-428D-9E6C-5F5DB41F81B7}</author>
  </authors>
  <commentList>
    <comment ref="N155" authorId="0" shapeId="0">
      <text>
        <t>[Comentário encadeado]
Sua versão do Excel permite que você leia este comentário encadeado, no entanto, as edições serão removidas se o arquivo for aberto em uma versão mais recente do Excel. Saiba mais: https://go.microsoft.com/fwlink/?linkid=870924
Comentário:
    Pedir ajustes para a cemig de todos os itens da HINE</t>
      </text>
    </comment>
    <comment ref="N156" authorId="1" shapeId="0">
      <text>
        <t>[Comentário encadeado]
Sua versão do Excel permite que você leia este comentário encadeado, no entanto, as edições serão removidas se o arquivo for aberto em uma versão mais recente do Excel. Saiba mais: https://go.microsoft.com/fwlink/?linkid=870924
Comentário:
    Pedir ajustes para a cemig de todos os itens da HINE</t>
      </text>
    </comment>
    <comment ref="N157" authorId="2" shapeId="0">
      <text>
        <t>[Comentário encadeado]
Sua versão do Excel permite que você leia este comentário encadeado, no entanto, as edições serão removidas se o arquivo for aberto em uma versão mais recente do Excel. Saiba mais: https://go.microsoft.com/fwlink/?linkid=870924
Comentário:
    Pedir ajustes para a cemig de todos os itens da HINE</t>
      </text>
    </comment>
    <comment ref="N158" authorId="3" shapeId="0">
      <text>
        <t>[Comentário encadeado]
Sua versão do Excel permite que você leia este comentário encadeado, no entanto, as edições serão removidas se o arquivo for aberto em uma versão mais recente do Excel. Saiba mais: https://go.microsoft.com/fwlink/?linkid=870924
Comentário:
    Pedir ajustes para a cemig de todos os itens da HINE</t>
      </text>
    </comment>
  </commentList>
</comments>
</file>

<file path=xl/comments/comment3.xml><?xml version="1.0" encoding="utf-8"?>
<comments xmlns="http://schemas.openxmlformats.org/spreadsheetml/2006/main">
  <authors>
    <author>tc={C9CB5B7E-DCF4-43A7-A0D4-D326A8FAFA6C}</author>
    <author>tc={0D760808-5B52-4FEB-87D0-7B49814C214F}</author>
    <author>tc={87831089-3CFC-4D30-9BD0-1409C5CC0985}</author>
    <author>tc={A3E1E208-148B-4B65-BF20-461CCE7ACD57}</author>
    <author>tc={7B22444D-CA91-42AE-87E3-ADEA24C85001}</author>
    <author>tc={E4B44FCE-4316-49B4-B00F-A748BDC5CC08}</author>
    <author>tc={F26E6088-9B5D-40CE-B87C-26BB2916D25F}</author>
    <author>tc={09CB1414-B762-48FD-AD3B-78092DAA967E}</author>
    <author>tc={6B106EEA-5FF5-4682-A4C3-26DAB0DAA94A}</author>
    <author>tc={282A221D-52B7-4BC1-95AC-DC683CB66A5C}</author>
    <author>tc={537EE285-84CF-40F1-B850-43B2175F75B9}</author>
  </authors>
  <commentList>
    <comment ref="I9" authorId="0" shapeId="0">
      <text>
        <t>[Comentário encadeado]
Sua versão do Excel permite que você leia este comentário encadeado, no entanto, as edições serão removidas se o arquivo for aberto em uma versão mais recente do Excel. Saiba mais: https://go.microsoft.com/fwlink/?linkid=870924
Comentário:
    Informação a ser incluida no início do contrato. Não imprimir estas colunas
 junto a proposta comercial.</t>
      </text>
    </comment>
    <comment ref="J9" authorId="1" shapeId="0">
      <text>
        <t>[Comentário encadeado]
Sua versão do Excel permite que você leia este comentário encadeado, no entanto, as edições serão removidas se o arquivo for aberto em uma versão mais recente do Excel. Saiba mais: https://go.microsoft.com/fwlink/?linkid=870924
Comentário:
    Informação a ser incluida no início do contrato. Não imprimir estas colunas
 junto a proposta comercial.</t>
      </text>
    </comment>
    <comment ref="K9" authorId="2" shapeId="0">
      <text>
        <t>[Comentário encadeado]
Sua versão do Excel permite que você leia este comentário encadeado, no entanto, as edições serão removidas se o arquivo for aberto em uma versão mais recente do Excel. Saiba mais: https://go.microsoft.com/fwlink/?linkid=870924
Comentário:
    Informação a ser incluida no início do contrato. Não imprimir estas colunas
 junto a proposta comercial.</t>
      </text>
    </comment>
    <comment ref="L9" authorId="3" shapeId="0">
      <text>
        <t>[Comentário encadeado]
Sua versão do Excel permite que você leia este comentário encadeado, no entanto, as edições serão removidas se o arquivo for aberto em uma versão mais recente do Excel. Saiba mais: https://go.microsoft.com/fwlink/?linkid=870924
Comentário:
    Informação a ser incluida no início do contrato. Não imprimir estas colunas
 junto a proposta comercial.</t>
      </text>
    </comment>
    <comment ref="M9" authorId="4" shapeId="0">
      <text>
        <t>[Comentário encadeado]
Sua versão do Excel permite que você leia este comentário encadeado, no entanto, as edições serão removidas se o arquivo for aberto em uma versão mais recente do Excel. Saiba mais: https://go.microsoft.com/fwlink/?linkid=870924
Comentário:
    Informação a ser incluida no início do contrato. Não imprimir estas colunas
 junto a proposta comercial.</t>
      </text>
    </comment>
    <comment ref="N9" authorId="5" shapeId="0">
      <text>
        <t>[Comentário encadeado]
Sua versão do Excel permite que você leia este comentário encadeado, no entanto, as edições serão removidas se o arquivo for aberto em uma versão mais recente do Excel. Saiba mais: https://go.microsoft.com/fwlink/?linkid=870924
Comentário:
    Informação a ser incluida no início do contrato. Não imprimir estas colunas
 junto a proposta comercial.</t>
      </text>
    </comment>
    <comment ref="O9" authorId="6" shapeId="0">
      <text>
        <t>[Comentário encadeado]
Sua versão do Excel permite que você leia este comentário encadeado, no entanto, as edições serão removidas se o arquivo for aberto em uma versão mais recente do Excel. Saiba mais: https://go.microsoft.com/fwlink/?linkid=870924
Comentário:
    Informação a ser incluida no início do contrato. Não imprimir estas colunas
 junto a proposta comercial.</t>
      </text>
    </comment>
    <comment ref="P9" authorId="7" shapeId="0">
      <text>
        <t>[Comentário encadeado]
Sua versão do Excel permite que você leia este comentário encadeado, no entanto, as edições serão removidas se o arquivo for aberto em uma versão mais recente do Excel. Saiba mais: https://go.microsoft.com/fwlink/?linkid=870924
Comentário:
    Informação a ser incluida no início do contrato. Não imprimir estas colunas
 junto a proposta comercial.</t>
      </text>
    </comment>
    <comment ref="Q9" authorId="8" shapeId="0">
      <text>
        <t>[Comentário encadeado]
Sua versão do Excel permite que você leia este comentário encadeado, no entanto, as edições serão removidas se o arquivo for aberto em uma versão mais recente do Excel. Saiba mais: https://go.microsoft.com/fwlink/?linkid=870924
Comentário:
    Informação a ser incluida no início do contrato. Não imprimir estas colunas
 junto a proposta comercial.</t>
      </text>
    </comment>
    <comment ref="R9" authorId="9" shapeId="0">
      <text>
        <t>[Comentário encadeado]
Sua versão do Excel permite que você leia este comentário encadeado, no entanto, as edições serão removidas se o arquivo for aberto em uma versão mais recente do Excel. Saiba mais: https://go.microsoft.com/fwlink/?linkid=870924
Comentário:
    Informação a ser incluida no início do contrato. Não imprimir estas colunas
 junto a proposta comercial.</t>
      </text>
    </comment>
    <comment ref="S9" authorId="10" shapeId="0">
      <text>
        <t>[Comentário encadeado]
Sua versão do Excel permite que você leia este comentário encadeado, no entanto, as edições serão removidas se o arquivo for aberto em uma versão mais recente do Excel. Saiba mais: https://go.microsoft.com/fwlink/?linkid=870924
Comentário:
    Informação a ser incluida no início do contrato. Não imprimir estas colunas
 junto a proposta comercial.</t>
      </text>
    </comment>
  </commentList>
</comments>
</file>

<file path=xl/comments/comment4.xml><?xml version="1.0" encoding="utf-8"?>
<comments xmlns="http://schemas.openxmlformats.org/spreadsheetml/2006/main">
  <authors>
    <author>Codex</author>
  </authors>
  <commentList>
    <comment ref="B5" authorId="0" shapeId="0">
      <text>
        <t>Fonte: 04_TOTALIZADORA (3)!G14:G82</t>
      </text>
    </comment>
    <comment ref="C5" authorId="0" shapeId="0">
      <text>
        <t>Fonte: 04_TOTALIZADORA (3)!H14:H82</t>
      </text>
    </comment>
    <comment ref="D5" authorId="0" shapeId="0">
      <text>
        <t>Fonte: 04_TOTALIZADORA (3)!R14:R82</t>
      </text>
    </comment>
    <comment ref="E5" authorId="0" shapeId="0">
      <text>
        <t>Calculado como soma acumulada da coluna D desta aba; diferença versus U está em Investor_Reconciliation.</t>
      </text>
    </comment>
  </commentList>
</comment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_rels/drawing2.xml.rels><Relationships xmlns="http://schemas.openxmlformats.org/package/2006/relationships"><Relationship Type="http://schemas.openxmlformats.org/officeDocument/2006/relationships/chart" Target="/xl/charts/chart1.xml" Id="rId1"/></Relationships>
</file>

<file path=xl/drawings/_rels/drawing3.xml.rels><Relationships xmlns="http://schemas.openxmlformats.org/package/2006/relationships"><Relationship Type="http://schemas.openxmlformats.org/officeDocument/2006/relationships/chart" Target="/xl/charts/chart2.xml" Id="rId1"/></Relationships>
</file>

<file path=xl/drawings/_rels/drawing4.xml.rels><Relationships xmlns="http://schemas.openxmlformats.org/package/2006/relationships"><Relationship Type="http://schemas.openxmlformats.org/officeDocument/2006/relationships/chart" Target="/xl/charts/chart3.xml" Id="rId1"/><Relationship Type="http://schemas.openxmlformats.org/officeDocument/2006/relationships/chart" Target="/xl/charts/chart4.xml" Id="rId2"/><Relationship Type="http://schemas.openxmlformats.org/officeDocument/2006/relationships/chart" Target="/xl/charts/chart5.xml" Id="rId3"/><Relationship Type="http://schemas.openxmlformats.org/officeDocument/2006/relationships/chart" Target="/xl/charts/chart6.xml" Id="rId4"/><Relationship Type="http://schemas.openxmlformats.org/officeDocument/2006/relationships/chart" Target="/xl/charts/chart7.xml" Id="rId5"/><Relationship Type="http://schemas.openxmlformats.org/officeDocument/2006/relationships/chart" Target="/xl/charts/chart8.xml" Id="rId6"/><Relationship Type="http://schemas.openxmlformats.org/officeDocument/2006/relationships/chart" Target="/xl/charts/chart9.xml" Id="rId7"/></Relationships>
</file>

<file path=xl/drawings/_rels/drawing5.xml.rels><Relationships xmlns="http://schemas.openxmlformats.org/package/2006/relationships"><Relationship Type="http://schemas.openxmlformats.org/officeDocument/2006/relationships/chart" Target="/xl/charts/chart10.xml" Id="rId1"/><Relationship Type="http://schemas.openxmlformats.org/officeDocument/2006/relationships/chart" Target="/xl/charts/chart11.xml" Id="rId2"/><Relationship Type="http://schemas.openxmlformats.org/officeDocument/2006/relationships/chart" Target="/xl/charts/chart12.xml" Id="rId3"/><Relationship Type="http://schemas.openxmlformats.org/officeDocument/2006/relationships/chart" Target="/xl/charts/chart13.xml" Id="rId4"/></Relationships>
</file>

<file path=xl/drawings/drawing1.xml><?xml version="1.0" encoding="utf-8"?>
<wsDr xmlns="http://schemas.openxmlformats.org/drawingml/2006/spreadsheetDrawing">
  <twoCellAnchor editAs="oneCell">
    <from>
      <col>0</col>
      <colOff>64894</colOff>
      <row>1</row>
      <rowOff>50443</rowOff>
    </from>
    <to>
      <col>1</col>
      <colOff>1277231</colOff>
      <row>3</row>
      <rowOff>172133</rowOff>
    </to>
    <pic>
      <nvPicPr>
        <cNvPr id="2" name="Imagem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67764" y="149503"/>
          <a:ext cx="1810507" cy="476020"/>
        </a:xfrm>
        <a:prstGeom xmlns:a="http://schemas.openxmlformats.org/drawingml/2006/main" prst="rect">
          <avLst/>
        </a:prstGeom>
        <a:ln xmlns:a="http://schemas.openxmlformats.org/drawingml/2006/main">
          <a:prstDash val="solid"/>
        </a:ln>
      </spPr>
    </pic>
    <clientData/>
  </twoCellAnchor>
  <twoCellAnchor editAs="oneCell">
    <from>
      <col>15</col>
      <colOff>54219</colOff>
      <row>1</row>
      <rowOff>89192</rowOff>
    </from>
    <to>
      <col>17</col>
      <colOff>1411398</colOff>
      <row>3</row>
      <rowOff>136456</rowOff>
    </to>
    <pic>
      <nvPicPr>
        <cNvPr id="4" name="Imagem 2"/>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13617819" y="279692"/>
          <a:ext cx="2728779" cy="409214"/>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from>
      <col>12</col>
      <colOff>27421</colOff>
      <row>13</row>
      <rowOff>130633</rowOff>
    </from>
    <to>
      <col>17</col>
      <colOff>2117892</colOff>
      <row>67</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3.xml><?xml version="1.0" encoding="utf-8"?>
<wsDr xmlns="http://schemas.openxmlformats.org/drawingml/2006/spreadsheetDrawing">
  <twoCellAnchor>
    <from>
      <col>18</col>
      <colOff>27421</colOff>
      <row>14</row>
      <rowOff>21775</rowOff>
    </from>
    <to>
      <col>23</col>
      <colOff>2117892</colOff>
      <row>67</row>
      <rowOff>87085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4.xml><?xml version="1.0" encoding="utf-8"?>
<wsDr xmlns="http://schemas.openxmlformats.org/drawingml/2006/spreadsheetDrawing">
  <twoCellAnchor>
    <from>
      <col>25</col>
      <colOff>27421</colOff>
      <row>14</row>
      <rowOff>21775</rowOff>
    </from>
    <to>
      <col>30</col>
      <colOff>2117892</colOff>
      <row>67</row>
      <rowOff>87085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17</col>
      <colOff>21128</colOff>
      <row>110</row>
      <rowOff>0</rowOff>
    </from>
    <to>
      <col>24</col>
      <colOff>1446935</colOff>
      <row>129</row>
      <rowOff>161060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17</col>
      <colOff>0</colOff>
      <row>130</row>
      <rowOff>51954</rowOff>
    </from>
    <to>
      <col>24</col>
      <colOff>1425807</colOff>
      <row>149</row>
      <rowOff>89881</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17</col>
      <colOff>1</colOff>
      <row>149</row>
      <rowOff>125036</rowOff>
    </from>
    <to>
      <col>24</col>
      <colOff>1429618</colOff>
      <row>168</row>
      <rowOff>162964</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25</col>
      <colOff>272142</colOff>
      <row>134</row>
      <rowOff>149679</rowOff>
    </from>
    <to>
      <col>30</col>
      <colOff>2380600</colOff>
      <row>169</row>
      <rowOff>65310</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25</col>
      <colOff>285750</colOff>
      <row>171</row>
      <rowOff>54428</rowOff>
    </from>
    <to>
      <col>30</col>
      <colOff>2399923</colOff>
      <row>205</row>
      <rowOff>148857</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18</col>
      <colOff>1</colOff>
      <row>185</row>
      <rowOff>81642</rowOff>
    </from>
    <to>
      <col>22</col>
      <colOff>2109108</colOff>
      <row>217</row>
      <rowOff>94428</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wsDr>
</file>

<file path=xl/drawings/drawing5.xml><?xml version="1.0" encoding="utf-8"?>
<wsDr xmlns="http://schemas.openxmlformats.org/drawingml/2006/spreadsheetDrawing">
  <oneCellAnchor>
    <from>
      <col>0</col>
      <colOff>0</colOff>
      <row>22</row>
      <rowOff>0</rowOff>
    </from>
    <ext cx="612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6</col>
      <colOff>0</colOff>
      <row>22</row>
      <rowOff>0</rowOff>
    </from>
    <ext cx="6120000" cy="32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38</row>
      <rowOff>0</rowOff>
    </from>
    <ext cx="612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6</col>
      <colOff>0</colOff>
      <row>38</row>
      <rowOff>0</rowOff>
    </from>
    <ext cx="612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wsDr>
</file>

<file path=xl/externalLinks/_rels/externalLink1.xml.rels><Relationships xmlns="http://schemas.openxmlformats.org/package/2006/relationships"><Relationship Type="http://schemas.openxmlformats.org/officeDocument/2006/relationships/externalLinkPath" Target="../../05-Financeiro/11-Boletim%20de%20Medi&#231;&#227;o/BM%2003/BM03%20-%20UHE%20Salto%20Grande%20-%20rev00.xlsx" TargetMode="External" Id="rId2"/></Relationships>
</file>

<file path=xl/externalLinks/externalLink1.xml><?xml version="1.0" encoding="utf-8"?>
<externalLink xmlns="http://schemas.openxmlformats.org/spreadsheetml/2006/main">
  <externalBook xmlns:r="http://schemas.openxmlformats.org/officeDocument/2006/relationships" r:id="rId1">
    <sheetNames>
      <sheetName val="03_Eventos_pagamentos"/>
    </sheetNames>
    <sheetDataSet>
      <sheetData sheetId="0">
        <row r="10">
          <cell r="E10">
            <v>4</v>
          </cell>
          <cell r="F10" t="str">
            <v>001-SER</v>
          </cell>
          <cell r="G10" t="str">
            <v>Aprovação do Plano de Emissão de Documentos do Sistema de Supervisão e Controle</v>
          </cell>
        </row>
        <row r="11">
          <cell r="F11" t="str">
            <v>002-SER</v>
          </cell>
          <cell r="G11" t="str">
            <v>Aprovação da arquitetura e do Workstatement do Sistema de Supervisão e Controle</v>
          </cell>
        </row>
        <row r="12">
          <cell r="F12" t="str">
            <v>003-SER</v>
          </cell>
          <cell r="G12" t="str">
            <v>Aprovação dos Diagramas Lógicos das Unidades Funcionais</v>
          </cell>
        </row>
        <row r="13">
          <cell r="F13" t="str">
            <v>004-SER</v>
          </cell>
          <cell r="G13" t="str">
            <v>Aprovação completa dos Documentos do Projeto Executivo e de Fabricação do Sistema de Supervisão e Controle</v>
          </cell>
        </row>
        <row r="14">
          <cell r="F14" t="str">
            <v>005-SER</v>
          </cell>
          <cell r="G14" t="str">
            <v>Aprovação da versão conforme construído do Projeto do Sistema de Supervisão e Controle</v>
          </cell>
        </row>
        <row r="15">
          <cell r="F15" t="str">
            <v>006-MAT</v>
          </cell>
          <cell r="G15" t="str">
            <v>Entrega completa na obra dos equipamentos e materiais na Usina do SDSC da 1ª UF</v>
          </cell>
        </row>
        <row r="16">
          <cell r="F16" t="str">
            <v>007-MAT</v>
          </cell>
          <cell r="G16" t="str">
            <v>Entrega completa na obra dos equipamentos e materiais do SDSC Gerais da Casa de Força e SE</v>
          </cell>
        </row>
        <row r="17">
          <cell r="F17" t="str">
            <v>008-MAT</v>
          </cell>
          <cell r="G17" t="str">
            <v>Entrega completa na obra dos equipamentos e materiais na Usina do SDSC da 2ª UF</v>
          </cell>
        </row>
        <row r="18">
          <cell r="F18" t="str">
            <v>009-MAT</v>
          </cell>
          <cell r="G18" t="str">
            <v>Entrega completa na obra dos equipamentos e materiais na Usina do SDSC da 3ª UF</v>
          </cell>
        </row>
        <row r="19">
          <cell r="F19" t="str">
            <v>010-MAT</v>
          </cell>
          <cell r="G19" t="str">
            <v>Entrega completa na obra dos equipamentos e materiais na Usina do SDSC da 4ª UF</v>
          </cell>
        </row>
        <row r="20">
          <cell r="F20" t="str">
            <v>011-MAT</v>
          </cell>
          <cell r="G20" t="str">
            <v>Entrega completa na obra dos equipamentos e materiais na Usina do SDSC dos Vertedouros e Tomada d'Água</v>
          </cell>
        </row>
        <row r="21">
          <cell r="F21" t="str">
            <v>012-MAT</v>
          </cell>
          <cell r="G21" t="str">
            <v>Entrega completa na obra dos equipamentos e materiais do SDSC da Sala de Controle</v>
          </cell>
        </row>
        <row r="22">
          <cell r="F22" t="str">
            <v>013-SER</v>
          </cell>
          <cell r="G22" t="str">
            <v>Conclusão da Desmontagem, Adequações e Montagem de todos equipamentos e componentes do SDSC da 1ª UF, SE e Sala de Controle, integrado aos demais equipamentos e sistemas</v>
          </cell>
        </row>
        <row r="23">
          <cell r="F23" t="str">
            <v>014-SER</v>
          </cell>
          <cell r="G23" t="str">
            <v>Conclusão das Adequações e Montagem de todos equipamentos e componentes do SDSC dos Vertedouros e Tomada d'Água</v>
          </cell>
        </row>
        <row r="24">
          <cell r="F24" t="str">
            <v>015-SER</v>
          </cell>
          <cell r="G24" t="str">
            <v>Conclusão da Desmontagem, Adequações e Montagem de todos equipamentos e componentes do SDSC da 2ª UF, integrado aos demais equipamentos e sistemas</v>
          </cell>
        </row>
        <row r="25">
          <cell r="F25" t="str">
            <v>016-SER</v>
          </cell>
          <cell r="G25" t="str">
            <v>Conclusão da Desmontagem, Adequações e Montagem de todos equipamentos e componentes do SDSC da 3ª UF, integrado aos demais equipamentos e sistemas</v>
          </cell>
        </row>
        <row r="26">
          <cell r="F26" t="str">
            <v>017-SER</v>
          </cell>
          <cell r="G26" t="str">
            <v>Conclusão da Desmontagem, Adequações e Montagem de todos equipamentos e componentes do SDSC da 4ª UF, integrado aos demais equipamentos e sistemas</v>
          </cell>
        </row>
        <row r="27">
          <cell r="F27" t="str">
            <v>018-SER</v>
          </cell>
          <cell r="G27" t="str">
            <v>Conclusão do Comissionamento do SDSC da 1ª UF, SE e Sala de Controle, integrado aos demais equipamentos e sistemas</v>
          </cell>
        </row>
        <row r="28">
          <cell r="F28" t="str">
            <v>019-SER</v>
          </cell>
          <cell r="G28" t="str">
            <v>Conclusão do Comissionamento do SDSC dos Vertedouros e Tomada d'Água</v>
          </cell>
        </row>
        <row r="29">
          <cell r="F29" t="str">
            <v>020-SER</v>
          </cell>
          <cell r="G29" t="str">
            <v>Conclusão do Comissionamento do SDSC da 2ª UF, integrado aos demais equipamentos e sistemas</v>
          </cell>
        </row>
        <row r="30">
          <cell r="F30" t="str">
            <v>021-SER</v>
          </cell>
          <cell r="G30" t="str">
            <v>Conclusão do Comissionamento do SDSC da 3ª UF, integrado aos demais equipamentos e sistemas</v>
          </cell>
        </row>
        <row r="31">
          <cell r="F31" t="str">
            <v>022-SER</v>
          </cell>
          <cell r="G31" t="str">
            <v>Conclusão do Comissionamento do SDSC da 4ª UF, integrado aos demais equipamentos e sistemas</v>
          </cell>
        </row>
        <row r="32">
          <cell r="F32" t="str">
            <v>023-SER</v>
          </cell>
          <cell r="G32" t="str">
            <v>Aprovação do Plano de Emissão de Documentos do Sistema de Proteção</v>
          </cell>
        </row>
        <row r="33">
          <cell r="F33" t="str">
            <v>024-SER</v>
          </cell>
          <cell r="G33" t="str">
            <v>Aprovação do Diagrama Unifilar de Proteção e Medição</v>
          </cell>
        </row>
        <row r="34">
          <cell r="F34" t="str">
            <v>025-SER</v>
          </cell>
          <cell r="G34" t="str">
            <v>Aprovação da Memória de Cálculo e Dimensionamento do Sistema de Proteção</v>
          </cell>
        </row>
        <row r="35">
          <cell r="F35" t="str">
            <v>026-SER</v>
          </cell>
          <cell r="G35" t="str">
            <v>Aprovação completa dos Documentos do Projeto Executivo e de Fabricação do Sistema de Proteção</v>
          </cell>
        </row>
        <row r="36">
          <cell r="F36" t="str">
            <v>027-SER</v>
          </cell>
          <cell r="G36" t="str">
            <v>Aprovação da versão conforme construído do Projeto do Sistema de Proteção</v>
          </cell>
        </row>
        <row r="37">
          <cell r="F37" t="str">
            <v>028-MAT</v>
          </cell>
          <cell r="G37" t="str">
            <v>Entrega completa na obra dos equipamentos e materiais do Sistemas de Proteção da 1ª UF</v>
          </cell>
        </row>
        <row r="38">
          <cell r="F38" t="str">
            <v>029-MAT</v>
          </cell>
          <cell r="G38" t="str">
            <v>Entrega na usina do Painel completo contendo o Registrador Digital de Perturbações (RDP)</v>
          </cell>
        </row>
        <row r="39">
          <cell r="F39" t="str">
            <v>030-MAT</v>
          </cell>
          <cell r="G39" t="str">
            <v>Entrega na usina das Estações de configuração portáteis, licenças dos softwares, hardkeys e cabos de comunicação do Sistema de Proteção</v>
          </cell>
        </row>
        <row r="40">
          <cell r="F40" t="str">
            <v>031-MAT</v>
          </cell>
          <cell r="G40" t="str">
            <v>Entrega completa na obra dos equipamentos e materiais do Sistemas de Proteção da 2ª UF</v>
          </cell>
        </row>
        <row r="41">
          <cell r="F41" t="str">
            <v>032-MAT</v>
          </cell>
          <cell r="G41" t="str">
            <v>Entrega completa na obra dos equipamentos e materiais do Sistemas de Proteção da 3ª UF</v>
          </cell>
        </row>
        <row r="42">
          <cell r="F42" t="str">
            <v>033-MAT</v>
          </cell>
          <cell r="G42" t="str">
            <v>Entrega completa na obra dos equipamentos e materiais do Sistemas de Proteção da 4ª UF</v>
          </cell>
        </row>
        <row r="43">
          <cell r="F43" t="str">
            <v>034-SER</v>
          </cell>
          <cell r="G43" t="str">
            <v>Conclusão da Montagem de todos equipamentos e componentes do Sistema de Proteção da 1ª UF, integrado aos demais equipamentos e sistemas</v>
          </cell>
        </row>
        <row r="44">
          <cell r="F44" t="str">
            <v>035-SER</v>
          </cell>
          <cell r="G44" t="str">
            <v>Conclusão da Montagem de todos equipamentos e componentes do Sistema de Proteção da 2ª UF, integrado aos demais equipamentos e sistemas</v>
          </cell>
        </row>
        <row r="45">
          <cell r="F45" t="str">
            <v>036-SER</v>
          </cell>
          <cell r="G45" t="str">
            <v>Conclusão da Montagem de todos equipamentos e componentes do Sistema de Proteção da 3ª UF, integrado aos demais equipamentos e sistemas</v>
          </cell>
        </row>
        <row r="46">
          <cell r="F46" t="str">
            <v>037-SER</v>
          </cell>
          <cell r="G46" t="str">
            <v>Conclusão da Montagem de todos equipamentos e componentes do Sistema de Proteção da 4ª UF, integrado aos demais equipamentos e sistemas</v>
          </cell>
        </row>
        <row r="47">
          <cell r="F47" t="str">
            <v>038-SER</v>
          </cell>
          <cell r="G47" t="str">
            <v>Conclusão do Comissionamento do Sistema de Proteção da 1ª UF</v>
          </cell>
        </row>
        <row r="48">
          <cell r="F48" t="str">
            <v>039-SER</v>
          </cell>
          <cell r="G48" t="str">
            <v>Conclusão do Comissionamento do Sistema de Proteção da 2ª UF</v>
          </cell>
        </row>
        <row r="49">
          <cell r="F49" t="str">
            <v>040-SER</v>
          </cell>
          <cell r="G49" t="str">
            <v>Conclusão do Comissionamento do Sistema de Proteção da 3ª UF</v>
          </cell>
        </row>
        <row r="50">
          <cell r="F50" t="str">
            <v>041-SER</v>
          </cell>
          <cell r="G50" t="str">
            <v>Conclusão do Comissionamento do Sistema de Proteção da 4ª UF</v>
          </cell>
        </row>
        <row r="51">
          <cell r="F51" t="str">
            <v>042-SER</v>
          </cell>
          <cell r="G51" t="str">
            <v>Aprovação do Plano de Emissão de Documentos do Sistema de Regulação de Velocidade</v>
          </cell>
        </row>
        <row r="52">
          <cell r="F52" t="str">
            <v>043-SER</v>
          </cell>
          <cell r="G52" t="str">
            <v>Aprovação da Memória de Cálculo e Dimensionamento do Sistema de Regulação de Velocidade</v>
          </cell>
        </row>
        <row r="53">
          <cell r="F53" t="str">
            <v>044-SER</v>
          </cell>
          <cell r="G53" t="str">
            <v>Aprovação completa dos Documentos do Projeto Executivo e de Fabricação do Sistema de Regulação de Velocidade</v>
          </cell>
        </row>
        <row r="54">
          <cell r="F54" t="str">
            <v>045-SER</v>
          </cell>
          <cell r="G54" t="str">
            <v>Aprovação da versão conforme construído do Projeto do Sistema de Regulação de Velocidade</v>
          </cell>
        </row>
        <row r="55">
          <cell r="F55" t="str">
            <v>046-MAT</v>
          </cell>
          <cell r="G55" t="str">
            <v>Entrega em campo dos equipamentos e componentes do Sistema de Regulação de Velocidade da 1ª UF</v>
          </cell>
        </row>
        <row r="56">
          <cell r="F56" t="str">
            <v>047-MAT</v>
          </cell>
          <cell r="G56" t="str">
            <v>Entrega na usina das Licenças dos softwares, hardkeys e cabos de comunicação do Sistema de Regulação de Velocidade</v>
          </cell>
        </row>
        <row r="57">
          <cell r="F57" t="str">
            <v>048-MAT</v>
          </cell>
          <cell r="G57" t="str">
            <v>Entrega em campo dos equipamentos e componentes do Sistema de Regulação de Velocidade da 2ª UF</v>
          </cell>
        </row>
        <row r="58">
          <cell r="F58" t="str">
            <v>049-MAT</v>
          </cell>
          <cell r="G58" t="str">
            <v>Entrega em campo dos equipamentos e componentes do Sistema de Regulação de Velocidade da 3ª UF</v>
          </cell>
        </row>
        <row r="59">
          <cell r="F59" t="str">
            <v>050-MAT</v>
          </cell>
          <cell r="G59" t="str">
            <v>Entrega em campo dos equipamentos e componentes do Sistema de Regulação de Velocidade da 4ª UF</v>
          </cell>
        </row>
        <row r="60">
          <cell r="F60" t="str">
            <v>051-SER</v>
          </cell>
          <cell r="G60" t="str">
            <v>Conclusão da Montagem de todos equipamentos e componentes do Sistema de Regulação de Velocidade  da 1ª UF</v>
          </cell>
        </row>
        <row r="61">
          <cell r="F61" t="str">
            <v>052-SER</v>
          </cell>
          <cell r="G61" t="str">
            <v>Conclusão da Montagem de todos equipamentos e componentes do Sistema de Regulação de Velocidade  da 2ª UF</v>
          </cell>
        </row>
        <row r="62">
          <cell r="F62" t="str">
            <v>053-SER</v>
          </cell>
          <cell r="G62" t="str">
            <v>Conclusão da Montagem de todos equipamentos e componentes do Sistema de Regulação de Velocidade  da 3ª UF</v>
          </cell>
        </row>
        <row r="63">
          <cell r="F63" t="str">
            <v>054-SER</v>
          </cell>
          <cell r="G63" t="str">
            <v>Conclusão da Montagem de todos equipamentos e componentes do Sistema de Regulação de Velocidade  da 4ª UF</v>
          </cell>
        </row>
        <row r="64">
          <cell r="F64" t="str">
            <v>055-SER</v>
          </cell>
          <cell r="G64" t="str">
            <v>Conclusão do Comissionamento do Sistema de Regulação de Velocidade da 1ª UF</v>
          </cell>
        </row>
        <row r="65">
          <cell r="F65" t="str">
            <v>056-SER</v>
          </cell>
          <cell r="G65" t="str">
            <v>Conclusão do Comissionamento do Sistema de Regulação de Velocidade da 2ª UF</v>
          </cell>
        </row>
        <row r="66">
          <cell r="F66" t="str">
            <v>057-SER</v>
          </cell>
          <cell r="G66" t="str">
            <v>Conclusão do Comissionamento do Sistema de Regulação de Velocidade da 3ª UF</v>
          </cell>
        </row>
        <row r="67">
          <cell r="F67" t="str">
            <v>058-SER</v>
          </cell>
          <cell r="G67" t="str">
            <v>Conclusão do Comissionamento do Sistema de Regulação de Velocidade da 4ª UF</v>
          </cell>
        </row>
        <row r="68">
          <cell r="F68" t="str">
            <v>059-SER</v>
          </cell>
          <cell r="G68" t="str">
            <v>Aprovação do Plano de Emissão de Documentos dos Serviços Auxiliares Elétricos CA</v>
          </cell>
        </row>
        <row r="69">
          <cell r="F69" t="str">
            <v>060-SER</v>
          </cell>
          <cell r="G69" t="str">
            <v>Aprovação do Diagrama Unifilar dos Serviços Auxiliares Elétricos CA</v>
          </cell>
        </row>
        <row r="70">
          <cell r="F70" t="str">
            <v>061-SER</v>
          </cell>
          <cell r="G70" t="str">
            <v>Aprovação da Memória de Cálculo e Dimensionamento dos Serviços Auxiliares Elétricos CA</v>
          </cell>
        </row>
        <row r="71">
          <cell r="F71" t="str">
            <v>062-SER</v>
          </cell>
          <cell r="G71" t="str">
            <v>Aprovação completa dos Documentos do Projeto Executivo e de Fabricação dos Serviços Auxiliares Elétricos CA</v>
          </cell>
        </row>
        <row r="72">
          <cell r="F72" t="str">
            <v>063-SER</v>
          </cell>
          <cell r="G72" t="str">
            <v>Aprovação da versão conforme construído do Projeto dos Serviços Auxiliares Elétricos CA</v>
          </cell>
        </row>
        <row r="73">
          <cell r="F73" t="str">
            <v>064-MAT</v>
          </cell>
          <cell r="G73" t="str">
            <v>Entrega em campo dos equipamentos e componentes dos Serviços Auxiliares Elétricos CA da 1ª UF - Parcela 1</v>
          </cell>
        </row>
        <row r="74">
          <cell r="F74" t="str">
            <v>065-MAT</v>
          </cell>
          <cell r="G74" t="str">
            <v>Entrega em campo dos equipamentos e componentes dos Serviços Auxiliares Elétricos CA da 1ª UF - Parcela 2</v>
          </cell>
        </row>
        <row r="75">
          <cell r="F75" t="str">
            <v>066-MAT</v>
          </cell>
          <cell r="G75" t="str">
            <v>Entrega em campo dos equipamentos e componentes dos Serviços Auxiliares Elétricos CA da 3ª UF</v>
          </cell>
        </row>
        <row r="76">
          <cell r="F76" t="str">
            <v>067-SER</v>
          </cell>
          <cell r="G76" t="str">
            <v>Conclusão da Montagem de todos equipamentos e componentes dos Serviços Auxiliares Elétricos CA da 1ª UF, integrado aos demais equipamentos e sistemas</v>
          </cell>
        </row>
        <row r="77">
          <cell r="F77" t="str">
            <v>068-SER</v>
          </cell>
          <cell r="G77" t="str">
            <v>Conclusão da Montagem de todos equipamentos e componentes dos Serviços Auxiliares Elétricos CA da 2ª UF, integrado aos demais equipamentos e sistemas</v>
          </cell>
        </row>
        <row r="78">
          <cell r="F78" t="str">
            <v>069-SER</v>
          </cell>
          <cell r="G78" t="str">
            <v>Conclusão da Montagem de todos equipamentos e componentes dos Serviços Auxiliares Elétricos CA da 3ª UF, integrado aos demais equipamentos e sistemas</v>
          </cell>
        </row>
        <row r="79">
          <cell r="F79" t="str">
            <v>070-SER</v>
          </cell>
          <cell r="G79" t="str">
            <v>Conclusão da Montagem de todos equipamentos e componentes dos Serviços Auxiliares Elétricos CA da 4ª UF, integrado aos demais equipamentos e sistemas</v>
          </cell>
        </row>
        <row r="80">
          <cell r="F80" t="str">
            <v>071-SER</v>
          </cell>
          <cell r="G80" t="str">
            <v>Conclusão da Comissionamento de todos equipamentos e componentes dos Serviços Auxiliares Elétricos CA da 1ª UF, integrado aos demais equipamentos e sistemas</v>
          </cell>
        </row>
        <row r="81">
          <cell r="F81" t="str">
            <v>072-SER</v>
          </cell>
          <cell r="G81" t="str">
            <v>Conclusão da Comissionamento de todos equipamentos e componentes dos Serviços Auxiliares Elétricos CA da 2ª UF, integrado aos demais equipamentos e sistemas</v>
          </cell>
        </row>
        <row r="82">
          <cell r="F82" t="str">
            <v>073-SER</v>
          </cell>
          <cell r="G82" t="str">
            <v>Conclusão da Comissionamento de todos equipamentos e componentes dos Serviços Auxiliares Elétricos CA da 3ª UF, integrado aos demais equipamentos e sistemas</v>
          </cell>
        </row>
        <row r="83">
          <cell r="F83" t="str">
            <v>074-SER</v>
          </cell>
          <cell r="G83" t="str">
            <v>Conclusão da Comissionamento de todos equipamentos e componentes dos Serviços Auxiliares Elétricos CA da 4ª UF, integrado aos demais equipamentos e sistemas</v>
          </cell>
        </row>
        <row r="84">
          <cell r="F84" t="str">
            <v>075-SER</v>
          </cell>
          <cell r="G84" t="str">
            <v>Aprovação do Plano de Emissão de Documentos dos Serviços Auxiliares Elétricos CC</v>
          </cell>
        </row>
        <row r="85">
          <cell r="F85" t="str">
            <v>076-SER</v>
          </cell>
          <cell r="G85" t="str">
            <v>Aprovação do Diagrama Unifilar dos Serviços Auxiliares Elétricos CC</v>
          </cell>
        </row>
        <row r="86">
          <cell r="F86" t="str">
            <v>077-SER</v>
          </cell>
          <cell r="G86" t="str">
            <v>Aprovação da Memória de Cálculo e Dimensionamento dos Serviços Auxiliares Elétricos CC</v>
          </cell>
        </row>
        <row r="87">
          <cell r="F87" t="str">
            <v>078-SER</v>
          </cell>
          <cell r="G87" t="str">
            <v>Aprovação completa dos Documentos do Projeto Executivo e de Fabricação dos Serviços Auxiliares Elétricos CC</v>
          </cell>
        </row>
        <row r="88">
          <cell r="F88" t="str">
            <v>079-SER</v>
          </cell>
          <cell r="G88" t="str">
            <v>Aprovação da versão conforme construído do Projeto dos Serviços Auxiliares Elétricos CC</v>
          </cell>
        </row>
        <row r="89">
          <cell r="F89" t="str">
            <v>080-MAT</v>
          </cell>
          <cell r="G89" t="str">
            <v>Entrega em campo dos equipamentos e componentes dos Serviços Auxiliares Elétricos CC da 1ª UF - Parcela 1</v>
          </cell>
        </row>
        <row r="90">
          <cell r="F90" t="str">
            <v>081-MAT</v>
          </cell>
          <cell r="G90" t="str">
            <v>Entrega em campo dos equipamentos e componentes dos Serviços Auxiliares Elétricos CC da 1ª UF - Parcela 2</v>
          </cell>
        </row>
        <row r="91">
          <cell r="F91" t="str">
            <v>082-MAT</v>
          </cell>
          <cell r="G91" t="str">
            <v>Entrega em campo dos equipamentos e componentes dos Serviços Auxiliares Elétricos CC da 3ª UF</v>
          </cell>
        </row>
        <row r="92">
          <cell r="F92" t="str">
            <v>083-SER</v>
          </cell>
          <cell r="G92" t="str">
            <v>Conclusão da Desmontagem, Adequações e Montagem de todos equipamentos e componentes dos Serviços Auxiliares Elétricos CC da 1ª UF, integrado aos demais equipamentos e sistemas</v>
          </cell>
        </row>
        <row r="93">
          <cell r="F93" t="str">
            <v>084-SER</v>
          </cell>
          <cell r="G93" t="str">
            <v>Conclusão da Desmontagem, Adequações e Montagem de todos equipamentos e componentes dos Serviços Auxiliares Elétricos CC da 2ª UF, integrado aos demais equipamentos e sistemas</v>
          </cell>
        </row>
        <row r="94">
          <cell r="F94" t="str">
            <v>085-SER</v>
          </cell>
          <cell r="G94" t="str">
            <v>Conclusão da Desmontagem, Adequações e Montagem de todos equipamentos e componentes dos Serviços Auxiliares Elétricos CC da 3ª UF, integrado aos demais equipamentos e sistemas</v>
          </cell>
        </row>
        <row r="95">
          <cell r="F95" t="str">
            <v>086-SER</v>
          </cell>
          <cell r="G95" t="str">
            <v>Conclusão da Desmontagem, Adequações e Montagem de todos equipamentos e componentes dos Serviços Auxiliares Elétricos CC da 4ª UF, integrado aos demais equipamentos e sistemas</v>
          </cell>
        </row>
        <row r="96">
          <cell r="F96" t="str">
            <v>087-SER</v>
          </cell>
          <cell r="G96" t="str">
            <v>Conclusão da Comissionamento de todos equipamentos e componentes dos Serviços Auxiliares Elétricos CC da 1ª UF, integrado aos demais equipamentos e sistemas</v>
          </cell>
        </row>
        <row r="97">
          <cell r="F97" t="str">
            <v>088-SER</v>
          </cell>
          <cell r="G97" t="str">
            <v>Conclusão da Comissionamento de todos equipamentos e componentes dos Serviços Auxiliares Elétricos CC da 2ª UF, integrado aos demais equipamentos e sistemas</v>
          </cell>
        </row>
        <row r="98">
          <cell r="F98" t="str">
            <v>089-SER</v>
          </cell>
          <cell r="G98" t="str">
            <v>Conclusão da Comissionamento de todos equipamentos e componentes dos Serviços Auxiliares Elétricos CC da 3ª UF, integrado aos demais equipamentos e sistemas</v>
          </cell>
        </row>
        <row r="99">
          <cell r="F99" t="str">
            <v>090-SER</v>
          </cell>
          <cell r="G99" t="str">
            <v>Conclusão da Comissionamento de todos equipamentos e componentes dos Serviços Auxiliares Elétricos CC da 4ª UF, integrado aos demais equipamentos e sistemas</v>
          </cell>
        </row>
        <row r="100">
          <cell r="F100" t="str">
            <v>091-SER</v>
          </cell>
          <cell r="G100" t="str">
            <v>Aprovação do Plano de Emissão de Documentos do Sistema de Excitação</v>
          </cell>
        </row>
        <row r="101">
          <cell r="F101" t="str">
            <v>092-SER</v>
          </cell>
          <cell r="G101" t="str">
            <v>Aprovação da Memória de Cálculo e Dimensionamento do Sistema de Excitação</v>
          </cell>
        </row>
        <row r="102">
          <cell r="F102" t="str">
            <v>093-SER</v>
          </cell>
          <cell r="G102" t="str">
            <v>Aprovação completa dos Documentos do Projeto Executivo e de Fabricação do Sistema de Excitação</v>
          </cell>
        </row>
        <row r="103">
          <cell r="F103" t="str">
            <v>094-SER</v>
          </cell>
          <cell r="G103" t="str">
            <v>Aprovação da versão conforme construído do Projeto do Sistema de Excitação</v>
          </cell>
        </row>
        <row r="104">
          <cell r="F104" t="str">
            <v>095-MAT</v>
          </cell>
          <cell r="G104" t="str">
            <v>Entrega em campo dos equipamentos e componentes do Sistema de Excitação da 1ª UF</v>
          </cell>
        </row>
        <row r="105">
          <cell r="F105" t="str">
            <v>096-MAT</v>
          </cell>
          <cell r="G105" t="str">
            <v>Entrega na usina do notebook e das licenças dos softwares, hardkeys e cabos de comunicação do Sistema de Excitação</v>
          </cell>
        </row>
        <row r="106">
          <cell r="F106" t="str">
            <v>097-MAT</v>
          </cell>
          <cell r="G106" t="str">
            <v>Entrega em campo dos equipamentos e componentes do Sistema de Excitação da 2ª UF</v>
          </cell>
        </row>
        <row r="107">
          <cell r="F107" t="str">
            <v>098-MAT</v>
          </cell>
          <cell r="G107" t="str">
            <v>Entrega em campo dos equipamentos e componentes do Sistema de Excitação da 3ª UF</v>
          </cell>
        </row>
        <row r="108">
          <cell r="F108" t="str">
            <v>099-MAT</v>
          </cell>
          <cell r="G108" t="str">
            <v>Entrega em campo dos equipamentos e componentes do Sistema de Excitação da 4ª UF</v>
          </cell>
        </row>
        <row r="109">
          <cell r="F109" t="str">
            <v>100-SER</v>
          </cell>
          <cell r="G109" t="str">
            <v>Conclusão da Desmontagem e Montagem de todos equipamentos e componentes do Sistema de Excitação da 1ª UF</v>
          </cell>
        </row>
        <row r="110">
          <cell r="F110" t="str">
            <v>101-SER</v>
          </cell>
          <cell r="G110" t="str">
            <v>Conclusão da Desmontagem e Montagem de todos equipamentos e componentes do Sistema de Excitação da 2ª UF</v>
          </cell>
        </row>
        <row r="111">
          <cell r="F111" t="str">
            <v>102-SER</v>
          </cell>
          <cell r="G111" t="str">
            <v>Conclusão da Desmontagem e Montagem de todos equipamentos e componentes do Sistema de Excitação da 3ª UF</v>
          </cell>
        </row>
        <row r="112">
          <cell r="F112" t="str">
            <v>103-SER</v>
          </cell>
          <cell r="G112" t="str">
            <v>Conclusão da Desmontagem e Montagem de todos equipamentos e componentes do Sistema de Excitação da 4ª UF</v>
          </cell>
        </row>
        <row r="113">
          <cell r="F113" t="str">
            <v>104-SER</v>
          </cell>
          <cell r="G113" t="str">
            <v>Conclusão do Comissionamento de todos equipamentos e componentes do Sistema de Excitação da 1ª UF</v>
          </cell>
        </row>
        <row r="114">
          <cell r="F114" t="str">
            <v>105-SER</v>
          </cell>
          <cell r="G114" t="str">
            <v>Conclusão do Comissionamento de todos equipamentos e componentes do Sistema de Excitação da 2ª UF</v>
          </cell>
        </row>
        <row r="115">
          <cell r="F115" t="str">
            <v>106-SER</v>
          </cell>
          <cell r="G115" t="str">
            <v>Conclusão do Comissionamento de todos equipamentos e componentes do Sistema de Excitação da 3ª UF</v>
          </cell>
        </row>
        <row r="116">
          <cell r="F116" t="str">
            <v>107-SER</v>
          </cell>
          <cell r="G116" t="str">
            <v>Conclusão do Comissionamento de todos equipamentos e componentes do Sistema de Excitação da 4ª UF</v>
          </cell>
        </row>
        <row r="117">
          <cell r="F117" t="str">
            <v>108-SER</v>
          </cell>
          <cell r="G117" t="str">
            <v>Aprovação do Plano de Emissão de Documentos da Instrumentação</v>
          </cell>
        </row>
        <row r="118">
          <cell r="F118" t="str">
            <v>109-SER</v>
          </cell>
          <cell r="G118" t="str">
            <v>Aprovação completa dos Documentos do Projeto Executivo e de Fabricação da Instrumentação das UFs</v>
          </cell>
        </row>
        <row r="119">
          <cell r="F119" t="str">
            <v>110-SER</v>
          </cell>
          <cell r="G119" t="str">
            <v>Aprovação completa dos Documentos do Projeto Executivo e de Fabricação da Instrumentação dos Sistemas Gerais da Casa de Força</v>
          </cell>
        </row>
        <row r="120">
          <cell r="F120" t="str">
            <v>111-SER</v>
          </cell>
          <cell r="G120" t="str">
            <v>Aprovação da versão conforme construído do Projeto da Instrumentação</v>
          </cell>
        </row>
        <row r="121">
          <cell r="F121" t="str">
            <v>112-MAT</v>
          </cell>
          <cell r="G121" t="str">
            <v>Entrega em campo dos equipamentos e componentes da Instrumentação da 1ª UF</v>
          </cell>
        </row>
        <row r="122">
          <cell r="F122" t="str">
            <v>113-MAT</v>
          </cell>
          <cell r="G122" t="str">
            <v>Entrega em campo dos equipamentos e componentes da Instrumentação dos Sistemas Gerais da Casa de Força</v>
          </cell>
        </row>
        <row r="123">
          <cell r="F123" t="str">
            <v>114-MAT</v>
          </cell>
          <cell r="G123" t="str">
            <v>Entrega em campo dos equipamentos e componentes da Instrumentação da 2ª UF</v>
          </cell>
        </row>
        <row r="124">
          <cell r="F124" t="str">
            <v>115-MAT</v>
          </cell>
          <cell r="G124" t="str">
            <v>Entrega em campo dos equipamentos e componentes da Instrumentação da 3ª UF</v>
          </cell>
        </row>
        <row r="125">
          <cell r="F125" t="str">
            <v>116-MAT</v>
          </cell>
          <cell r="G125" t="str">
            <v>Entrega em campo dos equipamentos e componentes da Instrumentação da 4ª UF</v>
          </cell>
        </row>
        <row r="126">
          <cell r="F126" t="str">
            <v>117-SER</v>
          </cell>
          <cell r="G126" t="str">
            <v>Conclusão da Desmontagem e Montagem de toda a instrumentação e componentes da 1ª UF</v>
          </cell>
        </row>
        <row r="127">
          <cell r="F127" t="str">
            <v>118-SER</v>
          </cell>
          <cell r="G127" t="str">
            <v>Conclusão da Desmontagem e Montagem de toda a instrumentação e componentes dos Sistemas Gerais da Casa de Força</v>
          </cell>
        </row>
        <row r="128">
          <cell r="F128" t="str">
            <v>119-SER</v>
          </cell>
          <cell r="G128" t="str">
            <v>Conclusão da Desmontagem e Montagem de toda a instrumentação e componentes da 2ª UF</v>
          </cell>
        </row>
        <row r="129">
          <cell r="F129" t="str">
            <v>120-SER</v>
          </cell>
          <cell r="G129" t="str">
            <v>Conclusão da Desmontagem e Montagem de toda a instrumentação e componentes da 3ª UF</v>
          </cell>
        </row>
        <row r="130">
          <cell r="F130" t="str">
            <v>121-SER</v>
          </cell>
          <cell r="G130" t="str">
            <v>Conclusão da Desmontagem e Montagem de toda a instrumentação e componentes da 4ª UF</v>
          </cell>
        </row>
        <row r="131">
          <cell r="F131" t="str">
            <v>122-SER</v>
          </cell>
          <cell r="G131" t="str">
            <v>Conclusão do Comissionamento de toda a instrumentação e componentes da 1ª UF</v>
          </cell>
        </row>
        <row r="132">
          <cell r="F132" t="str">
            <v>123-SER</v>
          </cell>
          <cell r="G132" t="str">
            <v>Conclusão do Comissionamento de toda a instrumentação e componentes dos Sistemas Gerais da Casa de Força</v>
          </cell>
        </row>
        <row r="133">
          <cell r="F133" t="str">
            <v>124-SER</v>
          </cell>
          <cell r="G133" t="str">
            <v>Conclusão do Comissionamento de toda a instrumentação e componentes da 2ª UF</v>
          </cell>
        </row>
        <row r="134">
          <cell r="F134" t="str">
            <v>125-SER</v>
          </cell>
          <cell r="G134" t="str">
            <v>Conclusão do Comissionamento de toda a instrumentação e componentes da 3ª UF</v>
          </cell>
        </row>
        <row r="135">
          <cell r="F135" t="str">
            <v>126-SER</v>
          </cell>
          <cell r="G135" t="str">
            <v>Conclusão do Comissionamento de toda a instrumentação e componentes da 4ª UF</v>
          </cell>
        </row>
        <row r="136">
          <cell r="F136" t="str">
            <v>127-SER</v>
          </cell>
          <cell r="G136" t="str">
            <v>Aprovação do Plano de Emissão de Documentos da Reforma do Geradores</v>
          </cell>
        </row>
        <row r="137">
          <cell r="F137" t="str">
            <v>128-SER</v>
          </cell>
          <cell r="G137" t="str">
            <v>Aprovação de 50% do Projeto Executivo da Reforma dos Geradores da 1ª UF e da 2ª UF, conforme PED aprovada</v>
          </cell>
        </row>
        <row r="138">
          <cell r="F138" t="str">
            <v>129-SER</v>
          </cell>
          <cell r="G138" t="str">
            <v>Aprovação completa do Projeto Executivo da Reforma dos Geradores da 1ª UF e da 2ª UF</v>
          </cell>
        </row>
        <row r="139">
          <cell r="F139" t="str">
            <v>130-SER</v>
          </cell>
          <cell r="G139" t="str">
            <v>Aprovação de 50% do Projeto Executivo da Reforma dos Geradores da 3ª UF e da 4ª UF, conforme PED aprovada</v>
          </cell>
        </row>
        <row r="140">
          <cell r="F140" t="str">
            <v>131-SER</v>
          </cell>
          <cell r="G140" t="str">
            <v>Aprovação completa do Projeto Executivo da Reforma dos Geradores da 1ª UF e da 2ª UF</v>
          </cell>
        </row>
        <row r="141">
          <cell r="F141" t="str">
            <v>132-SER</v>
          </cell>
          <cell r="G141" t="str">
            <v>Aprovação da versão conforme construído do Projeto dos Geradores da 1ª UF e da 2ª UF</v>
          </cell>
        </row>
        <row r="142">
          <cell r="F142" t="str">
            <v>133-SER</v>
          </cell>
          <cell r="G142" t="str">
            <v>Aprovação da versão conforme construído do Projeto dos Geradores da 3ª UF e da 4ª UF</v>
          </cell>
        </row>
        <row r="143">
          <cell r="F143" t="str">
            <v>134-SER</v>
          </cell>
          <cell r="G143" t="str">
            <v>Conclusão das Medições e Ensaios antes da Liberação para Desmontagem da 1ª UF</v>
          </cell>
        </row>
        <row r="144">
          <cell r="F144" t="str">
            <v>135-SER</v>
          </cell>
          <cell r="G144" t="str">
            <v>Conclusão das Medições e Ensaios antes da Liberação para Desmontagem da 2ª UF</v>
          </cell>
        </row>
        <row r="145">
          <cell r="F145" t="str">
            <v>136-SER</v>
          </cell>
          <cell r="G145" t="str">
            <v>Transferência do rotor do gerador para a área de montagem da usina da 1ª UF</v>
          </cell>
        </row>
        <row r="146">
          <cell r="F146" t="str">
            <v>137-SER</v>
          </cell>
          <cell r="G146" t="str">
            <v>Transferência do rotor do gerador para a área de montagem da usina da 2ª UF</v>
          </cell>
        </row>
        <row r="147">
          <cell r="F147" t="str">
            <v>138-SER</v>
          </cell>
          <cell r="G147" t="str">
            <v>Remoção do enrolamento estatórico e desmontagem do núcleo do estator da 1ª UF</v>
          </cell>
        </row>
        <row r="148">
          <cell r="F148" t="str">
            <v>139-SER</v>
          </cell>
          <cell r="G148" t="str">
            <v>Remoção do enrolamento estatórico e desmontagem do núcleo do estator da 2ª UF</v>
          </cell>
        </row>
        <row r="149">
          <cell r="F149" t="str">
            <v>140-SER</v>
          </cell>
          <cell r="G149" t="str">
            <v>Remoção dos polos do rotor, embalagem e o transporte para a fábrica da 1ª UF</v>
          </cell>
        </row>
        <row r="150">
          <cell r="F150" t="str">
            <v>141-SER</v>
          </cell>
          <cell r="G150" t="str">
            <v>Remoção dos polos do rotor, embalagem e o transporte para a fábrica da 2ª UF</v>
          </cell>
        </row>
        <row r="151">
          <cell r="F151" t="str">
            <v>142-SER</v>
          </cell>
          <cell r="G151" t="str">
            <v>Análise estrutural da carcaça do gerador da 1ª UF</v>
          </cell>
        </row>
        <row r="152">
          <cell r="F152" t="str">
            <v>143-SER</v>
          </cell>
          <cell r="G152" t="str">
            <v>Análise estrutural da carcaça do gerador da 2ª UF</v>
          </cell>
        </row>
        <row r="153">
          <cell r="F153" t="str">
            <v>144-MAT</v>
          </cell>
          <cell r="G153" t="str">
            <v>Entrega em campo dos materiais, equipamentos e componentes para reforma e do Gerador da 1ª UF - Parcela 1</v>
          </cell>
        </row>
        <row r="154">
          <cell r="F154" t="str">
            <v>145-MAT</v>
          </cell>
          <cell r="G154" t="str">
            <v>Entrega em campo dos materiais, equipamentos e componentes para reforma e do Gerador da 2ª UF - Parcela 1</v>
          </cell>
        </row>
        <row r="155">
          <cell r="F155" t="str">
            <v>146-MAT</v>
          </cell>
          <cell r="G155" t="str">
            <v>Entrega em campo dos materiais, equipamentos e componentes para reforma e do Gerador da 1ª UF - Parcela 2</v>
          </cell>
        </row>
        <row r="156">
          <cell r="F156" t="str">
            <v>147-MAT</v>
          </cell>
          <cell r="G156" t="str">
            <v>Entrega em campo dos materiais, equipamentos e componentes para reforma e do Gerador da 2ª UF - Parcela 2</v>
          </cell>
        </row>
        <row r="157">
          <cell r="F157" t="str">
            <v>148-MAT</v>
          </cell>
          <cell r="G157" t="str">
            <v>Entrega em campo dos materiais, equipamentos e componentes para reforma e do Gerador da 1ª UF - Parcela 3</v>
          </cell>
        </row>
        <row r="158">
          <cell r="F158" t="str">
            <v>149-MAT</v>
          </cell>
          <cell r="G158" t="str">
            <v>Entrega em campo dos materiais, equipamentos e componentes para reforma e do Gerador da 2ª UF - Parcela 3</v>
          </cell>
        </row>
        <row r="159">
          <cell r="F159" t="str">
            <v>150-MAT</v>
          </cell>
          <cell r="G159" t="str">
            <v>Entrega em campo dos materiais, equipamentos e componentes para reforma e do Gerador da 3ª UF - Parcela 1</v>
          </cell>
        </row>
        <row r="160">
          <cell r="F160" t="str">
            <v>151-MAT</v>
          </cell>
          <cell r="G160" t="str">
            <v>Entrega em campo dos materiais, equipamentos e componentes para reforma e do Gerador da 4ª UF - Parcela 1</v>
          </cell>
        </row>
        <row r="161">
          <cell r="F161" t="str">
            <v>152-MAT</v>
          </cell>
          <cell r="G161" t="str">
            <v>Entrega em campo dos materiais, equipamentos e componentes para reforma e do Gerador da 1ª UF - Parcela 4</v>
          </cell>
        </row>
        <row r="162">
          <cell r="F162" t="str">
            <v>153-MAT</v>
          </cell>
          <cell r="G162" t="str">
            <v>Entrega em campo dos materiais, equipamentos e componentes para reforma e do Gerador da 2ª UF - Parcela 4</v>
          </cell>
        </row>
        <row r="163">
          <cell r="F163" t="str">
            <v>154-MAT</v>
          </cell>
          <cell r="G163" t="str">
            <v>Entrega em campo dos materiais, equipamentos e componentes para reforma e do Gerador da 3ª UF - Parcela 2</v>
          </cell>
        </row>
        <row r="164">
          <cell r="F164" t="str">
            <v>155-MAT</v>
          </cell>
          <cell r="G164" t="str">
            <v>Entrega em campo dos materiais, equipamentos e componentes para reforma e do Gerador da 4ª UF - Parcela 2</v>
          </cell>
        </row>
        <row r="165">
          <cell r="F165" t="str">
            <v>156-SER</v>
          </cell>
          <cell r="G165" t="str">
            <v>Conclusão da desmontagem e descarte de todo o sistema de proteção contra incêndio (CO2) dos geradores e da desativação da excitatriz rotativa e equipamentos associados da 1ª UF</v>
          </cell>
        </row>
        <row r="166">
          <cell r="F166" t="str">
            <v>157-SER</v>
          </cell>
          <cell r="G166" t="str">
            <v>Conclusão da desmontagem e descarte de todo o sistema de proteção contra incêndio (CO2) dos geradores e da desativação da excitatriz rotativa e equipamentos associados da 2ª UF</v>
          </cell>
        </row>
        <row r="167">
          <cell r="F167" t="str">
            <v>158-SER</v>
          </cell>
          <cell r="G167" t="str">
            <v>Conclusão da desmontagem e descarte de todo o sistema de proteção contra incêndio (CO2) dos geradores e da desativação da excitatriz rotativa e equipamentos associados da 3ª UF</v>
          </cell>
        </row>
        <row r="168">
          <cell r="F168" t="str">
            <v>159-SER</v>
          </cell>
          <cell r="G168" t="str">
            <v>Conclusão da desmontagem e descarte de todo o sistema de proteção contra incêndio (CO2) dos geradores e da desativação da excitatriz rotativa e equipamentos associados da 4ª UF</v>
          </cell>
        </row>
        <row r="169">
          <cell r="F169" t="str">
            <v>160-SER</v>
          </cell>
          <cell r="G169" t="str">
            <v>Conclusão do reisolamento do enrolamento dos pólos com materiais de classe F ou superior do gerador da 1ª UF</v>
          </cell>
        </row>
        <row r="170">
          <cell r="F170" t="str">
            <v>161-SER</v>
          </cell>
          <cell r="G170" t="str">
            <v>Conclusão do reisolamento do enrolamento dos pólos com materiais de classe F ou superior do gerador da 2ª UF</v>
          </cell>
        </row>
        <row r="171">
          <cell r="F171" t="str">
            <v>162-SER</v>
          </cell>
          <cell r="G171" t="str">
            <v>Conclusão do empilhamento do núcleo do estator e preparação para o enrolamento novo do gerador da 1ª UF</v>
          </cell>
        </row>
        <row r="172">
          <cell r="F172" t="str">
            <v>163-SER</v>
          </cell>
          <cell r="G172" t="str">
            <v>Conclusão do empilhamento do núcleo do estator e preparação para o enrolamento novo do gerador da 2ª UF</v>
          </cell>
        </row>
        <row r="173">
          <cell r="F173" t="str">
            <v>164-SER</v>
          </cell>
          <cell r="G173" t="str">
            <v>Conclusão da montagem do novo enrolamento estatórico do gerador da 1ª UF</v>
          </cell>
        </row>
        <row r="174">
          <cell r="F174" t="str">
            <v>165-SER</v>
          </cell>
          <cell r="G174" t="str">
            <v>Conclusão da montagem do novo enrolamento estatórico do gerador da 2ª UF</v>
          </cell>
        </row>
        <row r="175">
          <cell r="F175" t="str">
            <v>166-SER</v>
          </cell>
          <cell r="G175" t="str">
            <v>Conclusão da remontagem dos pólos no rotor do gerador da 1ª UF</v>
          </cell>
        </row>
        <row r="176">
          <cell r="F176" t="str">
            <v>167-SER</v>
          </cell>
          <cell r="G176" t="str">
            <v>Conclusão da remontagem dos pólos no rotor do gerador da 2ª UF</v>
          </cell>
        </row>
        <row r="177">
          <cell r="F177" t="str">
            <v>168-SER</v>
          </cell>
          <cell r="G177" t="str">
            <v>Transferência do rotor para o poço do gerador, verificação e conferência da circularidade e concentricidade do estator e medição de entreferro do gerador da 1ª UF</v>
          </cell>
        </row>
        <row r="178">
          <cell r="F178" t="str">
            <v>169-SER</v>
          </cell>
          <cell r="G178" t="str">
            <v>Transferência do rotor para o poço do gerador, verificação e conferência da circularidade e concentricidade do estator e medição de entreferro do gerador da 2ª UF</v>
          </cell>
        </row>
        <row r="179">
          <cell r="F179" t="str">
            <v>170-SER</v>
          </cell>
          <cell r="G179" t="str">
            <v>Conclusão do serviço de montagem do sistema de iluminação interna do barril e do sistema de aquecimento de máquina parada do gerador da 1ª UF</v>
          </cell>
        </row>
        <row r="180">
          <cell r="F180" t="str">
            <v>171-SER</v>
          </cell>
          <cell r="G180" t="str">
            <v>Conclusão do serviço de montagem do sistema de iluminação interna do barril e do sistema de aquecimento de máquina parada do gerador da 2ª UF</v>
          </cell>
        </row>
        <row r="181">
          <cell r="F181" t="str">
            <v>172-SER</v>
          </cell>
          <cell r="G181" t="str">
            <v>Verificação do alinhamento da unidade, execução dos ajustes necessários e testes de “run-out” nas partes rotativas do gerador da 1ª UF</v>
          </cell>
        </row>
        <row r="182">
          <cell r="F182" t="str">
            <v>173-SER</v>
          </cell>
          <cell r="G182" t="str">
            <v>Verificação do alinhamento da unidade, execução dos ajustes necessários e testes de “run-out” nas partes rotativas do gerador da 2ª UF</v>
          </cell>
        </row>
        <row r="183">
          <cell r="F183" t="str">
            <v>174-SER</v>
          </cell>
          <cell r="G183" t="str">
            <v>Conclusão da montagem da unidade (incluindo-se cruzeta superior, mancal de escora, guias de ar, tampas, anel coletor e porta escovas, acoplamento turbina e gerador, macacos de freio, radiadores, dentre outros) da 1ª UF</v>
          </cell>
        </row>
        <row r="184">
          <cell r="F184" t="str">
            <v>175-SER</v>
          </cell>
          <cell r="G184" t="str">
            <v>Conclusão da montagem da unidade (incluindo-se cruzeta superior, mancal de escora, guias de ar, tampas, anel coletor e porta escovas, acoplamento turbina e gerador, macacos de freio, radiadores, dentre outros) da 2ª UF</v>
          </cell>
        </row>
        <row r="185">
          <cell r="F185" t="str">
            <v>176-SER</v>
          </cell>
          <cell r="G185" t="str">
            <v>Conclusão da manutenção geral do anel coletor e porta-escovas do gerador da 1ª UF</v>
          </cell>
        </row>
        <row r="186">
          <cell r="F186" t="str">
            <v>177-SER</v>
          </cell>
          <cell r="G186" t="str">
            <v>Conclusão da manutenção geral do anel coletor e porta-escovas do gerador da 2ª UF</v>
          </cell>
        </row>
        <row r="187">
          <cell r="F187" t="str">
            <v>178-SER</v>
          </cell>
          <cell r="G187" t="str">
            <v>Conclusão da reforma do sistema de frenagem e levantamento da 1ª UF</v>
          </cell>
        </row>
        <row r="188">
          <cell r="F188" t="str">
            <v>179-SER</v>
          </cell>
          <cell r="G188" t="str">
            <v>Conclusão da reforma do sistema de frenagem e levantamento da 2ª UF</v>
          </cell>
        </row>
        <row r="189">
          <cell r="F189" t="str">
            <v>180-SER</v>
          </cell>
          <cell r="G189" t="str">
            <v>Conclusão da reforma do sistema de frenagem e levantamento da 3ª UF</v>
          </cell>
        </row>
        <row r="190">
          <cell r="F190" t="str">
            <v>181-SER</v>
          </cell>
          <cell r="G190" t="str">
            <v>Conclusão da reforma do sistema de frenagem e levantamento da 4ª UF</v>
          </cell>
        </row>
        <row r="191">
          <cell r="F191" t="str">
            <v>182-SER</v>
          </cell>
          <cell r="G191" t="str">
            <v>Conclusão da reforma dos mancais do gerador e adaptação/fornecimento das sapatas de escora do mancal combinado para a implantação do sistema de injeção de óleo sob pressão da 1ª UF</v>
          </cell>
        </row>
        <row r="192">
          <cell r="F192" t="str">
            <v>183-SER</v>
          </cell>
          <cell r="G192" t="str">
            <v>Conclusão da reforma dos mancais do gerador e adaptação/fornecimento das sapatas de escora do mancal combinado para a implantação do sistema de injeção de óleo sob pressão da 2ª UF</v>
          </cell>
        </row>
        <row r="193">
          <cell r="F193" t="str">
            <v>184-SER</v>
          </cell>
          <cell r="G193" t="str">
            <v>Conclusão da adaptação/fornecimento das sapatas de escora do mancal combinado para a implantação do sistema de injeção de óleo sob pressão da 3ª UF</v>
          </cell>
        </row>
        <row r="194">
          <cell r="F194" t="str">
            <v>185-SER</v>
          </cell>
          <cell r="G194" t="str">
            <v>Conclusão da adaptação/fornecimento das sapatas de escora do mancal combinado para a implantação do sistema de injeção de óleo sob pressão da 4ª UF</v>
          </cell>
        </row>
        <row r="195">
          <cell r="F195" t="str">
            <v>186-SER</v>
          </cell>
          <cell r="G195" t="str">
            <v>Conclusão da implantação do sistema de injeção de óleo sob pressão da 1ª UF</v>
          </cell>
        </row>
        <row r="196">
          <cell r="F196" t="str">
            <v>187-SER</v>
          </cell>
          <cell r="G196" t="str">
            <v>Conclusão da implantação do sistema de injeção de óleo sob pressão da 2ª UF</v>
          </cell>
        </row>
        <row r="197">
          <cell r="F197" t="str">
            <v>188-SER</v>
          </cell>
          <cell r="G197" t="str">
            <v>Conclusão da implantação do sistema de injeção de óleo sob pressão da 3ª UF</v>
          </cell>
        </row>
        <row r="198">
          <cell r="F198" t="str">
            <v>189-SER</v>
          </cell>
          <cell r="G198" t="str">
            <v>Conclusão da implantação do sistema de injeção de óleo sob pressão da 4ª UF</v>
          </cell>
        </row>
        <row r="199">
          <cell r="F199" t="str">
            <v>190-SER</v>
          </cell>
          <cell r="G199" t="str">
            <v>Conclusão da instalação dos acopladores para o Sistema de Descargas Parciais; da substituição das caixas terminais e barramentos de interligação dos terminais de fase e neutro do gerador; da instalação dos TCs de fase e de neutro; e da substituição dos cabos de média tensão entre gerador e transformador da 1ª UF</v>
          </cell>
        </row>
        <row r="200">
          <cell r="F200" t="str">
            <v>191-SER</v>
          </cell>
          <cell r="G200" t="str">
            <v>Conclusão da instalação dos acopladores para o Sistema de Descargas Parciais; da substituição das caixas terminais e barramentos de interligação dos terminais de fase e neutro do gerador; da instalação dos TCs de fase e de neutro; e da substituição dos cabos de média tensão entre gerador e transformador da 2ª UF</v>
          </cell>
        </row>
        <row r="201">
          <cell r="F201" t="str">
            <v>192-SER</v>
          </cell>
          <cell r="G201" t="str">
            <v>Conclusão da instalação dos acopladores para o Sistema de Descargas Parciais; da substituição das caixas terminais e barramentos de interligação dos terminais de fase e neutro do gerador; da instalação dos TCs de fase e de neutro; e da substituição dos cabos de média tensão entre gerador e transformador da 3ª UF</v>
          </cell>
        </row>
        <row r="202">
          <cell r="F202" t="str">
            <v>193-SER</v>
          </cell>
          <cell r="G202" t="str">
            <v>Conclusão da instalação dos acopladores para o Sistema de Descargas Parciais; da substituição das caixas terminais e barramentos de interligação dos terminais de fase e neutro do gerador; da instalação dos TCs de fase e de neutro; e da substituição dos cabos de média tensão entre gerador e transformador da 4ª UF</v>
          </cell>
        </row>
        <row r="203">
          <cell r="F203" t="str">
            <v>194-SER</v>
          </cell>
          <cell r="G203" t="str">
            <v>Conclusão do Comissionamento do Gerador e equipamentos auxiliares, integrada aos demais equipamentos e sistemas da 1ª UF</v>
          </cell>
        </row>
        <row r="204">
          <cell r="F204" t="str">
            <v>195-SER</v>
          </cell>
          <cell r="G204" t="str">
            <v>Conclusão do Comissionamento do Gerador e equipamentos auxiliares, integrada aos demais equipamentos e sistemas da 2ª UF</v>
          </cell>
        </row>
        <row r="205">
          <cell r="F205" t="str">
            <v>196-SER</v>
          </cell>
          <cell r="G205" t="str">
            <v>Conclusão do Comissionamento do Gerador e equipamentos auxiliares, integrada aos demais equipamentos e sistemas da 3ª UF</v>
          </cell>
        </row>
        <row r="206">
          <cell r="F206" t="str">
            <v>197-SER</v>
          </cell>
          <cell r="G206" t="str">
            <v>Conclusão do Comissionamento do Gerador e equipamentos auxiliares, integrada aos demais equipamentos e sistemas da 4ª UF</v>
          </cell>
        </row>
        <row r="207">
          <cell r="F207" t="str">
            <v>198-SER</v>
          </cell>
          <cell r="G207" t="str">
            <v>Aprovação do Plano de Emissão de Documentos da Reforma da Turbina e Auxiliares</v>
          </cell>
        </row>
        <row r="208">
          <cell r="F208" t="str">
            <v>199-SER</v>
          </cell>
          <cell r="G208" t="str">
            <v>Aprovação de 50% do Projeto Executivo da Reforma das Turbinas e Auxiliares da 1ª UF e da 2ª UF, conforme PED aprovada</v>
          </cell>
        </row>
        <row r="209">
          <cell r="F209" t="str">
            <v>200-SER</v>
          </cell>
          <cell r="G209" t="str">
            <v>Aprovação completa do Projeto Executivo da Reforma das Turbinas e Auxiliares da 1ª UF e da 2ª UF</v>
          </cell>
        </row>
        <row r="210">
          <cell r="F210" t="str">
            <v>201-SER</v>
          </cell>
          <cell r="G210" t="str">
            <v>Aprovação de 50% do Projeto Executivo da Reforma das Turbinas e Auxiliares da 3ª UF e da 4ª UF, conforme PED aprovada</v>
          </cell>
        </row>
        <row r="211">
          <cell r="F211" t="str">
            <v>202-SER</v>
          </cell>
          <cell r="G211" t="str">
            <v>Aprovação completa do Projeto Executivo da Reforma das Turbinas e Auxiliares da 3ª UF e da 4ª UF</v>
          </cell>
        </row>
        <row r="212">
          <cell r="F212" t="str">
            <v>203-SER</v>
          </cell>
          <cell r="G212" t="str">
            <v>Aprovação da versão conforme construído do Projeto das Turbinas da 1ª UF e da 2ª UF</v>
          </cell>
        </row>
        <row r="213">
          <cell r="F213" t="str">
            <v>204-SER</v>
          </cell>
          <cell r="G213" t="str">
            <v>Aprovação da versão conforme construído do Projeto das Turbinas da 3ª UF e da 4ª UF</v>
          </cell>
        </row>
        <row r="214">
          <cell r="F214" t="str">
            <v>205-SER</v>
          </cell>
          <cell r="G214" t="str">
            <v>Conclusão dos serviços de desmontagem geral da turbina e auxiliares da 1ª UF</v>
          </cell>
        </row>
        <row r="215">
          <cell r="F215" t="str">
            <v>206-SER</v>
          </cell>
          <cell r="G215" t="str">
            <v>Conclusão dos serviços de desmontagem geral da turbina e auxiliares da 2ª UF</v>
          </cell>
        </row>
        <row r="216">
          <cell r="F216" t="str">
            <v>207-SER</v>
          </cell>
          <cell r="G216" t="str">
            <v>Conclusão dos serviços de desmontagem geral da turbina e auxiliares da 3ª UF</v>
          </cell>
        </row>
        <row r="217">
          <cell r="F217" t="str">
            <v>208-SER</v>
          </cell>
          <cell r="G217" t="str">
            <v>Conclusão dos serviços de desmontagem geral da turbina e auxiliares da 4ª UF</v>
          </cell>
        </row>
        <row r="218">
          <cell r="F218" t="str">
            <v>209-MAT</v>
          </cell>
          <cell r="G218" t="str">
            <v>Entrega em campo dos equipamentos e componentes novos da turbina e auxiliares da 1ª UF</v>
          </cell>
        </row>
        <row r="219">
          <cell r="F219" t="str">
            <v>210-MAT</v>
          </cell>
          <cell r="G219" t="str">
            <v>Entrega em campo dos equipamentos e componentes novos da turbina e auxiliares da 2ª UF</v>
          </cell>
        </row>
        <row r="220">
          <cell r="F220" t="str">
            <v>211-MAT</v>
          </cell>
          <cell r="G220" t="str">
            <v>Entrega em campo dos equipamentos e componentes novos da turbina e auxiliares da 3ª UF</v>
          </cell>
        </row>
        <row r="221">
          <cell r="F221" t="str">
            <v>212-MAT</v>
          </cell>
          <cell r="G221" t="str">
            <v>Entrega em campo dos equipamentos e componentes novos da turbina e auxiliares da 4ª UF</v>
          </cell>
        </row>
        <row r="222">
          <cell r="F222" t="str">
            <v>213-SER</v>
          </cell>
          <cell r="G222" t="str">
            <v>Conclusão dos serviços de reforma e montagem da caixa espiral, curvas e tubo de sucção; braço de interligação servomotor/aro de regulação; palhetas diretrizes; tampas e anéis da turbina; mecanismo do distribuidor; aro de regulação e respectivos acessórios da 1ª UF</v>
          </cell>
        </row>
        <row r="223">
          <cell r="F223" t="str">
            <v>214-SER</v>
          </cell>
          <cell r="G223" t="str">
            <v>Conclusão dos serviços de reforma e montagem da caixa espiral, curvas e tubo de sucção; braço de interligação servomotor/aro de regulação; palhetas diretrizes; tampas e anéis da turbina; mecanismo do distribuidor; aro de regulação e respectivos acessórios da 2ª UF</v>
          </cell>
        </row>
        <row r="224">
          <cell r="F224" t="str">
            <v>215-SER</v>
          </cell>
          <cell r="G224" t="str">
            <v>Conclusão dos serviços de reforma e montagem da caixa espiral, curvas e tubo de sucção; braço de interligação servomotor/aro de regulação; palhetas diretrizes; tampas e anéis da turbina; mecanismo do distribuidor; aro de regulação e respectivos acessórios da 3ª UF</v>
          </cell>
        </row>
        <row r="225">
          <cell r="F225" t="str">
            <v>216-SER</v>
          </cell>
          <cell r="G225" t="str">
            <v>Conclusão dos serviços de reforma e montagem da caixa espiral, curvas e tubo de sucção; braço de interligação servomotor/aro de regulação; palhetas diretrizes; tampas e anéis da turbina; mecanismo do distribuidor; aro de regulação e respectivos acessórios da 4ª UF</v>
          </cell>
        </row>
        <row r="226">
          <cell r="F226" t="str">
            <v>217-SER</v>
          </cell>
          <cell r="G226" t="str">
            <v>Conclusão do serviço de reforma e montagem do rotor francis da turbina da 1ª UF</v>
          </cell>
        </row>
        <row r="227">
          <cell r="F227" t="str">
            <v>218-SER</v>
          </cell>
          <cell r="G227" t="str">
            <v>Conclusão do serviço de reforma e montagem do rotor francis da turbina da 2ª UF</v>
          </cell>
        </row>
        <row r="228">
          <cell r="F228" t="str">
            <v>219-SER</v>
          </cell>
          <cell r="G228" t="str">
            <v>Conclusão do serviço de reforma e montagem do rotor francis da turbina da 3ª UF</v>
          </cell>
        </row>
        <row r="229">
          <cell r="F229" t="str">
            <v>220-SER</v>
          </cell>
          <cell r="G229" t="str">
            <v>Conclusão do serviço de reforma e montagem do rotor francis da turbina da 4ª UF</v>
          </cell>
        </row>
        <row r="230">
          <cell r="F230" t="str">
            <v>221-SER</v>
          </cell>
          <cell r="G230" t="str">
            <v>Conclusão dos serviços de reforma e montagem do eixo intermediário e da turbina; selos de vedação do eixo; mancal guia turbina; sistema de aeração do rotor, e respectivos acessórios da 1ª UF</v>
          </cell>
        </row>
        <row r="231">
          <cell r="F231" t="str">
            <v>222-SER</v>
          </cell>
          <cell r="G231" t="str">
            <v>Conclusão dos serviços de reforma e montagem do eixo intermediário e da turbina; selos de vedação do eixo; mancal guia turbina; sistema de aeração do rotor, e respectivos acessórios da 2ª UF</v>
          </cell>
        </row>
        <row r="232">
          <cell r="F232" t="str">
            <v>223-SER</v>
          </cell>
          <cell r="G232" t="str">
            <v>Conclusão dos serviços de reforma e montagem do eixo intermediário e da turbina; selos de vedação do eixo; mancal guia turbina; sistema de aeração do rotor, e respectivos acessórios da 3ª UF</v>
          </cell>
        </row>
        <row r="233">
          <cell r="F233" t="str">
            <v>224-SER</v>
          </cell>
          <cell r="G233" t="str">
            <v>Conclusão dos serviços de reforma e montagem do eixo intermediário e da turbina; selos de vedação do eixo; mancal guia turbina; sistema de aeração do rotor, e respectivos acessórios da 4ª UF</v>
          </cell>
        </row>
        <row r="234">
          <cell r="F234" t="str">
            <v>225-SER</v>
          </cell>
          <cell r="G234" t="str">
            <v>Conclusão dos serviços de adequações à NR-12 e de proteção anticorrosiva na turbina e auxiliares da 1ª UF</v>
          </cell>
        </row>
        <row r="235">
          <cell r="F235" t="str">
            <v>226-SER</v>
          </cell>
          <cell r="G235" t="str">
            <v>Conclusão dos serviços de adequações à NR-12 e de proteção anticorrosiva na turbina e auxiliares da 2ª UF</v>
          </cell>
        </row>
        <row r="236">
          <cell r="F236" t="str">
            <v>227-SER</v>
          </cell>
          <cell r="G236" t="str">
            <v>Conclusão dos serviços de adequações à NR-12 e de proteção anticorrosiva na turbina e auxiliares da 3ª UF</v>
          </cell>
        </row>
        <row r="237">
          <cell r="F237" t="str">
            <v>228-SER</v>
          </cell>
          <cell r="G237" t="str">
            <v>Conclusão dos serviços de adequações à NR-12 e de proteção anticorrosiva na turbina e auxiliares da 4ª UF</v>
          </cell>
        </row>
        <row r="238">
          <cell r="F238" t="str">
            <v>229-SER</v>
          </cell>
          <cell r="G238" t="str">
            <v>Conclusão do Comissionamento da Turbina e equipamentos auxiliares, integrada aos demais equipamentos e sistemas da 1ª UF</v>
          </cell>
        </row>
        <row r="239">
          <cell r="F239" t="str">
            <v>230-SER</v>
          </cell>
          <cell r="G239" t="str">
            <v>Conclusão do Comissionamento da Turbina e equipamentos auxiliares, integrada aos demais equipamentos e sistemas da 2ª UF</v>
          </cell>
        </row>
        <row r="240">
          <cell r="F240" t="str">
            <v>231-SER</v>
          </cell>
          <cell r="G240" t="str">
            <v>Conclusão do Comissionamento da Turbina e equipamentos auxiliares, integrada aos demais equipamentos e sistemas da 3ª UF</v>
          </cell>
        </row>
        <row r="241">
          <cell r="F241" t="str">
            <v>232-SER</v>
          </cell>
          <cell r="G241" t="str">
            <v>Conclusão do Comissionamento da Turbina e equipamentos auxiliares, integrada aos demais equipamentos e sistemas da 4ª UF</v>
          </cell>
        </row>
        <row r="242">
          <cell r="F242" t="str">
            <v>233-SER</v>
          </cell>
          <cell r="G242" t="str">
            <v>Aprovação do Plano de Emissão de Documentos do Sistema de Sincronismo</v>
          </cell>
        </row>
        <row r="243">
          <cell r="F243" t="str">
            <v>234-SER</v>
          </cell>
          <cell r="G243" t="str">
            <v>Aprovação completa dos Documentos do Projeto Executivo e de Fabricação do Sistema de Sincronismo</v>
          </cell>
        </row>
        <row r="244">
          <cell r="F244" t="str">
            <v>235-SER</v>
          </cell>
          <cell r="G244" t="str">
            <v>Aprovação da versão conforme construído do Projeto do Sistema de Sincronismo</v>
          </cell>
        </row>
        <row r="245">
          <cell r="F245" t="str">
            <v>236-MAT</v>
          </cell>
          <cell r="G245" t="str">
            <v>Entrega completa na obra dos equipamentos e materiais na Usina do Sistema de Sincronismo</v>
          </cell>
        </row>
        <row r="246">
          <cell r="F246" t="str">
            <v>237-MAT</v>
          </cell>
          <cell r="G246" t="str">
            <v>Entrega na usina das Licenças dos softwares e cabos de comunicação do Sistema de Sincronismo</v>
          </cell>
        </row>
        <row r="247">
          <cell r="F247" t="str">
            <v>238-SER</v>
          </cell>
          <cell r="G247" t="str">
            <v>Conclusão da Desmontagem, adequação e montagem de todos equipamentos e componentes do Sistema de Sincronismo da 1ª UF</v>
          </cell>
        </row>
        <row r="248">
          <cell r="F248" t="str">
            <v>239-SER</v>
          </cell>
          <cell r="G248" t="str">
            <v>Conclusão da Desmontagem, adequação e montagem de todos equipamentos e componentes do Sistema de Sincronismo da 2ª UF</v>
          </cell>
        </row>
        <row r="249">
          <cell r="F249" t="str">
            <v>240-SER</v>
          </cell>
          <cell r="G249" t="str">
            <v>Conclusão da Desmontagem, adequação e montagem de todos equipamentos e componentes do Sistema de Sincronismo da 3ª UF</v>
          </cell>
        </row>
        <row r="250">
          <cell r="F250" t="str">
            <v>241-SER</v>
          </cell>
          <cell r="G250" t="str">
            <v>Conclusão da Desmontagem, adequação e montagem de todos equipamentos e componentes do Sistema de Sincronismo da 4ª UF</v>
          </cell>
        </row>
        <row r="251">
          <cell r="F251" t="str">
            <v>242-SER</v>
          </cell>
          <cell r="G251" t="str">
            <v>Conclusão do Comissionamento de todos equipamentos e componentes do Sistema de Sincronismo da 1ª UF</v>
          </cell>
        </row>
        <row r="252">
          <cell r="F252" t="str">
            <v>243-SER</v>
          </cell>
          <cell r="G252" t="str">
            <v>Conclusão do Comissionamento de todos equipamentos e componentes do Sistema de Sincronismo da 2ª UF</v>
          </cell>
        </row>
        <row r="253">
          <cell r="F253" t="str">
            <v>244-SER</v>
          </cell>
          <cell r="G253" t="str">
            <v>Conclusão do Comissionamento de todos equipamentos e componentes do Sistema de Sincronismo da 3ª UF</v>
          </cell>
        </row>
        <row r="254">
          <cell r="F254" t="str">
            <v>245-SER</v>
          </cell>
          <cell r="G254" t="str">
            <v>Conclusão do Comissionamento de todos equipamentos e componentes do Sistema de Sincronismo da 4ª UF</v>
          </cell>
        </row>
        <row r="255">
          <cell r="F255" t="str">
            <v>246-SER</v>
          </cell>
          <cell r="G255" t="str">
            <v>Aprovação do Plano de Emissão de Documentos do Sistema de Drenagem e Esgotamento</v>
          </cell>
        </row>
        <row r="256">
          <cell r="F256" t="str">
            <v>247-SER</v>
          </cell>
          <cell r="G256" t="str">
            <v>Aprovação da Memória de Cálculo e Dimensionamento do Sistema de Drenagem e Esgotamento</v>
          </cell>
        </row>
        <row r="257">
          <cell r="F257" t="str">
            <v>248-SER</v>
          </cell>
          <cell r="G257" t="str">
            <v>Aprovação completa dos Documentos do Projeto Executivo e de Fabricação do Sistema de Drenagem e Esgotamento</v>
          </cell>
        </row>
        <row r="258">
          <cell r="F258" t="str">
            <v>249-SER</v>
          </cell>
          <cell r="G258" t="str">
            <v>Aprovação da versão conforme construído do Projeto do Sistema de Drenagem e Esgotamento</v>
          </cell>
        </row>
        <row r="259">
          <cell r="F259" t="str">
            <v>250-MAT</v>
          </cell>
          <cell r="G259" t="str">
            <v>Entrega completa na obra dos equipamentos e materiais do Sistema de Drenagem e Esgotamento Gerais da Casa de Força</v>
          </cell>
        </row>
        <row r="260">
          <cell r="F260" t="str">
            <v>251-MAT</v>
          </cell>
          <cell r="G260" t="str">
            <v>Entrega completa na obra dos equipamentos e materiais do Sistema de Esgotamento das UFs</v>
          </cell>
        </row>
        <row r="261">
          <cell r="F261" t="str">
            <v>252-SER</v>
          </cell>
          <cell r="G261" t="str">
            <v>Conclusão da Desmontagem, Montagem e Comissionamento do Sistema de Drenagem e Esgotamento Gerais da Casa de Força</v>
          </cell>
        </row>
        <row r="262">
          <cell r="F262" t="str">
            <v>253-SER</v>
          </cell>
          <cell r="G262" t="str">
            <v>Conclusão da Desmontagem, Montagem e do Comissionamento do Sistema de Esgotamento da 1ª UF</v>
          </cell>
        </row>
        <row r="263">
          <cell r="F263" t="str">
            <v>254-SER</v>
          </cell>
          <cell r="G263" t="str">
            <v>Conclusão da Desmontagem, Montagem e do Comissionamento do Sistema de Esgotamento da 2ª UF</v>
          </cell>
        </row>
        <row r="264">
          <cell r="F264" t="str">
            <v>255-SER</v>
          </cell>
          <cell r="G264" t="str">
            <v>Conclusão da Desmontagem, Montagem e do Comissionamento do Sistema de Esgotamento da 3ª UF</v>
          </cell>
        </row>
        <row r="265">
          <cell r="F265" t="str">
            <v>256-SER</v>
          </cell>
          <cell r="G265" t="str">
            <v>Conclusão da Desmontagem, Montagem e do Comissionamento do Sistema de Esgotamento da 4ª UF</v>
          </cell>
        </row>
        <row r="266">
          <cell r="F266" t="str">
            <v>257-SER</v>
          </cell>
          <cell r="G266" t="str">
            <v>Aprovação do Plano de Emissão de Documentos do Sistema de Resfriamento</v>
          </cell>
        </row>
        <row r="267">
          <cell r="F267" t="str">
            <v>258-SER</v>
          </cell>
          <cell r="G267" t="str">
            <v>Aprovação da Memória de Cálculo e Dimensionamento do Sistema de Resfriamento</v>
          </cell>
        </row>
        <row r="268">
          <cell r="F268" t="str">
            <v>259-SER</v>
          </cell>
          <cell r="G268" t="str">
            <v>Aprovação completa dos Documentos do Projeto Executivo e de Fabricação do Sistema de Resfriamento</v>
          </cell>
        </row>
        <row r="269">
          <cell r="F269" t="str">
            <v>260-SER</v>
          </cell>
          <cell r="G269" t="str">
            <v>Aprovação da versão conforme construído do Projeto do Sistema de Resfriamento</v>
          </cell>
        </row>
        <row r="270">
          <cell r="F270" t="str">
            <v>261-MAT</v>
          </cell>
          <cell r="G270" t="str">
            <v>Entrega completa na obra dos equipamentos e materiais do Sistema de Resfriamento</v>
          </cell>
        </row>
        <row r="271">
          <cell r="F271" t="str">
            <v>262-SER</v>
          </cell>
          <cell r="G271" t="str">
            <v>Conclusão da Desmontagem e Montagem do Sistema de Resfriamento</v>
          </cell>
        </row>
        <row r="272">
          <cell r="F272" t="str">
            <v>263-SER</v>
          </cell>
          <cell r="G272" t="str">
            <v>Conclusão do Comissionamento do Sistema de Resfriamento</v>
          </cell>
        </row>
        <row r="273">
          <cell r="F273" t="str">
            <v>264-SER</v>
          </cell>
          <cell r="G273" t="str">
            <v>Aprovação do Plano de Emissão de Documentos do Sistema de Adução</v>
          </cell>
        </row>
        <row r="274">
          <cell r="F274" t="str">
            <v>265-SER</v>
          </cell>
          <cell r="G274" t="str">
            <v>Aprovação da Memória de Cálculo e Dimensionamento do Sistema de Adução - Comportas da Chaminé de Equilíbrio e Válvulas Borboleta</v>
          </cell>
        </row>
        <row r="275">
          <cell r="F275" t="str">
            <v>266-SER</v>
          </cell>
          <cell r="G275" t="str">
            <v>Aprovação completa dos Documentos do Projeto Executivo e de Fabricação das adequações e reforma das Comportas da Chaminé de Equilíbrio</v>
          </cell>
        </row>
        <row r="276">
          <cell r="F276" t="str">
            <v>267-SER</v>
          </cell>
          <cell r="G276" t="str">
            <v>Aprovação completa dos Documentos do Projeto Executivo e de Fabricação da Substituição das Válvulas Borboletas</v>
          </cell>
        </row>
        <row r="277">
          <cell r="F277" t="str">
            <v>268-SER</v>
          </cell>
          <cell r="G277" t="str">
            <v>Aprovação da versão conforme construído do Projeto do Sistema de Adução</v>
          </cell>
        </row>
        <row r="278">
          <cell r="F278" t="str">
            <v>269-MAT</v>
          </cell>
          <cell r="G278" t="str">
            <v>Entrega completa na obra dos equipamentos e materiais para Substituição das Válvulas Borboletas da 1ª UF e da 2ª UF</v>
          </cell>
        </row>
        <row r="279">
          <cell r="F279" t="str">
            <v>270-MAT</v>
          </cell>
          <cell r="G279" t="str">
            <v>Entrega completa na obra dos equipamentos e materiais para as adequação das Comportas da Chaminé de Equilíbrio</v>
          </cell>
        </row>
        <row r="280">
          <cell r="F280" t="str">
            <v>271-MAT</v>
          </cell>
          <cell r="G280" t="str">
            <v>Entrega completa na obra dos equipamentos e materiais para Substituição das Válvulas Borboletas da 3ª UF e 4ª UF</v>
          </cell>
        </row>
        <row r="281">
          <cell r="F281" t="str">
            <v>272-SER</v>
          </cell>
          <cell r="G281" t="str">
            <v>Conclusão da desmontagem e montagem eletromecânica completa das válvulas borboleta de entrada das turbinas da 1ª UF e da 2ª UF</v>
          </cell>
        </row>
        <row r="282">
          <cell r="F282" t="str">
            <v>273-SER</v>
          </cell>
          <cell r="G282" t="str">
            <v>Conclusão das intervenções e adequações civis para de substituição das válvulas borboleta da 1ª UF e da 2ª UF</v>
          </cell>
        </row>
        <row r="283">
          <cell r="F283" t="str">
            <v>274-SER</v>
          </cell>
          <cell r="G283" t="str">
            <v>Conclusão da desmontagem, reforma e montagem da Comporta 1 da Chaminé de Equilíbrio e de seus sistemas</v>
          </cell>
        </row>
        <row r="284">
          <cell r="F284" t="str">
            <v>275-SER</v>
          </cell>
          <cell r="G284" t="str">
            <v>Conclusão da proteção anticorrosiva nos tabuleiros da comporta 1</v>
          </cell>
        </row>
        <row r="285">
          <cell r="F285" t="str">
            <v>276-SER</v>
          </cell>
          <cell r="G285" t="str">
            <v>Conclusão da desmontagem, reforma e montagem da Comporta 2 da Chaminé de Equilíbrio e de seus sistemas</v>
          </cell>
        </row>
        <row r="286">
          <cell r="F286" t="str">
            <v>277-SER</v>
          </cell>
          <cell r="G286" t="str">
            <v>Conclusão da proteção anticorrosiva nos tabuleiros da comporta 2</v>
          </cell>
        </row>
        <row r="287">
          <cell r="F287" t="str">
            <v>278-SER</v>
          </cell>
          <cell r="G287" t="str">
            <v>Conclusão da desmontagem e montagem eletromecânica completa das válvulas borboleta de entrada das turbinas da 3ª UF e da 4ª UF</v>
          </cell>
        </row>
        <row r="288">
          <cell r="F288" t="str">
            <v>279-SER</v>
          </cell>
          <cell r="G288" t="str">
            <v>Conclusão das intervenções e adequações civis para de substituição das válvulas borboleta da 3ª UF e da 4ª UF</v>
          </cell>
        </row>
        <row r="289">
          <cell r="F289" t="str">
            <v>280-SER</v>
          </cell>
          <cell r="G289" t="str">
            <v>Conclusão do Comissionamento das válvulas borboleta de entrada das turbinas da 1ª UF e da 2ª UF</v>
          </cell>
        </row>
        <row r="290">
          <cell r="F290" t="str">
            <v>281-SER</v>
          </cell>
          <cell r="G290" t="str">
            <v>Conclusão do Comissionamento das adequações e reforma das Comportas da Chaminé de Equilíbrio</v>
          </cell>
        </row>
        <row r="291">
          <cell r="F291" t="str">
            <v>282-SER</v>
          </cell>
          <cell r="G291" t="str">
            <v>Conclusão do Comissionamento das válvulas borboleta de entrada das turbinas da 3ª UF e da 4ª UF</v>
          </cell>
        </row>
        <row r="292">
          <cell r="F292" t="str">
            <v>283-SER</v>
          </cell>
          <cell r="G292" t="str">
            <v>Aprovação do Plano de Emissão de Documentos da Infraestrutura Elétrica</v>
          </cell>
        </row>
        <row r="293">
          <cell r="F293" t="str">
            <v>284-SER</v>
          </cell>
          <cell r="G293" t="str">
            <v>Aprovação completa dos Documentos do Projeto Executivo do Sistema de Iluminação e Tomadas</v>
          </cell>
        </row>
        <row r="294">
          <cell r="F294" t="str">
            <v>285-SER</v>
          </cell>
          <cell r="G294" t="str">
            <v>Aprovação completa dos Documentos do Projeto Executivo do Sistema de Vias para cabos e de Condutores</v>
          </cell>
        </row>
        <row r="295">
          <cell r="F295" t="str">
            <v>286-SER</v>
          </cell>
          <cell r="G295" t="str">
            <v>Aprovação completa dos Documentos do Projeto Executivo do Sistemas de aterramento e equipotencialização</v>
          </cell>
        </row>
        <row r="296">
          <cell r="F296" t="str">
            <v>287-SER</v>
          </cell>
          <cell r="G296" t="str">
            <v>Aprovação da versão conforme construído do Projeto da Infraestrutura Elétrica</v>
          </cell>
        </row>
        <row r="297">
          <cell r="F297" t="str">
            <v>288-SER</v>
          </cell>
          <cell r="G297" t="str">
            <v>Conclusão da montagem de 25% da infraestrutura elétrica, integrada aos demais equipamentos e sistemas</v>
          </cell>
        </row>
        <row r="298">
          <cell r="F298" t="str">
            <v>289-SER</v>
          </cell>
          <cell r="G298" t="str">
            <v>Conclusão da montagem de 50% da infraestrutura elétrica, integrada aos demais equipamentos e sistemas</v>
          </cell>
        </row>
        <row r="299">
          <cell r="F299" t="str">
            <v>290-SER</v>
          </cell>
          <cell r="G299" t="str">
            <v>Conclusão da montagem de 75% da infraestrutura elétrica, integrada aos demais equipamentos e sistemas</v>
          </cell>
        </row>
        <row r="300">
          <cell r="F300" t="str">
            <v>291-SER</v>
          </cell>
          <cell r="G300" t="str">
            <v>Conclusão da montagem de 100% da infraestrutura elétrica, integrada aos demais equipamentos e sistemas</v>
          </cell>
        </row>
        <row r="301">
          <cell r="F301" t="str">
            <v>292-MAT</v>
          </cell>
          <cell r="G301" t="str">
            <v>Entrega em campo de 50% dos equipamentos e materiais do Sistema de Iluminação e Tomadas</v>
          </cell>
        </row>
        <row r="302">
          <cell r="F302" t="str">
            <v>293-MAT</v>
          </cell>
          <cell r="G302" t="str">
            <v>Entrega em campo de 100% dos equipamentos e materiais do Sistema de Iluminação e Tomadas</v>
          </cell>
        </row>
        <row r="303">
          <cell r="F303" t="str">
            <v>294-MAT</v>
          </cell>
          <cell r="G303" t="str">
            <v>Entrega em campo de 50% dos materiais do Sistema de Vias para cabos e de Condutores</v>
          </cell>
        </row>
        <row r="304">
          <cell r="F304" t="str">
            <v>295-MAT</v>
          </cell>
          <cell r="G304" t="str">
            <v>Entrega em campo de 100% dos materiais do Sistema de Vias para cabos e de Condutores</v>
          </cell>
        </row>
        <row r="305">
          <cell r="F305" t="str">
            <v>296-MAT</v>
          </cell>
          <cell r="G305" t="str">
            <v>Entrega em campo de 50% dos materiais do Sistemas de aterramento e equipotencialização</v>
          </cell>
        </row>
        <row r="306">
          <cell r="F306" t="str">
            <v>297-MAT</v>
          </cell>
          <cell r="G306" t="str">
            <v>Entrega em campo de 100% dos materiais do Sistemas de aterramento e equipotencialização</v>
          </cell>
        </row>
        <row r="307">
          <cell r="F307" t="str">
            <v>298-SER</v>
          </cell>
          <cell r="G307" t="str">
            <v>Conclusão do Comissionamento do Sistema de Iluminação e Tomadas</v>
          </cell>
        </row>
        <row r="308">
          <cell r="F308" t="str">
            <v>299-SER</v>
          </cell>
          <cell r="G308" t="str">
            <v>Conclusão do Comissionamento do Sistema de Vias para cabos e de Condutores</v>
          </cell>
        </row>
        <row r="309">
          <cell r="F309" t="str">
            <v>300-SER</v>
          </cell>
          <cell r="G309" t="str">
            <v>Conclusão do Comissionamento do Sistemas de aterramento e equipotencialização</v>
          </cell>
        </row>
        <row r="310">
          <cell r="F310" t="str">
            <v>301-SER</v>
          </cell>
          <cell r="G310" t="str">
            <v>Aprovação do Plano de Emissão de Documentos dos Cubículos de Média Tensão</v>
          </cell>
        </row>
        <row r="311">
          <cell r="F311" t="str">
            <v>302-SER</v>
          </cell>
          <cell r="G311" t="str">
            <v>Aprovação completa dos Documentos do Projeto Executivo e de Fabricação dos Cubículos de Média Tensão</v>
          </cell>
        </row>
        <row r="312">
          <cell r="F312" t="str">
            <v>303-SER</v>
          </cell>
          <cell r="G312" t="str">
            <v>Aprovação da versão conforme construído do Projeto dos Cubículos de Média Tensão</v>
          </cell>
        </row>
        <row r="313">
          <cell r="F313" t="str">
            <v>304-MAT</v>
          </cell>
          <cell r="G313" t="str">
            <v>Entrega em campo dos equipamentos e componentes dos Cubículos de Média Tensão associados a 1ª UF</v>
          </cell>
        </row>
        <row r="314">
          <cell r="F314" t="str">
            <v>305-MAT</v>
          </cell>
          <cell r="G314" t="str">
            <v>Entrega em campo dos equipamentos e componentes dos Cubículos de Média Tensão associados a 2ª UF</v>
          </cell>
        </row>
        <row r="315">
          <cell r="F315" t="str">
            <v>306-MAT</v>
          </cell>
          <cell r="G315" t="str">
            <v>Entrega em campo dos equipamentos e componentes dos Cubículos de Média Tensão associados a 3ª UF</v>
          </cell>
        </row>
        <row r="316">
          <cell r="F316" t="str">
            <v>307-MAT</v>
          </cell>
          <cell r="G316" t="str">
            <v>Entrega em campo dos equipamentos e componentes dos Cubículos de Média Tensão associados a 4ª UF</v>
          </cell>
        </row>
        <row r="317">
          <cell r="F317" t="str">
            <v>308-SER</v>
          </cell>
          <cell r="G317" t="str">
            <v>Conclusão da Desmontagem e Montagem de todos equipamentos e componentes dos Cubículos de Média Tensão associados a 1ª UF</v>
          </cell>
        </row>
        <row r="318">
          <cell r="F318" t="str">
            <v>309-SER</v>
          </cell>
          <cell r="G318" t="str">
            <v>Conclusão da Desmontagem e Montagem de todos equipamentos e componentes dos Cubículos de Média Tensão associados a 2ª UF</v>
          </cell>
        </row>
        <row r="319">
          <cell r="F319" t="str">
            <v>310-SER</v>
          </cell>
          <cell r="G319" t="str">
            <v>Conclusão da Desmontagem e Montagem de todos equipamentos e componentes dos Cubículos de Média Tensão associados a 3ª UF</v>
          </cell>
        </row>
        <row r="320">
          <cell r="F320" t="str">
            <v>311-SER</v>
          </cell>
          <cell r="G320" t="str">
            <v>Conclusão da Desmontagem e Montagem de todos equipamentos e componentes dos Cubículos de Média Tensão associados a 4ª UF</v>
          </cell>
        </row>
        <row r="321">
          <cell r="F321" t="str">
            <v>312-SER</v>
          </cell>
          <cell r="G321" t="str">
            <v>Conclusão do Comissionamento dos Cubículos de Média Tensão associados a 1ª UF</v>
          </cell>
        </row>
        <row r="322">
          <cell r="F322" t="str">
            <v>313-SER</v>
          </cell>
          <cell r="G322" t="str">
            <v>Conclusão do Comissionamento dos Cubículos de Média Tensão associados a 2ª UF</v>
          </cell>
        </row>
        <row r="323">
          <cell r="F323" t="str">
            <v>314-SER</v>
          </cell>
          <cell r="G323" t="str">
            <v>Conclusão do Comissionamento dos Cubículos de Média Tensão associados a 3ª UF</v>
          </cell>
        </row>
        <row r="324">
          <cell r="F324" t="str">
            <v>315-SER</v>
          </cell>
          <cell r="G324" t="str">
            <v>Conclusão do Comissionamento dos Cubículos de Média Tensão associados a 4ª UF</v>
          </cell>
        </row>
        <row r="325">
          <cell r="F325" t="str">
            <v>316-SER</v>
          </cell>
          <cell r="G325" t="str">
            <v>Aprovação do Plano de Emissão de Documentos do Sistema de Ar Comprimido</v>
          </cell>
        </row>
        <row r="326">
          <cell r="F326" t="str">
            <v>317-SER</v>
          </cell>
          <cell r="G326" t="str">
            <v>Aprovação da Memória de Cálculo e Dimensionamento do Sistema de Ar Comprimido</v>
          </cell>
        </row>
        <row r="327">
          <cell r="F327" t="str">
            <v>318-SER</v>
          </cell>
          <cell r="G327" t="str">
            <v>Aprovação completa dos Documentos do Projeto Executivo e de Fabricação do Sistema de Ar Comprimido</v>
          </cell>
        </row>
        <row r="328">
          <cell r="F328" t="str">
            <v>319-SER</v>
          </cell>
          <cell r="G328" t="str">
            <v>Aprovação da versão conforme construído do Projeto do Sistema de Ar Comprimido</v>
          </cell>
        </row>
        <row r="329">
          <cell r="F329" t="str">
            <v>320-MAT</v>
          </cell>
          <cell r="G329" t="str">
            <v>Entrega em campo dos equipamentos e componentes do Sistema de Ar Comprimido</v>
          </cell>
        </row>
        <row r="330">
          <cell r="F330" t="str">
            <v>321-SER</v>
          </cell>
          <cell r="G330" t="str">
            <v>Conclusão da desmontagem e da montagem de todos equipamentos e componentes do Sistema de Ar Comprimido</v>
          </cell>
        </row>
        <row r="331">
          <cell r="F331" t="str">
            <v>322-SER</v>
          </cell>
          <cell r="G331" t="str">
            <v>Conclusão do Comissionamento do Sistema de Ar Comprimido</v>
          </cell>
        </row>
        <row r="332">
          <cell r="F332" t="str">
            <v>323-SER</v>
          </cell>
          <cell r="G332" t="str">
            <v>Aprovação do Plano de Emissão de Documentos das Interferência Civis</v>
          </cell>
        </row>
        <row r="333">
          <cell r="F333" t="str">
            <v>324-SER</v>
          </cell>
          <cell r="G333" t="str">
            <v>Aprovação de 30% dos Documentos do Projeto Executivo Civil, conforme PED aprovada</v>
          </cell>
        </row>
        <row r="334">
          <cell r="F334" t="str">
            <v>325-SER</v>
          </cell>
          <cell r="G334" t="str">
            <v>Aprovação de 60% dos Documentos do Projeto Executivo Civil, conforme PED aprovada</v>
          </cell>
        </row>
        <row r="335">
          <cell r="F335" t="str">
            <v>326-SER</v>
          </cell>
          <cell r="G335" t="str">
            <v>Aprovação completa dos Documentos do Projeto Executivo Civil, conforme PED aprovada</v>
          </cell>
        </row>
        <row r="336">
          <cell r="F336" t="str">
            <v>327-SER</v>
          </cell>
          <cell r="G336" t="str">
            <v>Emissão do Auto de Vistoria do Corpo de Bombeiros (AVCB)</v>
          </cell>
        </row>
        <row r="337">
          <cell r="F337" t="str">
            <v>328-SER</v>
          </cell>
          <cell r="G337" t="str">
            <v>Aprovação da versão conforme construído do Projeto das Interferências Civis</v>
          </cell>
        </row>
        <row r="338">
          <cell r="F338" t="str">
            <v>329-SER</v>
          </cell>
          <cell r="G338" t="str">
            <v>Mobilização civil na obra</v>
          </cell>
        </row>
        <row r="339">
          <cell r="F339" t="str">
            <v>330-SER</v>
          </cell>
          <cell r="G339" t="str">
            <v>Demolições e remoções, execução de paredes em alvenaria, recomposição de revestimento de paredes e pisos após intervenções da 1ª UF</v>
          </cell>
        </row>
        <row r="340">
          <cell r="F340" t="str">
            <v>331-SER</v>
          </cell>
          <cell r="G340" t="str">
            <v>Demolições e remoções, execução de paredes em alvenaria, recomposição de revestimento de paredes e pisos após intervenções da 2ª UF</v>
          </cell>
        </row>
        <row r="341">
          <cell r="F341" t="str">
            <v>332-SER</v>
          </cell>
          <cell r="G341" t="str">
            <v>Demolições e remoções, execução de paredes em alvenaria, recomposição de revestimento de paredes e pisos após intervenções da 3ª UF</v>
          </cell>
        </row>
        <row r="342">
          <cell r="F342" t="str">
            <v>333-SER</v>
          </cell>
          <cell r="G342" t="str">
            <v>Demolições e remoções, execução de paredes em alvenaria, recomposição de revestimento de paredes e pisos após intervenções da 4ª UF</v>
          </cell>
        </row>
        <row r="343">
          <cell r="F343" t="str">
            <v>334-SER</v>
          </cell>
          <cell r="G343" t="str">
            <v>Conclusão das adequações civis da Sala de Baterias</v>
          </cell>
        </row>
        <row r="344">
          <cell r="F344" t="str">
            <v>335-SER</v>
          </cell>
          <cell r="G344" t="str">
            <v>Conclusão das adequações civis do Depósito de Óleo</v>
          </cell>
        </row>
        <row r="345">
          <cell r="F345" t="str">
            <v>336-SER</v>
          </cell>
          <cell r="G345" t="str">
            <v>Conclusão da construção de edícula do Barramento de Guanhães</v>
          </cell>
        </row>
        <row r="346">
          <cell r="F346" t="str">
            <v>337-SER</v>
          </cell>
          <cell r="G346" t="str">
            <v>Conclusão da construção de edícula do Barramento de Santo Antônio</v>
          </cell>
        </row>
        <row r="347">
          <cell r="F347" t="str">
            <v>338-SER</v>
          </cell>
          <cell r="G347" t="str">
            <v>Conclusão da construção de edícula da Tomada D'água Santo Antônio</v>
          </cell>
        </row>
        <row r="348">
          <cell r="F348" t="str">
            <v>339-SER</v>
          </cell>
          <cell r="G348" t="str">
            <v>Conclusão da construção de abrigo para GMG da casa de força</v>
          </cell>
        </row>
        <row r="349">
          <cell r="F349" t="str">
            <v>340-SER</v>
          </cell>
          <cell r="G349" t="str">
            <v>Conclusão da revitalização do piso da casa de força</v>
          </cell>
        </row>
        <row r="350">
          <cell r="F350" t="str">
            <v>341-SER</v>
          </cell>
          <cell r="G350" t="str">
            <v>Conclusão da adequação das Escadas e Passarela de Acesso às Edículas da Chaminé de Equilíbrio</v>
          </cell>
        </row>
        <row r="351">
          <cell r="F351" t="str">
            <v>342-SER</v>
          </cell>
          <cell r="G351" t="str">
            <v>Conclusão das adequações civis para substituição da válvula de equilíbrio de pressão e respectivas tubulações da Chaminé de Equilíbrio</v>
          </cell>
        </row>
        <row r="352">
          <cell r="F352" t="str">
            <v>343-SER</v>
          </cell>
          <cell r="G352" t="str">
            <v>Desmobilização final e limpeza da obra</v>
          </cell>
        </row>
        <row r="353">
          <cell r="F353" t="str">
            <v>344-SER</v>
          </cell>
          <cell r="G353" t="str">
            <v>Aprovação do Plano de Emissão de Documentos dos Disjuntores e Secionadores de Alta Tensão</v>
          </cell>
        </row>
        <row r="354">
          <cell r="F354" t="str">
            <v>345-SER</v>
          </cell>
          <cell r="G354" t="str">
            <v>Aprovação do Modelo e Dimensionamento Preliminar dos Disjuntores e Secionadores de Alta Tensão</v>
          </cell>
        </row>
        <row r="355">
          <cell r="F355" t="str">
            <v>346-SER</v>
          </cell>
          <cell r="G355" t="str">
            <v>Aprovação completa dos Documentos do Projeto Executivo e de Fabricação dos Disjuntores e Secionadores de Alta Tensão</v>
          </cell>
        </row>
        <row r="356">
          <cell r="F356" t="str">
            <v>347-SER</v>
          </cell>
          <cell r="G356" t="str">
            <v>Aprovação da versão conforme construído do Projeto dos Disjuntores e Secionadores de Alta Tensão</v>
          </cell>
        </row>
        <row r="357">
          <cell r="F357" t="str">
            <v>348-MAT</v>
          </cell>
          <cell r="G357" t="str">
            <v>Entrega em campo dos equipamentos e componentes do Disjuntor de Alta Tensão da 1ª UF</v>
          </cell>
        </row>
        <row r="358">
          <cell r="F358" t="str">
            <v>349-MAT</v>
          </cell>
          <cell r="G358" t="str">
            <v>Entrega em campo dos equipamentos e componentes dos Secionadores de Alta Tensão da 1ª UF</v>
          </cell>
        </row>
        <row r="359">
          <cell r="F359" t="str">
            <v>350-MAT</v>
          </cell>
          <cell r="G359" t="str">
            <v>Entrega em campo dos equipamentos e componentes do Disjuntor de Alta Tensão da 2ª UF</v>
          </cell>
        </row>
        <row r="360">
          <cell r="F360" t="str">
            <v>351-MAT</v>
          </cell>
          <cell r="G360" t="str">
            <v>Entrega em campo dos equipamentos e componentes dos Secionadores de Alta Tensão da 2ª UF</v>
          </cell>
        </row>
        <row r="361">
          <cell r="F361" t="str">
            <v>352-MAT</v>
          </cell>
          <cell r="G361" t="str">
            <v>Entrega em campo dos equipamentos e componentes do Disjuntor de Alta Tensão da 3ª UF</v>
          </cell>
        </row>
        <row r="362">
          <cell r="F362" t="str">
            <v>353-MAT</v>
          </cell>
          <cell r="G362" t="str">
            <v>Entrega em campo dos equipamentos e componentes dos Secionadores de Alta Tensão da 3ª UF</v>
          </cell>
        </row>
        <row r="363">
          <cell r="F363" t="str">
            <v>354-MAT</v>
          </cell>
          <cell r="G363" t="str">
            <v>Entrega em campo dos equipamentos e componentes do Disjuntor de Alta Tensão da 4ª UF</v>
          </cell>
        </row>
        <row r="364">
          <cell r="F364" t="str">
            <v>355-MAT</v>
          </cell>
          <cell r="G364" t="str">
            <v>Entrega em campo dos equipamentos e componentes dos Secionadores de Alta Tensão da 4ª UF</v>
          </cell>
        </row>
        <row r="365">
          <cell r="F365" t="str">
            <v>356-SER</v>
          </cell>
          <cell r="G365" t="str">
            <v>Conclusão da desmontagem e da montagem de todos equipamentos e componentes do Disjuntor e dos Secionadores de Alta Tensão da 1ª UF</v>
          </cell>
        </row>
        <row r="366">
          <cell r="F366" t="str">
            <v>357-SER</v>
          </cell>
          <cell r="G366" t="str">
            <v>Conclusão da desmontagem e da montagem de todos equipamentos e componentes do Disjuntor e dos Secionadores de Alta Tensão da 2ª UF</v>
          </cell>
        </row>
        <row r="367">
          <cell r="F367" t="str">
            <v>358-SER</v>
          </cell>
          <cell r="G367" t="str">
            <v>Conclusão da desmontagem e da montagem de todos equipamentos e componentes do Disjuntor e dos Secionadores de Alta Tensão da 3ª UF</v>
          </cell>
        </row>
        <row r="368">
          <cell r="F368" t="str">
            <v>359-SER</v>
          </cell>
          <cell r="G368" t="str">
            <v>Conclusão da desmontagem e da montagem de todos equipamentos e componentes do Disjuntor e dos Secionadores de Alta Tensão da 4ª UF</v>
          </cell>
        </row>
        <row r="369">
          <cell r="F369" t="str">
            <v>360-SER</v>
          </cell>
          <cell r="G369" t="str">
            <v>Conclusão do Comissionamento do Disjuntor e dos Secionadores de Alta Tensão da 1ª UF</v>
          </cell>
        </row>
        <row r="370">
          <cell r="F370" t="str">
            <v>361-SER</v>
          </cell>
          <cell r="G370" t="str">
            <v>Conclusão do Comissionamento do Disjuntor e dos Secionadores de Alta Tensão da 2ª UF</v>
          </cell>
        </row>
        <row r="371">
          <cell r="F371" t="str">
            <v>362-SER</v>
          </cell>
          <cell r="G371" t="str">
            <v>Conclusão do Comissionamento do Disjuntor e dos Secionadores de Alta Tensão da 3ª UF</v>
          </cell>
        </row>
        <row r="372">
          <cell r="F372" t="str">
            <v>363-SER</v>
          </cell>
          <cell r="G372" t="str">
            <v>Conclusão do Comissionamento do Disjuntor e dos Secionadores de Alta Tensão da 4ª UF</v>
          </cell>
        </row>
        <row r="373">
          <cell r="F373" t="str">
            <v>364-SER</v>
          </cell>
          <cell r="G373" t="str">
            <v>Aprovação do Plano de Emissão de Documentos dos Para-raios de Alta Tensão</v>
          </cell>
        </row>
        <row r="374">
          <cell r="F374" t="str">
            <v>365-SER</v>
          </cell>
          <cell r="G374" t="str">
            <v>Aprovação do Modelo e Dimensionamento Preliminar dos Para-raios de Alta Tensão</v>
          </cell>
        </row>
        <row r="375">
          <cell r="F375" t="str">
            <v>366-SER</v>
          </cell>
          <cell r="G375" t="str">
            <v>Aprovação completa dos Documentos do Projeto Executivo e de Fabricação dos Para-raios de Alta Tensão</v>
          </cell>
        </row>
        <row r="376">
          <cell r="F376" t="str">
            <v>367-SER</v>
          </cell>
          <cell r="G376" t="str">
            <v>Aprovação da versão conforme construído do Projeto dos Para-raios de Alta Tensão</v>
          </cell>
        </row>
        <row r="377">
          <cell r="F377" t="str">
            <v>368-MAT</v>
          </cell>
          <cell r="G377" t="str">
            <v>Entrega em campo dos equipamentos e componentes dos Para-raios de Alta Tensão da 1ª UF e do T12</v>
          </cell>
        </row>
        <row r="378">
          <cell r="F378" t="str">
            <v>369-MAT</v>
          </cell>
          <cell r="G378" t="str">
            <v>Entrega em campo dos equipamentos e componentes dos Para-raios de Alta Tensão da 2ª UF</v>
          </cell>
        </row>
        <row r="379">
          <cell r="F379" t="str">
            <v>370-MAT</v>
          </cell>
          <cell r="G379" t="str">
            <v>Entrega em campo dos equipamentos e componentes dos Para-raios de Alta Tensão da 3ª UF</v>
          </cell>
        </row>
        <row r="380">
          <cell r="F380" t="str">
            <v>371-MAT</v>
          </cell>
          <cell r="G380" t="str">
            <v>Entrega em campo dos equipamentos e componentes dos Para-raios de Alta Tensão da 4ª UF</v>
          </cell>
        </row>
        <row r="381">
          <cell r="F381" t="str">
            <v>372-SER</v>
          </cell>
          <cell r="G381" t="str">
            <v>Conclusão da desmontagem e da montagem de todos equipamentos e componentes dos Para-raios de Alta Tensão da 1ª UF e do T12</v>
          </cell>
        </row>
        <row r="382">
          <cell r="F382" t="str">
            <v>373-SER</v>
          </cell>
          <cell r="G382" t="str">
            <v>Conclusão da desmontagem e da montagem de todos equipamentos e componentes dos Para-raios de Alta Tensão da 2ª UF</v>
          </cell>
        </row>
        <row r="383">
          <cell r="F383" t="str">
            <v>374-SER</v>
          </cell>
          <cell r="G383" t="str">
            <v>Conclusão da desmontagem e da montagem de todos equipamentos e componentes dos Para-raios de Alta Tensão da 3ª UF</v>
          </cell>
        </row>
        <row r="384">
          <cell r="F384" t="str">
            <v>375-SER</v>
          </cell>
          <cell r="G384" t="str">
            <v>Conclusão da desmontagem e da montagem de todos equipamentos e componentes dos Para-raios de Alta Tensão da 4ª UF</v>
          </cell>
        </row>
        <row r="385">
          <cell r="F385" t="str">
            <v>376-SER</v>
          </cell>
          <cell r="G385" t="str">
            <v>Conclusão do Comissionamento dos Para-raios de Alta Tensão da 1ª UF e do T12</v>
          </cell>
        </row>
        <row r="386">
          <cell r="F386" t="str">
            <v>377-SER</v>
          </cell>
          <cell r="G386" t="str">
            <v>Conclusão do Comissionamento dos Para-raios de Alta Tensão da 2ª UF</v>
          </cell>
        </row>
        <row r="387">
          <cell r="F387" t="str">
            <v>378-SER</v>
          </cell>
          <cell r="G387" t="str">
            <v>Conclusão do Comissionamento dos Para-raios de Alta Tensão da 3ª UF</v>
          </cell>
        </row>
        <row r="388">
          <cell r="F388" t="str">
            <v>379-SER</v>
          </cell>
          <cell r="G388" t="str">
            <v>Conclusão do Comissionamento dos Para-raios de Alta Tensão da 4ª UF</v>
          </cell>
        </row>
        <row r="389">
          <cell r="F389" t="str">
            <v>380-SER</v>
          </cell>
          <cell r="G389" t="str">
            <v>Aprovação completa dos Documentos do Projeto Executivo Eletromecânico de Reforma e Modernização, incluindo planejamento da sequência construtiva dos sistemas por cada Unidade Funcional</v>
          </cell>
        </row>
        <row r="390">
          <cell r="F390" t="str">
            <v>381-SER</v>
          </cell>
          <cell r="G390" t="str">
            <v>Aprovação da versão conforme construído do Projeto do Arranjo Eletromecânico</v>
          </cell>
        </row>
        <row r="391">
          <cell r="F391" t="str">
            <v>382-SER</v>
          </cell>
          <cell r="G391" t="str">
            <v>Conclusão da desmontagem dos demais equipamentos desativados (transformador T7, cubículos dos disjuntores 5F4 e 8F4, entre outros)</v>
          </cell>
        </row>
        <row r="392">
          <cell r="F392" t="str">
            <v>383-SER</v>
          </cell>
          <cell r="G392" t="str">
            <v>2.28.1.1 - Aprovação de projeto executivo civil</v>
          </cell>
        </row>
        <row r="393">
          <cell r="F393" t="str">
            <v>384-SER</v>
          </cell>
          <cell r="G393" t="str">
            <v>2.28.1.2 - Aprovação de projeto executivo eletromecânico</v>
          </cell>
        </row>
        <row r="394">
          <cell r="F394" t="str">
            <v>385-SER</v>
          </cell>
          <cell r="G394" t="str">
            <v>2.28.1.3 - Aprovação de projeto executivo elétrico</v>
          </cell>
        </row>
        <row r="395">
          <cell r="F395" t="str">
            <v>386-SER</v>
          </cell>
          <cell r="G395" t="str">
            <v>2.28.1.4 - Atualização conforme construido, registros contábeis e solução de pendências</v>
          </cell>
        </row>
        <row r="396">
          <cell r="F396" t="str">
            <v>387-MAT</v>
          </cell>
          <cell r="G396" t="str">
            <v>2.28.2 - Fornecimento de Estruturas Metálicas Suporte de Equipamento (Item 1) *Nota 4</v>
          </cell>
        </row>
        <row r="397">
          <cell r="F397" t="str">
            <v>388-MAT</v>
          </cell>
          <cell r="G397" t="str">
            <v>2.28.3 - Fornecimento de Estruturas Metálicas Suporte de Barramento (Item 2) *Nota 4</v>
          </cell>
        </row>
        <row r="398">
          <cell r="F398" t="str">
            <v>389-MAT</v>
          </cell>
          <cell r="G398" t="str">
            <v>2.28.4 - Fornecimento de Barramentos Rígidos e Flexíveis (Item 3) *Nota 4</v>
          </cell>
        </row>
        <row r="399">
          <cell r="F399" t="str">
            <v>390-MAT</v>
          </cell>
          <cell r="G399" t="str">
            <v>2.28.5 - Fornecimento de Cabos Isolados de MT (Item 4) *Nota 4</v>
          </cell>
        </row>
        <row r="400">
          <cell r="F400" t="str">
            <v>391-MAT</v>
          </cell>
          <cell r="G400" t="str">
            <v>2.28.6 - Fornecimento de Religadores de Média Tensão (Item 5) *Nota 4</v>
          </cell>
        </row>
        <row r="401">
          <cell r="F401" t="str">
            <v>392-MAT</v>
          </cell>
          <cell r="G401" t="str">
            <v>2.28.7 - Fornecimento de Transformadores de Corrente de MT (Item 6) *Nota 4</v>
          </cell>
        </row>
        <row r="402">
          <cell r="F402" t="str">
            <v>393-MAT</v>
          </cell>
          <cell r="G402" t="str">
            <v>2.28.8 - Fornecimento de Seccionadores de Média Tensão (Item 7) *Nota 4</v>
          </cell>
        </row>
        <row r="403">
          <cell r="F403" t="str">
            <v>394-MAT</v>
          </cell>
          <cell r="G403" t="str">
            <v>2.28.9 - Fornecimento de Para-raios de Média Tensão (Item 8) *Nota 4</v>
          </cell>
        </row>
        <row r="404">
          <cell r="F404" t="str">
            <v>395-MAT</v>
          </cell>
          <cell r="G404" t="str">
            <v>2.28.10 - Fornecimento de Cubículos com Disjuntores de Média Tensão (Item 9) *Nota 4</v>
          </cell>
        </row>
        <row r="405">
          <cell r="F405" t="str">
            <v>396-MAT</v>
          </cell>
          <cell r="G405" t="str">
            <v>2.28.11 - Fornecimento de Equipamentos e Materiais para Bancos de Capacitores de MT (Item 10) *Nota 4</v>
          </cell>
        </row>
        <row r="406">
          <cell r="F406" t="str">
            <v>397-MAT</v>
          </cell>
          <cell r="G406" t="str">
            <v>2.28.12 - Fornecimento de Transformadores de Potencial de Média Tensão (Item 11) *Nota 4</v>
          </cell>
        </row>
        <row r="407">
          <cell r="F407" t="str">
            <v>398-MAT</v>
          </cell>
          <cell r="G407" t="str">
            <v>2.28.13 - Fornecimento de Para-raios de Alta Tensão (Item 12) *Nota 4</v>
          </cell>
        </row>
        <row r="408">
          <cell r="F408" t="str">
            <v>399-MAT</v>
          </cell>
          <cell r="G408" t="str">
            <v>2.28.14 - Fornecimento de Transformadores de Potencial de Alta Tensão (Item 13) *Nota 4</v>
          </cell>
        </row>
        <row r="409">
          <cell r="F409" t="str">
            <v>400-MAT</v>
          </cell>
          <cell r="G409" t="str">
            <v>2.28.15 - Fornecimento de Transformadores de Corrente de Alta Tensão (Item 14) *Nota 4</v>
          </cell>
        </row>
        <row r="410">
          <cell r="F410" t="str">
            <v>401-MAT</v>
          </cell>
          <cell r="G410" t="str">
            <v>2.28.16 - Fornecimento de Seccionadores de Alta Tensão (Item 15) *Nota 4</v>
          </cell>
        </row>
        <row r="411">
          <cell r="F411" t="str">
            <v>402-MAT</v>
          </cell>
          <cell r="G411" t="str">
            <v>2.28.17 - Fornecimento de Disjuntores de Alta Tensão (Item 16) *Nota 4</v>
          </cell>
        </row>
        <row r="412">
          <cell r="F412" t="str">
            <v>403-MAT</v>
          </cell>
          <cell r="G412" t="str">
            <v>2.28.18 - Fornecimento de Sistema de Automação de Subestações - SAS (Item 17) *Nota 4</v>
          </cell>
        </row>
        <row r="413">
          <cell r="F413" t="str">
            <v>404-MAT</v>
          </cell>
          <cell r="G413" t="str">
            <v>2.28.19 - Fornecimento de Cubículos de Serviços Auxiliares (Item 18) *Nota 4</v>
          </cell>
        </row>
        <row r="414">
          <cell r="F414" t="str">
            <v>405-MAT</v>
          </cell>
          <cell r="G414" t="str">
            <v>2.28.20 - Fornecimento de Sistema de Aterramento para Subestação (Item 19) *Nota 4</v>
          </cell>
        </row>
        <row r="415">
          <cell r="F415" t="str">
            <v>406-MAT</v>
          </cell>
          <cell r="G415" t="str">
            <v>2.28.21 - Fornecimento de Sistema de Iluminação e Força da Subestação (Item 20) *Nota 4</v>
          </cell>
        </row>
        <row r="416">
          <cell r="F416" t="str">
            <v>407-MAT</v>
          </cell>
          <cell r="G416" t="str">
            <v>2.28.22 - Fornecimento de Eletrodutos (Condutos) (Item 21) *Nota 4</v>
          </cell>
        </row>
        <row r="417">
          <cell r="F417" t="str">
            <v>408-MAT</v>
          </cell>
          <cell r="G417" t="str">
            <v>2.28.23 - Fornecimento de Equipamentos e Materiais para Arranjo Provisório de MT (Item 22) *Nota 4</v>
          </cell>
        </row>
        <row r="418">
          <cell r="F418" t="str">
            <v>409-SER</v>
          </cell>
          <cell r="G418" t="str">
            <v>2.28.24 - Terraplenagem</v>
          </cell>
        </row>
        <row r="419">
          <cell r="F419" t="str">
            <v>410-SER</v>
          </cell>
          <cell r="G419" t="str">
            <v>2.28.25 - Sistema de Aterramento</v>
          </cell>
        </row>
        <row r="420">
          <cell r="F420" t="str">
            <v>411-SER</v>
          </cell>
          <cell r="G420" t="str">
            <v>2.28.26 - Fundações (Estruturas de Barramentos)</v>
          </cell>
        </row>
        <row r="421">
          <cell r="F421" t="str">
            <v>412-SER</v>
          </cell>
          <cell r="G421" t="str">
            <v>2.28.27 - Fundações (Equipamentos)</v>
          </cell>
        </row>
        <row r="422">
          <cell r="F422" t="str">
            <v>413-SER</v>
          </cell>
          <cell r="G422" t="str">
            <v>2.28.28 - Drenagem</v>
          </cell>
        </row>
        <row r="423">
          <cell r="F423" t="str">
            <v>414-SER</v>
          </cell>
          <cell r="G423" t="str">
            <v xml:space="preserve">2.28.29 - Urbanização </v>
          </cell>
        </row>
        <row r="424">
          <cell r="F424" t="str">
            <v>415-SER</v>
          </cell>
          <cell r="G424" t="str">
            <v>2.28.30 - Serviços Complementares</v>
          </cell>
        </row>
        <row r="425">
          <cell r="F425" t="str">
            <v>416-SER</v>
          </cell>
          <cell r="G425" t="str">
            <v>2.28.31 - Demolições</v>
          </cell>
        </row>
        <row r="426">
          <cell r="F426" t="str">
            <v>417-SER</v>
          </cell>
          <cell r="G426" t="str">
            <v>2.28.32 - Montagem de Estruturas Suporte de Equipamentos</v>
          </cell>
        </row>
        <row r="427">
          <cell r="F427" t="str">
            <v>418-SER</v>
          </cell>
          <cell r="G427" t="str">
            <v>2.28.33 - Montagem de Estruturas Suporte de Barramentos de Alta Tensão</v>
          </cell>
        </row>
        <row r="428">
          <cell r="F428" t="str">
            <v>419-SER</v>
          </cell>
          <cell r="G428" t="str">
            <v>2.28.34 - Montagem de Estruturas Suporte de Barramentos de Média Tensão</v>
          </cell>
        </row>
        <row r="429">
          <cell r="F429" t="str">
            <v>420-SER</v>
          </cell>
          <cell r="G429" t="str">
            <v>2.28.35 - Montagem e Testes Físicos de Barramentos Rígidos e Flexíveis (nus e isolados)</v>
          </cell>
        </row>
        <row r="430">
          <cell r="F430" t="str">
            <v>421-SER</v>
          </cell>
          <cell r="G430" t="str">
            <v>2.28.36 - Montagem e Testes Físicos de Religadores de Média Tensão</v>
          </cell>
        </row>
        <row r="431">
          <cell r="F431" t="str">
            <v>422-SER</v>
          </cell>
          <cell r="G431" t="str">
            <v>2.28.37 - Montagem e Testes Físicos de Transformadores de Corrente de Média Tensão</v>
          </cell>
        </row>
        <row r="432">
          <cell r="F432" t="str">
            <v>423-SER</v>
          </cell>
          <cell r="G432" t="str">
            <v>2.28.38 - Montagem e Testes Físicos de Seccionadores de Média Tensão</v>
          </cell>
        </row>
        <row r="433">
          <cell r="F433" t="str">
            <v>424-SER</v>
          </cell>
          <cell r="G433" t="str">
            <v>2.28.39 - Montagem e Testes Físicos de Para-raios de Média Tensão</v>
          </cell>
        </row>
        <row r="434">
          <cell r="F434" t="str">
            <v>425-SER</v>
          </cell>
          <cell r="G434" t="str">
            <v>2.28.40 - Montagem e Testes Físicos de Cubículo com Disjuntores de Média Tensão</v>
          </cell>
        </row>
        <row r="435">
          <cell r="F435" t="str">
            <v>426-SER</v>
          </cell>
          <cell r="G435" t="str">
            <v>2.28.41 - Montagem e Testes Físicos de Bancos de Capacitores de Média Tensão</v>
          </cell>
        </row>
        <row r="436">
          <cell r="F436" t="str">
            <v>427-SER</v>
          </cell>
          <cell r="G436" t="str">
            <v xml:space="preserve">2.28.42 - Montagem e Testes Físicos de Transformadores de Potencial de Média Tensão </v>
          </cell>
        </row>
        <row r="437">
          <cell r="F437" t="str">
            <v>428-SER</v>
          </cell>
          <cell r="G437" t="str">
            <v>2.28.43 - Montagem e Testes Físicos de Para-raios de Alta Tensão</v>
          </cell>
        </row>
        <row r="438">
          <cell r="F438" t="str">
            <v>429-SER</v>
          </cell>
          <cell r="G438" t="str">
            <v xml:space="preserve">2.28.44 - Montagem e Testes Físicos de Transformadores de Potencial de Alta Tensão </v>
          </cell>
        </row>
        <row r="439">
          <cell r="F439" t="str">
            <v>430-SER</v>
          </cell>
          <cell r="G439" t="str">
            <v>2.28.45 - Montagem e Testes Físicos de Transformadores de Corrente de Alta Tensão</v>
          </cell>
        </row>
        <row r="440">
          <cell r="F440" t="str">
            <v>431-SER</v>
          </cell>
          <cell r="G440" t="str">
            <v>2.28.46 - Montagem e Testes Físicos de Seccionadores de Alta Tensão</v>
          </cell>
        </row>
        <row r="441">
          <cell r="F441" t="str">
            <v>432-SER</v>
          </cell>
          <cell r="G441" t="str">
            <v>2.28.47 - Montagem e Testes Físicos de Disjuntores de Alta Tensão</v>
          </cell>
        </row>
        <row r="442">
          <cell r="F442" t="str">
            <v>433-SER</v>
          </cell>
          <cell r="G442" t="str">
            <v>2.28.48 - Montagem de Sistema de Automação de Automação - SAS</v>
          </cell>
        </row>
        <row r="443">
          <cell r="F443" t="str">
            <v>434-SER</v>
          </cell>
          <cell r="G443" t="str">
            <v>2.28.49 - Montagem de Cubículos de Serviços Auxiliares</v>
          </cell>
        </row>
        <row r="444">
          <cell r="F444" t="str">
            <v>435-SER</v>
          </cell>
          <cell r="G444" t="str">
            <v>2.28.50 - Montagem de Eletrodutos para Subestação</v>
          </cell>
        </row>
        <row r="445">
          <cell r="F445" t="str">
            <v>436-SER</v>
          </cell>
          <cell r="G445" t="str">
            <v xml:space="preserve">2.28.51 - Montagem e Testes Físicos do Sistema de Iluminação e Força para Subestação </v>
          </cell>
        </row>
        <row r="446">
          <cell r="F446" t="str">
            <v>437-SER</v>
          </cell>
          <cell r="G446" t="str">
            <v>2.28.52 - Montagem e Testes Físicos de Arranjo Provisório de MT</v>
          </cell>
        </row>
        <row r="447">
          <cell r="F447" t="str">
            <v>438-SER</v>
          </cell>
          <cell r="G447" t="str">
            <v>2.28.53 - Execução de Testes de Teleproteção - "Ponta a ponta"</v>
          </cell>
        </row>
        <row r="448">
          <cell r="F448" t="str">
            <v>439-SER</v>
          </cell>
          <cell r="G448" t="str">
            <v>2.28.54 - Desmontagem de Equipamentos e Materiais do pátio de 161 kV</v>
          </cell>
        </row>
        <row r="449">
          <cell r="F449" t="str">
            <v>440-SER</v>
          </cell>
          <cell r="G449" t="str">
            <v>2.28.55 - Desmontagem de Equipamentos e Materiais do pátio de 69 kV</v>
          </cell>
        </row>
        <row r="450">
          <cell r="F450" t="str">
            <v>441-SER</v>
          </cell>
          <cell r="G450" t="str">
            <v>2.28.56 - Desmontagem de Equipamentos e Materiais do pátio de 13,8 kV</v>
          </cell>
        </row>
        <row r="451">
          <cell r="F451" t="str">
            <v>442-SER</v>
          </cell>
          <cell r="G451" t="str">
            <v>2.28.57 - Desmontagem de Demais Equipamentos, Sistemas e Materiais de Baixa Tensão</v>
          </cell>
        </row>
        <row r="452">
          <cell r="F452" t="str">
            <v>443-SER</v>
          </cell>
          <cell r="G452" t="str">
            <v>2.28.58 - Desmontagem de Arranjo Provisório de MT</v>
          </cell>
        </row>
        <row r="453">
          <cell r="F453" t="str">
            <v>444-SER</v>
          </cell>
          <cell r="G453" t="str">
            <v>2.28.59 - Comissionamento / Testes de Aceitação em Campo (TAC)</v>
          </cell>
        </row>
        <row r="454">
          <cell r="F454" t="str">
            <v>445-SER</v>
          </cell>
          <cell r="G454" t="str">
            <v>2.28.60 - Entrega completa das peças, materiais e equipamentos sobressalentes adquiridos</v>
          </cell>
        </row>
        <row r="455">
          <cell r="F455" t="str">
            <v>446-SER</v>
          </cell>
          <cell r="G455" t="str">
            <v>Aprovação do Plano de Emissão de Documentos do Sistema de Vigilância Eletrônica</v>
          </cell>
        </row>
        <row r="456">
          <cell r="F456" t="str">
            <v>447-SER</v>
          </cell>
          <cell r="G456" t="str">
            <v>Aprovação completa dos Documentos do Projeto Executivo e de Fabricação do Sistema de Vigilância Eletrônica</v>
          </cell>
        </row>
        <row r="457">
          <cell r="F457" t="str">
            <v>448-SER</v>
          </cell>
          <cell r="G457" t="str">
            <v>Aprovação da versão conforme construído do Projeto do Sistema de Vigilância Eletrônica</v>
          </cell>
        </row>
        <row r="458">
          <cell r="F458" t="str">
            <v>449-MAT</v>
          </cell>
          <cell r="G458" t="str">
            <v>Entrega em campo dos equipamentos e componentes do Sistema de Controle de Acesso e Intrusão</v>
          </cell>
        </row>
        <row r="459">
          <cell r="F459" t="str">
            <v>450-MAT</v>
          </cell>
          <cell r="G459" t="str">
            <v>Entrega em campo dos equipamentos e componentes do Sistema de CFTV</v>
          </cell>
        </row>
        <row r="460">
          <cell r="F460" t="str">
            <v>451-SER</v>
          </cell>
          <cell r="G460" t="str">
            <v>Conclusão da montagem do Sistema de Controle de Acesso e Intrusão</v>
          </cell>
        </row>
        <row r="461">
          <cell r="F461" t="str">
            <v>452-SER</v>
          </cell>
          <cell r="G461" t="str">
            <v>Conclusão da montagem do Sistema de CFTV</v>
          </cell>
        </row>
        <row r="462">
          <cell r="F462" t="str">
            <v>453-SER</v>
          </cell>
          <cell r="G462" t="str">
            <v>Conclusão do Comissionamento do Sistema de Controle de Acesso e Intrusão e do Sistema de CFTV</v>
          </cell>
        </row>
        <row r="463">
          <cell r="F463" t="str">
            <v>454-SER</v>
          </cell>
          <cell r="G463" t="str">
            <v>Aprovação do Plano de Emissão de Documentos das Adequações das Instalações Elétricas - Vertedouro Santo Antônio</v>
          </cell>
        </row>
        <row r="464">
          <cell r="F464" t="str">
            <v>455-SER</v>
          </cell>
          <cell r="G464" t="str">
            <v>Aprovação do Diagrama Unifilar dos Serviços Auxiliares Elétricos do Vertedouro Santo Antônio</v>
          </cell>
        </row>
        <row r="465">
          <cell r="F465" t="str">
            <v>456-SER</v>
          </cell>
          <cell r="G465" t="str">
            <v>Aprovação da Memória de Cálculo e Dimensionamento dos Serviços Auxiliares Elétricos - Vertedouro Santo Antônio</v>
          </cell>
        </row>
        <row r="466">
          <cell r="F466" t="str">
            <v>457-SER</v>
          </cell>
          <cell r="G466" t="str">
            <v>Aprovação completa dos Documentos do Projeto Executivo e de Fabricação das Adequações das Instalações Elétricas - Vertedouro Santo Antônio</v>
          </cell>
        </row>
        <row r="467">
          <cell r="F467" t="str">
            <v>458-SER</v>
          </cell>
          <cell r="G467" t="str">
            <v>Aprovação da versão conforme construído do Projeto das Adequações das Instalações Elétricas - Vertedouro Santo Antônio</v>
          </cell>
        </row>
        <row r="468">
          <cell r="F468" t="str">
            <v>459-MAT</v>
          </cell>
          <cell r="G468" t="str">
            <v>Entrega em campo dos equipamentos e componentes do Vertedouro Santo Antônio</v>
          </cell>
        </row>
        <row r="469">
          <cell r="F469" t="str">
            <v>460-SER</v>
          </cell>
          <cell r="G469" t="str">
            <v>Conclusão da desmontagem e da montagem de todos equipamentos e componentes do Vertedouro Santo Antônio</v>
          </cell>
        </row>
        <row r="470">
          <cell r="F470" t="str">
            <v>461-SER</v>
          </cell>
          <cell r="G470" t="str">
            <v>Conclusão do Comissionamento da Adequação das Instalações Elétricas do Vertedouro Santo Antônio</v>
          </cell>
        </row>
        <row r="471">
          <cell r="F471" t="str">
            <v>462-SER</v>
          </cell>
          <cell r="G471" t="str">
            <v>Aprovação do Plano de Emissão de Documentos das Adequações das Instalações Elétricas - Vertedouro Guanhães</v>
          </cell>
        </row>
        <row r="472">
          <cell r="F472" t="str">
            <v>463-SER</v>
          </cell>
          <cell r="G472" t="str">
            <v>Aprovação do Diagrama Unifilar dos Serviços Auxiliares Elétricos do Vertedouro Guanhães</v>
          </cell>
        </row>
        <row r="473">
          <cell r="F473" t="str">
            <v>464-SER</v>
          </cell>
          <cell r="G473" t="str">
            <v>Aprovação da Memória de Cálculo e Dimensionamento dos Serviços Auxiliares Elétricos - Vertedouro Guanhães</v>
          </cell>
        </row>
        <row r="474">
          <cell r="F474" t="str">
            <v>465-SER</v>
          </cell>
          <cell r="G474" t="str">
            <v>Aprovação completa dos Documentos do Projeto Executivo e de Fabricação das Adequações das Instalações Elétricas - Vertedouro Guanhães</v>
          </cell>
        </row>
        <row r="475">
          <cell r="F475" t="str">
            <v>466-SER</v>
          </cell>
          <cell r="G475" t="str">
            <v>Aprovação da versão conforme construído do Projeto das Adequações das Instalações Elétricas - Vertedouro Guanhães</v>
          </cell>
        </row>
        <row r="476">
          <cell r="F476" t="str">
            <v>467-MAT</v>
          </cell>
          <cell r="G476" t="str">
            <v>Entrega em campo dos equipamentos e componentes do Vertedouro Guanhães</v>
          </cell>
        </row>
        <row r="477">
          <cell r="F477" t="str">
            <v>468-SER</v>
          </cell>
          <cell r="G477" t="str">
            <v>Conclusão da desmontagem e da montagem de todos equipamentos e componentes do Vertedouro Guanhães</v>
          </cell>
        </row>
        <row r="478">
          <cell r="F478" t="str">
            <v>469-SER</v>
          </cell>
          <cell r="G478" t="str">
            <v>Conclusão do Comissionamento da Adequação das Instalações Elétricas do Vertedouro Guanhães</v>
          </cell>
        </row>
        <row r="479">
          <cell r="F479" t="str">
            <v>470-SER</v>
          </cell>
          <cell r="G479" t="str">
            <v>Aprovação do Plano de Emissão de Documentos da Automação das Comportas Vagão - T.D. Santo Antônio</v>
          </cell>
        </row>
        <row r="480">
          <cell r="F480" t="str">
            <v>471-SER</v>
          </cell>
          <cell r="G480" t="str">
            <v>Aprovação do Diagrama Unifilar dos Serviços Auxiliares Elétricos da T.D. Santo Antônio</v>
          </cell>
        </row>
        <row r="481">
          <cell r="F481" t="str">
            <v>472-SER</v>
          </cell>
          <cell r="G481" t="str">
            <v>Aprovação da Memória de Cálculo e Dimensionamento dos Equipamentos e Serviços Auxiliares Elétricos - T.D. Santo Antônio</v>
          </cell>
        </row>
        <row r="482">
          <cell r="F482" t="str">
            <v>473-SER</v>
          </cell>
          <cell r="G482" t="str">
            <v>Aprovação completa dos Documentos do Projeto Executivo e de Fabricação das Adequações das Instalações Elétricas - T.D. Santo Antônio</v>
          </cell>
        </row>
        <row r="483">
          <cell r="F483" t="str">
            <v>474-SER</v>
          </cell>
          <cell r="G483" t="str">
            <v>Aprovação da versão conforme construído do Projeto da Automação das Comportas Vagão - T.D. Santo Antônio</v>
          </cell>
        </row>
        <row r="484">
          <cell r="F484" t="str">
            <v>475-MAT</v>
          </cell>
          <cell r="G484" t="str">
            <v>Entrega em campo dos equipamentos e componentes da Automação das Comportas Vagão - T.D. Santo Antônio</v>
          </cell>
        </row>
        <row r="485">
          <cell r="F485" t="str">
            <v>476-SER</v>
          </cell>
          <cell r="G485" t="str">
            <v>Conclusão da desmontagem e da montagem de todos equipamentos e componentes da Automação das Comportas Vagão - T.D. Santo Antônio</v>
          </cell>
        </row>
        <row r="486">
          <cell r="F486" t="str">
            <v>477-SER</v>
          </cell>
          <cell r="G486" t="str">
            <v>Conclusão do Comissionamento da Automação das Comportas Vagão - T.D. Santo Antônio</v>
          </cell>
        </row>
        <row r="487">
          <cell r="F487" t="str">
            <v>478-SER</v>
          </cell>
          <cell r="G487" t="str">
            <v>Aprovação do Plano de Emissão de Documentos do Sistema de Telecomunicações</v>
          </cell>
        </row>
        <row r="488">
          <cell r="F488" t="str">
            <v>479-SER</v>
          </cell>
          <cell r="G488" t="str">
            <v>Aprovação completa dos Documentos do Projeto Executivo e de Fabricação do Sistema de Telecomunicações</v>
          </cell>
        </row>
        <row r="489">
          <cell r="F489" t="str">
            <v>480-SER</v>
          </cell>
          <cell r="G489" t="str">
            <v>Aprovação da versão conforme construído do Projeto do Sistema de Telecomunicações</v>
          </cell>
        </row>
        <row r="490">
          <cell r="F490" t="str">
            <v>481-MAT</v>
          </cell>
          <cell r="G490" t="str">
            <v>Entrega em campo dos equipamentos e materiais do Sistema de Telecomunicações dos Vertedouros / Barragem / Tomada d'água</v>
          </cell>
        </row>
        <row r="491">
          <cell r="F491" t="str">
            <v>482-MAT</v>
          </cell>
          <cell r="G491" t="str">
            <v>Entrega em campo dos equipamentos e materiais do Sistema de Telecomunicações da Casa de Força</v>
          </cell>
        </row>
        <row r="492">
          <cell r="F492" t="str">
            <v>483-MAT</v>
          </cell>
          <cell r="G492" t="str">
            <v>Entrega em campo dos equipamentos e materiais da rede óptica entre Casa de Força, Barragem Guanhães, Barragem Santo Antônio e Tomada d'água</v>
          </cell>
        </row>
        <row r="493">
          <cell r="F493" t="str">
            <v>484-SER</v>
          </cell>
          <cell r="G493" t="str">
            <v>Conclusão da desmontagem e montagem de todos equipamentos e componentes do Sistema de Telecomunicações</v>
          </cell>
        </row>
        <row r="494">
          <cell r="F494" t="str">
            <v>485-SER</v>
          </cell>
          <cell r="G494" t="str">
            <v>Conclusão do lançamento da rede óptica, incluindo as adequações civis necessárias</v>
          </cell>
        </row>
        <row r="495">
          <cell r="F495" t="str">
            <v>486-SER</v>
          </cell>
          <cell r="G495" t="str">
            <v>Conclusão do Comissionamento do Sistema de Telecomunicações e rede óptica</v>
          </cell>
        </row>
      </sheetData>
    </sheetDataSet>
  </externalBook>
</externalLink>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5.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6.xml.rels><Relationships xmlns="http://schemas.openxmlformats.org/package/2006/relationships"><Relationship Type="http://schemas.openxmlformats.org/officeDocument/2006/relationships/drawing" Target="/xl/drawings/drawing2.xml" Id="rId1"/></Relationships>
</file>

<file path=xl/worksheets/_rels/sheet7.xml.rels><Relationships xmlns="http://schemas.openxmlformats.org/package/2006/relationships"><Relationship Type="http://schemas.openxmlformats.org/officeDocument/2006/relationships/drawing" Target="/xl/drawings/drawing3.xml" Id="rId1"/></Relationships>
</file>

<file path=xl/worksheets/_rels/sheet9.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10.xml.rels><Relationships xmlns="http://schemas.openxmlformats.org/package/2006/relationships"><Relationship Type="http://schemas.openxmlformats.org/officeDocument/2006/relationships/drawing" Target="/xl/drawings/drawing4.xml" Id="rId1"/></Relationships>
</file>

<file path=xl/worksheets/_rels/sheet11.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12.xml.rels><Relationships xmlns="http://schemas.openxmlformats.org/package/2006/relationships"><Relationship Type="http://schemas.openxmlformats.org/officeDocument/2006/relationships/drawing" Target="/xl/drawings/drawing5.xml" Id="rId1"/></Relationships>
</file>

<file path=xl/worksheets/sheet1.xml><?xml version="1.0" encoding="utf-8"?>
<worksheet xmlns="http://schemas.openxmlformats.org/spreadsheetml/2006/main">
  <sheetPr codeName="Planilha1">
    <outlinePr summaryBelow="1" summaryRight="1"/>
    <pageSetUpPr fitToPage="1"/>
  </sheetPr>
  <dimension ref="A1:D22"/>
  <sheetViews>
    <sheetView showGridLines="0" topLeftCell="A13" zoomScale="81" zoomScaleNormal="81" workbookViewId="0">
      <selection activeCell="C26" sqref="C26"/>
    </sheetView>
  </sheetViews>
  <sheetFormatPr baseColWidth="8" defaultRowHeight="14.4"/>
  <cols>
    <col width="18.109375" customWidth="1" min="1" max="1"/>
    <col width="34.44140625" bestFit="1" customWidth="1" min="2" max="2"/>
    <col width="71.44140625" customWidth="1" min="3" max="3"/>
    <col width="92.44140625" customWidth="1" min="4" max="4"/>
  </cols>
  <sheetData>
    <row r="1" ht="56.25" customHeight="1" thickBot="1">
      <c r="A1" s="1138">
        <f>'01_Preço'!A1</f>
        <v/>
      </c>
      <c r="B1" s="1139" t="n"/>
      <c r="C1" s="1139" t="n"/>
      <c r="D1" s="1140" t="n"/>
    </row>
    <row r="2" ht="18" customHeight="1" thickBot="1">
      <c r="A2" s="1138" t="inlineStr">
        <is>
          <t>GUIA DE INFORMAÇÕES BÁSICAS</t>
        </is>
      </c>
      <c r="B2" s="1139" t="n"/>
      <c r="C2" s="1139" t="n"/>
      <c r="D2" s="1140" t="n"/>
    </row>
    <row r="3" ht="9" customHeight="1" thickBot="1">
      <c r="A3" s="197" t="n"/>
      <c r="B3" s="198" t="n"/>
      <c r="C3" s="198" t="n"/>
      <c r="D3" s="199" t="n"/>
    </row>
    <row r="4" ht="33" customHeight="1">
      <c r="A4" s="1141">
        <f>'01_Preço'!A4</f>
        <v/>
      </c>
      <c r="B4" s="1142" t="n"/>
      <c r="C4" s="1143" t="n"/>
      <c r="D4" s="200">
        <f>_xlfn.CONCAT('01_Preço'!M4,"  ",'01_Preço'!O4)</f>
        <v/>
      </c>
    </row>
    <row r="5" ht="21" customHeight="1">
      <c r="A5" s="804" t="inlineStr">
        <is>
          <t>NOME EMPRESA PROPONENTE:</t>
        </is>
      </c>
      <c r="B5" s="1144" t="n"/>
      <c r="C5" s="881">
        <f>'01_Preço'!C5</f>
        <v/>
      </c>
      <c r="D5" s="1144" t="n"/>
    </row>
    <row r="6" ht="21" customHeight="1">
      <c r="A6" s="808" t="inlineStr">
        <is>
          <t>Nº CNPJ:</t>
        </is>
      </c>
      <c r="B6" s="1145">
        <f>'01_Preço'!L5</f>
        <v/>
      </c>
      <c r="C6" s="810" t="inlineStr">
        <is>
          <t>Nº INSCRIÇÃO ESTADUAL:</t>
        </is>
      </c>
      <c r="D6" s="202">
        <f>'01_Preço'!Q5</f>
        <v/>
      </c>
    </row>
    <row r="7" ht="21" customHeight="1">
      <c r="A7" s="808" t="inlineStr">
        <is>
          <t>NOME REPRESENTANTE LEGAL:</t>
        </is>
      </c>
      <c r="B7" s="1144" t="n"/>
      <c r="C7" s="1146">
        <f>'01_Preço'!C6</f>
        <v/>
      </c>
      <c r="D7" s="1147" t="n"/>
    </row>
    <row r="8" ht="21" customHeight="1">
      <c r="A8" s="808" t="inlineStr">
        <is>
          <t>Nº CPF:</t>
        </is>
      </c>
      <c r="B8" s="1148">
        <f>'01_Preço'!L6</f>
        <v/>
      </c>
      <c r="C8" s="810" t="inlineStr">
        <is>
          <t>Nº DA IDENTIDADE:</t>
        </is>
      </c>
      <c r="D8" s="204">
        <f>'01_Preço'!Q6</f>
        <v/>
      </c>
    </row>
    <row r="9" ht="33" customHeight="1">
      <c r="A9" s="205" t="inlineStr">
        <is>
          <t>DATA DE EMISSÃO:</t>
        </is>
      </c>
      <c r="B9" s="260">
        <f>'01_Preço'!V5</f>
        <v/>
      </c>
      <c r="C9" s="810" t="inlineStr">
        <is>
          <t>BASE ECONÔMICA TRIBUTÁRIA:</t>
        </is>
      </c>
      <c r="D9" s="1149">
        <f>'01_Preço'!V4</f>
        <v/>
      </c>
    </row>
    <row r="10" ht="40.5" customHeight="1" thickBot="1">
      <c r="A10" s="1150" t="inlineStr">
        <is>
          <t>ASSINATURA DO REPRESENTANTE LEGAL DA EMPRESA:</t>
        </is>
      </c>
      <c r="B10" s="1151" t="n"/>
      <c r="C10" s="881">
        <f>'01_Preço'!E7</f>
        <v/>
      </c>
      <c r="D10" s="1144" t="n"/>
    </row>
    <row r="11" ht="9" customHeight="1" thickBot="1">
      <c r="A11" s="206" t="n"/>
      <c r="B11" s="207" t="n"/>
      <c r="C11" s="208" t="n"/>
      <c r="D11" s="209" t="n"/>
    </row>
    <row r="12" ht="31.8" customHeight="1" thickBot="1">
      <c r="A12" s="210" t="inlineStr">
        <is>
          <t>REFERE-SE A DISCIPLINA</t>
        </is>
      </c>
      <c r="B12" s="211" t="inlineStr">
        <is>
          <t>NOME DA ABA NA PLANILHA</t>
        </is>
      </c>
      <c r="C12" s="211" t="inlineStr">
        <is>
          <t>DESCRIÇÃO DA PLANILHA</t>
        </is>
      </c>
      <c r="D12" s="211" t="inlineStr">
        <is>
          <t>ORIENTAÇÕES BASICAS PARA O PREENCHIMENTO</t>
        </is>
      </c>
    </row>
    <row r="13" ht="192" customHeight="1" thickBot="1">
      <c r="A13" s="212" t="inlineStr">
        <is>
          <t>REFERE-SE A TODAS AS DISCIPLINAS E  PLANILHAS</t>
        </is>
      </c>
      <c r="B13" s="212" t="inlineStr">
        <is>
          <t>00_Instruções.Básicas</t>
        </is>
      </c>
      <c r="C13" s="213" t="inlineStr">
        <is>
          <t>Esta aba, a "00_Instruções.Básicas", é um guia com as informações e instruções básicas para o preenchimento da planilha de preço e eventogramas. Além desta, o arquivo Excel, inclui as seguintes abas: 
"01_Preço" com campos disponíveis para entrada dos dados da empresa bem como campos para preenchimento de valores unitários das disciplinas e demais dados solicitados, conforme regras do edital. 
"02_Sobressalent_Especif_CEMIG_D" com campos disponíveis para preenchimento de valores unitários dos itens sobressalentes listados.
"03_Eventos.pagamentos" esta aba apresenta as informações sobre a distribuição dos valores em eventos de pagamento, é destinada a entrada da informação do referido mês de cumprimento de cada evento individualmente.
"04_TOTALIZADORA" esta aba apresenta uma totalizadora com o gráfico da curva de distribuição de valores no tempo, PREÇO GLOBAL e campo disponível para preenchimento do valor da antecipação solicitada.</t>
        </is>
      </c>
      <c r="D13" s="214" t="inlineStr">
        <is>
          <t>Esta aba da planilha contém orientações básicas para o preenchimento das demais abas da planilha de preços e eventos.
Para facilitar o preenchimento, as células que requerem informações, de acordo com as instruções do EDITAL, estão na cor amarela nas planilhas, as demais células que não necessitam de preenchimento neste momento / fase do edital estão bloqueadas.
Além do preenchimento dos campos em amarelo, a empresa proponente deverá providenciar a assinatura das planilhas pelo representante legal da empresa.</t>
        </is>
      </c>
    </row>
    <row r="14" ht="9" customHeight="1" thickBot="1">
      <c r="A14" s="215" t="n"/>
      <c r="B14" s="216" t="n"/>
      <c r="C14" s="217" t="n"/>
      <c r="D14" s="218" t="n"/>
    </row>
    <row r="15" ht="185.25" customHeight="1" thickBot="1">
      <c r="A15" s="219" t="inlineStr">
        <is>
          <t>PREÇO</t>
        </is>
      </c>
      <c r="B15" s="220" t="inlineStr">
        <is>
          <t>01_Preço</t>
        </is>
      </c>
      <c r="C15" s="221" t="inlineStr">
        <is>
          <t>É uma tabela destinada ao lançamento dos preços e impostos, correspondentes aos equipamentos, materiais e serviços do fornecimento.</t>
        </is>
      </c>
      <c r="D15" s="221" t="inlineStr">
        <is>
          <t>Preencher os campos em amarelo "LICITAÇÃO Nº", "BASE ECONÔMICA TRIBUTÁRIA:", "EMPRESA PROPONENTE", "Nº CNPJ", "Nº INSCRIÇÃO ESTADUAL", "REPRESENTANTE LEGAL", "Nº CPF", "Nº IDENTIDADE", "DATA DE EMISSÃO",com o número da licitação e os respectivos dados da empresa bem como a data da proposta e data da base econômica tributária. Tais dados serão automaticamente transferidos às demais abas.
Preencher também, os campos das colunas "PREÇO UNITÁRIO (com todos os tributos) (R$)", "Identificação do Fornecedor ou Sub Fornecedor" e "CNAE" com os valores unitários respectivamente ofertados para os materiais e serviços das disciplinas, bem como os dados dos fornecedores, conforme requeridos. 
ATENÇÃO! Os campos das colunas de impostos, devem ser preenchidos somente após a adjudicação do vencedor do certame, em outro momento, conforme instruções do edital e demais documentação.</t>
        </is>
      </c>
    </row>
    <row r="16" ht="9" customHeight="1" thickBot="1">
      <c r="A16" s="215" t="n"/>
      <c r="B16" s="222" t="n"/>
      <c r="C16" s="218" t="n"/>
      <c r="D16" s="218" t="n"/>
    </row>
    <row r="17" ht="102" customHeight="1" thickBot="1">
      <c r="A17" s="219" t="inlineStr">
        <is>
          <t>PREÇO SOBRESSALENTES ATIVOS CEMIG D</t>
        </is>
      </c>
      <c r="B17" s="220" t="inlineStr">
        <is>
          <t>02_Sobressalent_Especif_CEMIG_D</t>
        </is>
      </c>
      <c r="C17" s="221" t="inlineStr">
        <is>
          <t>É uma tabela destinada ao lançamento dos preços e impostos, correspondentes aos materiais sobressalente do escopo Cemig D.</t>
        </is>
      </c>
      <c r="D17" s="221" t="inlineStr">
        <is>
          <t>Preencher os campos em amarelo "VALOR TOTAL DO ITEM (R$) (com todos os Impostos, já incluso o ICMS a ser recolhido no Estado de destino.)",com o valor dos respectivos itens sobresssalentes listados na tabela.
ATENÇÃO! Os campos das colunas de impostos, devem ser preenchidos somente após a adjudicação do vencedor do certame, em outro momento, conforme instruções do edital e demais documentação.</t>
        </is>
      </c>
    </row>
    <row r="18" ht="9" customHeight="1" thickBot="1">
      <c r="A18" s="215" t="n"/>
      <c r="B18" s="222" t="n"/>
      <c r="C18" s="218" t="n"/>
      <c r="D18" s="218" t="n"/>
    </row>
    <row r="19" ht="39.75" customHeight="1" thickBot="1">
      <c r="A19" s="223" t="inlineStr">
        <is>
          <t>Todas</t>
        </is>
      </c>
      <c r="B19" s="224" t="inlineStr">
        <is>
          <t>02_Evento.pagamentos</t>
        </is>
      </c>
      <c r="C19" s="214" t="inlineStr">
        <is>
          <t>É uma tabela que apresenta os eventos, seus valores e coluna para lançamento do mês de conclusão para cada um dos eventos.</t>
        </is>
      </c>
      <c r="D19" s="214" t="inlineStr">
        <is>
          <t>Preencher os campos da coluna "Mês da proposta" com o mês de conclusão dos respectivos eventos, de acordo com as instruções do edital e demais documentações.</t>
        </is>
      </c>
    </row>
    <row r="20" ht="9" customHeight="1" thickBot="1">
      <c r="A20" s="215" t="n"/>
      <c r="B20" s="222" t="n"/>
      <c r="C20" s="218" t="n"/>
      <c r="D20" s="218" t="n"/>
    </row>
    <row r="21" ht="71.25" customHeight="1" thickBot="1">
      <c r="A21" s="223" t="inlineStr">
        <is>
          <t>Ambas Disciplinas</t>
        </is>
      </c>
      <c r="B21" s="224" t="inlineStr">
        <is>
          <t>03_TOTALIZADORA</t>
        </is>
      </c>
      <c r="C21" s="214" t="inlineStr">
        <is>
          <t>É uma tabela destinada a apresentação do VALOR GLOBAL e da curva de desembolso mensal com o quantitativo de eventos e seus valores mensais. Apresenta também o campo para preenchimento do VALOR DE ANTECIPAÇÃO SOLICITADA, conforme regras definidas na documentação do edital.</t>
        </is>
      </c>
      <c r="D21" s="214" t="inlineStr">
        <is>
          <t>Planilha para apresentação dos valores, quantidades de eventos e da curva de desembolso. Preencher somente o campo "ANTECIPAÇÃO SOLICITADA" com o valor percentual solicitado de antecipação, sendo este limitado a 5% do valor do PREÇO GLOBAL da proposta, demais campos são carregados de forma automática de acordo com as planilhas de preços e eventos.</t>
        </is>
      </c>
    </row>
    <row r="22" ht="9" customHeight="1" thickBot="1">
      <c r="A22" s="225" t="n"/>
      <c r="B22" s="226" t="n"/>
      <c r="C22" s="227" t="n"/>
      <c r="D22" s="226" t="n"/>
    </row>
  </sheetData>
  <mergeCells count="9">
    <mergeCell ref="A1:D1"/>
    <mergeCell ref="C7:D7"/>
    <mergeCell ref="C10:D10"/>
    <mergeCell ref="A7:B7"/>
    <mergeCell ref="A10:B10"/>
    <mergeCell ref="A5:B5"/>
    <mergeCell ref="C5:D5"/>
    <mergeCell ref="A2:D2"/>
    <mergeCell ref="A4:C4"/>
  </mergeCells>
  <printOptions horizontalCentered="1" verticalCentered="1"/>
  <pageMargins left="0.3149606299212598" right="0.3937007874015748" top="0.3149606299212598" bottom="0.3149606299212598" header="0.1968503937007874" footer="0.1181102362204725"/>
  <pageSetup orientation="landscape" paperSize="8" scale="83"/>
  <headerFooter>
    <oddHeader/>
    <oddFooter>&amp;C&amp;P de &amp;N&amp;R&amp;"Calibri"&amp;10 &amp;K000000_x000d_# Classificação: Público</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U72"/>
  <sheetViews>
    <sheetView zoomScale="55" zoomScaleNormal="55" workbookViewId="0">
      <selection activeCell="O18" sqref="O18"/>
    </sheetView>
  </sheetViews>
  <sheetFormatPr baseColWidth="8" defaultRowHeight="14.4"/>
  <cols>
    <col width="22.6640625" bestFit="1" customWidth="1" min="2" max="2"/>
    <col width="10.6640625" bestFit="1" customWidth="1" min="9" max="9"/>
    <col width="15.5546875" bestFit="1" customWidth="1" min="10" max="10"/>
    <col width="16.33203125" bestFit="1" customWidth="1" min="11" max="11"/>
    <col width="19" bestFit="1" customWidth="1" min="12" max="12"/>
    <col width="22.109375" bestFit="1" customWidth="1" min="13" max="13"/>
    <col width="14.33203125" bestFit="1" customWidth="1" min="14" max="14"/>
    <col width="14.88671875" bestFit="1" customWidth="1" min="15" max="15"/>
    <col width="11.109375" customWidth="1" min="16" max="16"/>
    <col width="23.33203125" bestFit="1" customWidth="1" min="18" max="18"/>
    <col width="11" customWidth="1" min="20" max="20"/>
    <col width="11.109375" bestFit="1" customWidth="1" min="21" max="21"/>
  </cols>
  <sheetData>
    <row r="1" ht="15" customHeight="1" thickBot="1">
      <c r="A1" s="897" t="n"/>
      <c r="B1" s="897" t="n"/>
      <c r="C1" s="897" t="n"/>
      <c r="D1" s="897" t="n"/>
      <c r="E1" s="897" t="n"/>
      <c r="F1" s="897" t="n"/>
      <c r="G1" s="897" t="n"/>
      <c r="H1" s="897" t="n"/>
      <c r="I1" s="897" t="n"/>
      <c r="J1" s="897" t="n"/>
      <c r="K1" s="897" t="n"/>
      <c r="L1" s="897" t="n"/>
      <c r="M1" s="897" t="n"/>
      <c r="N1" s="897" t="n"/>
      <c r="O1" s="897" t="n"/>
      <c r="P1" s="897" t="n"/>
      <c r="Q1" s="897" t="n"/>
      <c r="R1" s="897" t="n"/>
      <c r="S1" s="897" t="n"/>
      <c r="T1" s="897" t="n"/>
      <c r="U1" s="897" t="n"/>
    </row>
    <row r="2">
      <c r="A2" s="1152" t="n"/>
      <c r="B2" s="181" t="n"/>
      <c r="C2" s="181" t="n"/>
      <c r="D2" s="181" t="n"/>
      <c r="E2" s="181" t="n"/>
      <c r="F2" s="181" t="n"/>
      <c r="G2" s="181" t="n"/>
      <c r="H2" s="181" t="n"/>
      <c r="I2" s="181" t="n"/>
      <c r="J2" s="181" t="n"/>
      <c r="K2" s="181" t="n"/>
      <c r="L2" s="181" t="n"/>
      <c r="M2" s="181" t="n"/>
      <c r="N2" s="181" t="n"/>
      <c r="O2" s="181" t="n"/>
      <c r="P2" s="181" t="n"/>
      <c r="Q2" s="181" t="n"/>
      <c r="R2" s="1153" t="n"/>
      <c r="S2" s="897" t="n"/>
      <c r="T2" s="897" t="n"/>
      <c r="U2" s="897" t="n"/>
    </row>
    <row r="3">
      <c r="A3" s="1154" t="n"/>
      <c r="R3" s="1155" t="n"/>
      <c r="S3" s="897" t="n"/>
      <c r="T3" s="897" t="n"/>
      <c r="U3" s="897" t="n"/>
    </row>
    <row r="4" ht="15" customHeight="1" thickBot="1">
      <c r="A4" s="61" t="n"/>
      <c r="B4" s="59" t="n"/>
      <c r="C4" s="59" t="n"/>
      <c r="D4" s="59" t="n"/>
      <c r="E4" s="59" t="n"/>
      <c r="F4" s="59" t="n"/>
      <c r="G4" s="59" t="n"/>
      <c r="H4" s="59" t="n"/>
      <c r="I4" s="59" t="n"/>
      <c r="J4" s="59" t="n"/>
      <c r="K4" s="59" t="n"/>
      <c r="L4" s="59" t="n"/>
      <c r="M4" s="59" t="n"/>
      <c r="N4" s="59" t="n"/>
      <c r="O4" s="59" t="n"/>
      <c r="P4" s="59" t="n"/>
      <c r="Q4" s="59" t="n"/>
      <c r="R4" s="60" t="n"/>
      <c r="S4" s="897" t="n"/>
      <c r="T4" s="897" t="n"/>
      <c r="U4" s="897" t="n"/>
    </row>
    <row r="5">
      <c r="A5" s="1156" t="inlineStr">
        <is>
          <t>REFORMA E MODERNIZAÇÃO DE SALTO GRANDE</t>
        </is>
      </c>
      <c r="R5" s="1155" t="n"/>
      <c r="S5" s="897" t="n"/>
      <c r="T5" s="897" t="n"/>
      <c r="U5" s="897" t="n"/>
    </row>
    <row r="6" ht="15" customHeight="1" thickBot="1">
      <c r="A6" s="1157" t="n"/>
      <c r="B6" s="1158" t="n"/>
      <c r="C6" s="1158" t="n"/>
      <c r="D6" s="1158" t="n"/>
      <c r="E6" s="1158" t="n"/>
      <c r="F6" s="1158" t="n"/>
      <c r="G6" s="1158" t="n"/>
      <c r="H6" s="1158" t="n"/>
      <c r="I6" s="1158" t="n"/>
      <c r="J6" s="1158" t="n"/>
      <c r="K6" s="1158" t="n"/>
      <c r="L6" s="1158" t="n"/>
      <c r="M6" s="1158" t="n"/>
      <c r="N6" s="1158" t="n"/>
      <c r="O6" s="1158" t="n"/>
      <c r="P6" s="1158" t="n"/>
      <c r="Q6" s="1158" t="n"/>
      <c r="R6" s="1159" t="n"/>
      <c r="S6" s="897" t="n"/>
      <c r="T6" s="897" t="n"/>
      <c r="U6" s="897" t="n"/>
    </row>
    <row r="7" ht="15" customHeight="1" thickBot="1">
      <c r="A7" s="1160" t="inlineStr">
        <is>
          <t>BOLETIM DE MEDIÇÃO - Nº 03/2026</t>
        </is>
      </c>
      <c r="B7" s="1161" t="n"/>
      <c r="C7" s="1161" t="n"/>
      <c r="D7" s="1161" t="n"/>
      <c r="E7" s="1161" t="n"/>
      <c r="F7" s="1161" t="n"/>
      <c r="G7" s="1161" t="n"/>
      <c r="H7" s="1161" t="n"/>
      <c r="I7" s="1161" t="n"/>
      <c r="J7" s="1161" t="n"/>
      <c r="K7" s="1161" t="n"/>
      <c r="L7" s="1161" t="n"/>
      <c r="M7" s="1161" t="n"/>
      <c r="N7" s="1161" t="n"/>
      <c r="O7" s="1161" t="n"/>
      <c r="P7" s="1161" t="n"/>
      <c r="Q7" s="1161" t="n"/>
      <c r="R7" s="1162" t="n"/>
      <c r="S7" s="897" t="n"/>
      <c r="T7" s="897" t="n"/>
      <c r="U7" s="897" t="n"/>
    </row>
    <row r="8" ht="15" customHeight="1" thickBot="1">
      <c r="A8" s="911" t="inlineStr">
        <is>
          <t xml:space="preserve">Data de apresentação: </t>
        </is>
      </c>
      <c r="B8" s="59" t="n"/>
      <c r="C8" s="59" t="n"/>
      <c r="D8" s="59" t="n"/>
      <c r="E8" s="59" t="n"/>
      <c r="F8" s="59" t="n"/>
      <c r="G8" s="59" t="n"/>
      <c r="H8" s="59" t="n"/>
      <c r="I8" s="59" t="n"/>
      <c r="J8" s="59" t="n"/>
      <c r="K8" s="59" t="n"/>
      <c r="L8" s="59" t="n"/>
      <c r="M8" s="59" t="n"/>
      <c r="N8" s="59" t="n"/>
      <c r="O8" s="59" t="n"/>
      <c r="P8" s="59" t="n"/>
      <c r="Q8" s="59" t="n"/>
      <c r="R8" s="579" t="n">
        <v>46037</v>
      </c>
      <c r="S8" s="897" t="n"/>
      <c r="T8" s="897" t="n"/>
      <c r="U8" s="897" t="n"/>
    </row>
    <row r="9">
      <c r="A9" s="913" t="inlineStr">
        <is>
          <t>Nº do Contrato</t>
        </is>
      </c>
      <c r="D9" s="1163" t="inlineStr">
        <is>
          <t>4680007320 - 7321</t>
        </is>
      </c>
      <c r="R9" s="1155" t="n"/>
      <c r="S9" s="897" t="n"/>
      <c r="T9" s="897" t="n"/>
      <c r="U9" s="897" t="n"/>
    </row>
    <row r="10">
      <c r="A10" s="913" t="inlineStr">
        <is>
          <t>Mês de Referência</t>
        </is>
      </c>
      <c r="D10" s="1164" t="n">
        <v>46037</v>
      </c>
      <c r="R10" s="1155" t="n"/>
      <c r="S10" s="897" t="n"/>
      <c r="T10" s="897" t="n"/>
      <c r="U10" s="897" t="n"/>
    </row>
    <row r="11">
      <c r="A11" s="913" t="inlineStr">
        <is>
          <t>Empresa Contratada</t>
        </is>
      </c>
      <c r="D11" s="1163" t="inlineStr">
        <is>
          <t>INSIGHT ENERGY</t>
        </is>
      </c>
      <c r="R11" s="1155" t="n"/>
      <c r="S11" s="897" t="n"/>
      <c r="T11" s="897" t="n"/>
      <c r="U11" s="897" t="n"/>
    </row>
    <row r="12">
      <c r="A12" s="913" t="inlineStr">
        <is>
          <t>Empresa Contratante</t>
        </is>
      </c>
      <c r="D12" s="1163" t="inlineStr">
        <is>
          <t>CEMIG GERAÇÃO E TRANSMISSÃO SA</t>
        </is>
      </c>
      <c r="R12" s="1155" t="n"/>
      <c r="S12" s="897" t="n"/>
      <c r="T12" s="897" t="n"/>
      <c r="U12" s="897" t="n"/>
    </row>
    <row r="13" ht="15" customHeight="1" thickBot="1">
      <c r="A13" s="917" t="inlineStr">
        <is>
          <t>Empresas Subcontratadas</t>
        </is>
      </c>
      <c r="B13" s="59" t="n"/>
      <c r="C13" s="59" t="n"/>
      <c r="D13" s="1165" t="inlineStr">
        <is>
          <t>n/a</t>
        </is>
      </c>
      <c r="E13" s="59" t="n"/>
      <c r="F13" s="59" t="n"/>
      <c r="G13" s="59" t="n"/>
      <c r="H13" s="59" t="n"/>
      <c r="I13" s="59" t="n"/>
      <c r="J13" s="59" t="n"/>
      <c r="K13" s="59" t="n"/>
      <c r="L13" s="59" t="n"/>
      <c r="M13" s="59" t="n"/>
      <c r="N13" s="59" t="n"/>
      <c r="O13" s="59" t="n"/>
      <c r="P13" s="59" t="n"/>
      <c r="Q13" s="59" t="n"/>
      <c r="R13" s="60" t="n"/>
      <c r="S13" s="897" t="n"/>
      <c r="T13" s="897" t="n"/>
      <c r="U13" s="897" t="n"/>
    </row>
    <row r="14" ht="15" customHeight="1" thickBot="1">
      <c r="A14" s="897" t="n"/>
      <c r="B14" s="897" t="n"/>
      <c r="C14" s="897" t="n"/>
      <c r="D14" s="897" t="n"/>
      <c r="E14" s="897" t="n"/>
      <c r="F14" s="897" t="n"/>
      <c r="G14" s="897" t="n"/>
      <c r="H14" s="897" t="n"/>
      <c r="I14" s="897" t="n"/>
      <c r="J14" s="897" t="n"/>
      <c r="K14" s="897" t="n"/>
      <c r="L14" s="897" t="n"/>
      <c r="M14" s="897" t="n"/>
      <c r="N14" s="897" t="n"/>
      <c r="O14" s="897" t="n"/>
      <c r="P14" s="897" t="n"/>
      <c r="Q14" s="897" t="n"/>
      <c r="R14" s="897" t="n"/>
      <c r="S14" s="897" t="n"/>
      <c r="T14" s="897" t="n"/>
      <c r="U14" s="897" t="n"/>
    </row>
    <row r="15" ht="15" customHeight="1" thickBot="1">
      <c r="A15" s="920" t="inlineStr">
        <is>
          <t>DESCRIÇÃO DOS EVENTOS</t>
        </is>
      </c>
      <c r="B15" s="1139" t="n"/>
      <c r="C15" s="1139" t="n"/>
      <c r="D15" s="1139" t="n"/>
      <c r="E15" s="1139" t="n"/>
      <c r="F15" s="1139" t="n"/>
      <c r="G15" s="1139" t="n"/>
      <c r="H15" s="1139" t="n"/>
      <c r="I15" s="1139" t="n"/>
      <c r="J15" s="921" t="n"/>
      <c r="K15" s="921" t="n"/>
      <c r="L15" s="1139" t="n"/>
      <c r="M15" s="581" t="inlineStr">
        <is>
          <t>HISTÓRICO DE MEDIÇÃO</t>
        </is>
      </c>
      <c r="N15" s="1166" t="inlineStr">
        <is>
          <t>MEDIÇÃO</t>
        </is>
      </c>
      <c r="O15" s="1140" t="n"/>
      <c r="P15" s="1167" t="inlineStr">
        <is>
          <t>CONTA CORRENTE</t>
        </is>
      </c>
      <c r="Q15" s="1139" t="n"/>
      <c r="R15" s="1140" t="n"/>
      <c r="S15" s="897" t="n"/>
      <c r="T15" s="1168" t="inlineStr">
        <is>
          <t>Para uso da CEMIG GT</t>
        </is>
      </c>
      <c r="U15" s="1140" t="n"/>
    </row>
    <row r="16" ht="14.4" customHeight="1">
      <c r="A16" s="1169" t="inlineStr">
        <is>
          <t>Mês do Evento</t>
        </is>
      </c>
      <c r="B16" s="1170" t="inlineStr">
        <is>
          <t>Especificação Técnica</t>
        </is>
      </c>
      <c r="C16" s="1171" t="inlineStr">
        <is>
          <t>Nº Evento</t>
        </is>
      </c>
      <c r="D16" s="1170" t="inlineStr">
        <is>
          <t>Descrição do Evento (Conforme Contrato)</t>
        </is>
      </c>
      <c r="E16" s="181" t="n"/>
      <c r="F16" s="181" t="n"/>
      <c r="G16" s="181" t="n"/>
      <c r="H16" s="1172" t="n"/>
      <c r="I16" s="1173" t="inlineStr">
        <is>
          <t>Fornecedor</t>
        </is>
      </c>
      <c r="J16" s="1174" t="inlineStr">
        <is>
          <t>Valor do Evento 
(P0)</t>
        </is>
      </c>
      <c r="K16" s="1174" t="inlineStr">
        <is>
          <t>Valor do Reajuste</t>
        </is>
      </c>
      <c r="L16" s="1173" t="inlineStr">
        <is>
          <t>Valor (P0 + Reajuste)</t>
        </is>
      </c>
      <c r="M16" s="1175" t="inlineStr">
        <is>
          <t>Medições anteriores</t>
        </is>
      </c>
      <c r="N16" s="1176" t="inlineStr">
        <is>
          <t>Valor cumprido</t>
        </is>
      </c>
      <c r="O16" s="1177" t="inlineStr">
        <is>
          <t>Saldo do Evento</t>
        </is>
      </c>
      <c r="P16" s="1178" t="inlineStr">
        <is>
          <t>Utilização de Conta Corrente</t>
        </is>
      </c>
      <c r="Q16" s="1179" t="inlineStr">
        <is>
          <t>Evento Cedente</t>
        </is>
      </c>
      <c r="R16" s="1180" t="inlineStr">
        <is>
          <t>Saldo do Evendo Cedente</t>
        </is>
      </c>
      <c r="S16" s="897" t="n"/>
      <c r="T16" s="1181" t="inlineStr">
        <is>
          <t>Análise Técnica de Cumprimento</t>
        </is>
      </c>
      <c r="U16" s="1182" t="inlineStr">
        <is>
          <t>Comentário</t>
        </is>
      </c>
    </row>
    <row r="17" ht="15" customHeight="1" thickBot="1">
      <c r="A17" s="1183" t="n"/>
      <c r="B17" s="1184" t="n"/>
      <c r="C17" s="1185" t="n"/>
      <c r="D17" s="1185" t="n"/>
      <c r="E17" s="59" t="n"/>
      <c r="F17" s="59" t="n"/>
      <c r="G17" s="59" t="n"/>
      <c r="H17" s="1186" t="n"/>
      <c r="I17" s="1185" t="n"/>
      <c r="J17" s="1184" t="n"/>
      <c r="K17" s="1184" t="n"/>
      <c r="L17" s="1185" t="n"/>
      <c r="M17" s="1187" t="n"/>
      <c r="N17" s="1183" t="n"/>
      <c r="O17" s="1188" t="n"/>
      <c r="P17" s="1183" t="n"/>
      <c r="Q17" s="1184" t="n"/>
      <c r="R17" s="60" t="n"/>
      <c r="S17" s="897" t="n"/>
      <c r="T17" s="1189" t="n"/>
      <c r="U17" s="1190" t="n"/>
    </row>
    <row r="18">
      <c r="A18" s="582">
        <f>IF(C18="","",_xlfn.XLOOKUP(C18,'03_Eventos_pagamentos'!$G$10:$G$901,'03_Eventos_pagamentos'!$E$10:$E$901))</f>
        <v/>
      </c>
      <c r="B18" s="583" t="inlineStr">
        <is>
          <t>2.21 - Interferências civis</t>
        </is>
      </c>
      <c r="C18" s="584">
        <f>'03_Eventos_pagamentos'!G629</f>
        <v/>
      </c>
      <c r="D18" s="961">
        <f>IF(C18="","",_xlfn.XLOOKUP(C18,'[1]03_Eventos_pagamentos'!$F$10:$F$495,'[1]03_Eventos_pagamentos'!$G$10:$G$495))</f>
        <v/>
      </c>
      <c r="E18" s="1191" t="n"/>
      <c r="F18" s="1191" t="n"/>
      <c r="G18" s="1191" t="n"/>
      <c r="H18" s="1191" t="n"/>
      <c r="I18" s="585" t="inlineStr">
        <is>
          <t>INSIGHT</t>
        </is>
      </c>
      <c r="J18" s="1192">
        <f>'03_Eventos_pagamentos'!O629</f>
        <v/>
      </c>
      <c r="K18" s="1193" t="n">
        <v>0</v>
      </c>
      <c r="L18" s="1194">
        <f>J18+K18</f>
        <v/>
      </c>
      <c r="M18" s="1195" t="n">
        <v>0</v>
      </c>
      <c r="N18" s="1196">
        <f>L18*0.3</f>
        <v/>
      </c>
      <c r="O18" s="1197">
        <f>L18-N18</f>
        <v/>
      </c>
      <c r="P18" s="1198" t="n"/>
      <c r="Q18" s="1199" t="n"/>
      <c r="R18" s="1200" t="n"/>
      <c r="S18" s="897" t="n"/>
      <c r="T18" s="595" t="n"/>
      <c r="U18" s="596" t="n"/>
    </row>
    <row r="19">
      <c r="A19" s="582">
        <f>IF(C19="","",_xlfn.XLOOKUP(C19,'03_Eventos_pagamentos'!$G$10:$G$901,'03_Eventos_pagamentos'!$E$10:$E$901))</f>
        <v/>
      </c>
      <c r="B19" s="583" t="inlineStr">
        <is>
          <t>2.21 - Interferências civis</t>
        </is>
      </c>
      <c r="C19" s="597">
        <f>'03_Eventos_pagamentos'!G643</f>
        <v/>
      </c>
      <c r="D19" s="963">
        <f>IF(C19="","",_xlfn.XLOOKUP(C19,'[1]03_Eventos_pagamentos'!$F$10:$F$495,'[1]03_Eventos_pagamentos'!$G$10:$G$495))</f>
        <v/>
      </c>
      <c r="E19" s="1201" t="n"/>
      <c r="F19" s="1201" t="n"/>
      <c r="G19" s="1201" t="n"/>
      <c r="H19" s="1201" t="n"/>
      <c r="I19" s="598" t="inlineStr">
        <is>
          <t>INSIGHT</t>
        </is>
      </c>
      <c r="J19" s="1202">
        <f>'03_Eventos_pagamentos'!O643</f>
        <v/>
      </c>
      <c r="K19" s="1203" t="n">
        <v>0</v>
      </c>
      <c r="L19" s="1194">
        <f>J19+K19</f>
        <v/>
      </c>
      <c r="M19" s="1204" t="n">
        <v>0</v>
      </c>
      <c r="N19" s="1196">
        <f>L19</f>
        <v/>
      </c>
      <c r="O19" s="1205" t="n"/>
      <c r="P19" s="1206" t="n"/>
      <c r="Q19" s="1207" t="n"/>
      <c r="R19" s="1208" t="n"/>
      <c r="S19" s="897" t="n"/>
      <c r="T19" s="607" t="n"/>
      <c r="U19" s="608" t="n"/>
    </row>
    <row r="20">
      <c r="A20" s="582" t="n"/>
      <c r="B20" s="583" t="n"/>
      <c r="C20" s="597" t="n"/>
      <c r="D20" s="963" t="n"/>
      <c r="E20" s="1201" t="n"/>
      <c r="F20" s="1201" t="n"/>
      <c r="G20" s="1201" t="n"/>
      <c r="H20" s="1201" t="n"/>
      <c r="I20" s="598" t="n"/>
      <c r="J20" s="1202" t="n"/>
      <c r="K20" s="1203" t="n"/>
      <c r="L20" s="1194" t="n"/>
      <c r="M20" s="1204" t="n">
        <v>0</v>
      </c>
      <c r="N20" s="1209" t="n"/>
      <c r="O20" s="1205" t="n"/>
      <c r="P20" s="1206" t="n"/>
      <c r="Q20" s="1207" t="n"/>
      <c r="R20" s="1208" t="n"/>
      <c r="S20" s="897" t="n"/>
      <c r="T20" s="607" t="n"/>
      <c r="U20" s="608" t="n"/>
    </row>
    <row r="21" ht="15" customHeight="1" thickBot="1">
      <c r="A21" s="609" t="n"/>
      <c r="B21" s="583" t="n"/>
      <c r="C21" s="610" t="n"/>
      <c r="D21" s="964" t="n"/>
      <c r="E21" s="1210" t="n"/>
      <c r="F21" s="1210" t="n"/>
      <c r="G21" s="1210" t="n"/>
      <c r="H21" s="1210" t="n"/>
      <c r="I21" s="611" t="n"/>
      <c r="J21" s="1211" t="n"/>
      <c r="K21" s="1212" t="n"/>
      <c r="L21" s="1213" t="n"/>
      <c r="M21" s="1214" t="n">
        <v>0</v>
      </c>
      <c r="N21" s="1215" t="n"/>
      <c r="O21" s="1216" t="n"/>
      <c r="P21" s="1217" t="n"/>
      <c r="Q21" s="1218" t="n"/>
      <c r="R21" s="1219" t="n"/>
      <c r="S21" s="897" t="n"/>
      <c r="T21" s="621" t="n"/>
      <c r="U21" s="622" t="n"/>
    </row>
    <row r="22" ht="15" customHeight="1" thickBot="1">
      <c r="A22" s="951" t="inlineStr">
        <is>
          <t>Total</t>
        </is>
      </c>
      <c r="B22" s="1139" t="n"/>
      <c r="C22" s="1139" t="n"/>
      <c r="D22" s="1139" t="n"/>
      <c r="E22" s="1139" t="n"/>
      <c r="F22" s="1139" t="n"/>
      <c r="G22" s="1139" t="n"/>
      <c r="H22" s="1139" t="n"/>
      <c r="I22" s="1139" t="n"/>
      <c r="J22" s="1220">
        <f>SUM(J18:J21)</f>
        <v/>
      </c>
      <c r="K22" s="1220">
        <f>SUM(K18:K21)</f>
        <v/>
      </c>
      <c r="L22" s="1220">
        <f>SUM(L18:L21)</f>
        <v/>
      </c>
      <c r="M22" s="1221">
        <f>SUM(M18:M21)</f>
        <v/>
      </c>
      <c r="N22" s="1222" t="n"/>
      <c r="O22" s="905" t="n"/>
      <c r="P22" s="905" t="n"/>
      <c r="Q22" s="905" t="n"/>
      <c r="R22" s="626" t="n"/>
      <c r="S22" s="897" t="n"/>
      <c r="T22" s="897" t="n"/>
      <c r="U22" s="897" t="n"/>
    </row>
    <row r="23" ht="15" customHeight="1" thickBot="1">
      <c r="A23" s="627" t="n"/>
      <c r="B23" s="627" t="n"/>
      <c r="C23" s="627" t="n"/>
      <c r="D23" s="627" t="n"/>
      <c r="E23" s="627" t="n"/>
      <c r="F23" s="627" t="n"/>
      <c r="G23" s="627" t="n"/>
      <c r="H23" s="627" t="n"/>
      <c r="I23" s="627" t="n"/>
      <c r="J23" s="1223" t="n"/>
      <c r="K23" s="1223" t="n"/>
      <c r="L23" s="1223" t="n"/>
      <c r="M23" s="1223" t="n"/>
      <c r="N23" s="1224" t="n"/>
      <c r="O23" s="896" t="n"/>
      <c r="P23" s="896" t="n"/>
      <c r="Q23" s="896" t="n"/>
      <c r="R23" s="896" t="n"/>
      <c r="S23" s="897" t="n"/>
      <c r="T23" s="897" t="n"/>
      <c r="U23" s="897" t="n"/>
    </row>
    <row r="24">
      <c r="A24" s="1225" t="inlineStr">
        <is>
          <t>VALOR TOTAL CUMPRIDO</t>
        </is>
      </c>
      <c r="B24" s="181" t="n"/>
      <c r="C24" s="181" t="n"/>
      <c r="D24" s="181" t="n"/>
      <c r="E24" s="181" t="n"/>
      <c r="F24" s="181" t="n"/>
      <c r="G24" s="181" t="n"/>
      <c r="H24" s="181" t="n"/>
      <c r="I24" s="181" t="n"/>
      <c r="J24" s="181" t="n"/>
      <c r="K24" s="181" t="n"/>
      <c r="L24" s="181" t="n"/>
      <c r="M24" s="1153" t="n"/>
      <c r="N24" s="1226">
        <f>SUM(N18:N21)</f>
        <v/>
      </c>
      <c r="O24" s="1153" t="n"/>
      <c r="P24" s="896" t="n"/>
      <c r="Q24" s="896" t="n"/>
      <c r="R24" s="896" t="n"/>
      <c r="S24" s="897" t="n"/>
      <c r="T24" s="897" t="n"/>
      <c r="U24" s="897" t="n"/>
    </row>
    <row r="25" ht="15" customHeight="1" thickBot="1">
      <c r="A25" s="61" t="n"/>
      <c r="B25" s="59" t="n"/>
      <c r="C25" s="59" t="n"/>
      <c r="D25" s="59" t="n"/>
      <c r="E25" s="59" t="n"/>
      <c r="F25" s="59" t="n"/>
      <c r="G25" s="59" t="n"/>
      <c r="H25" s="59" t="n"/>
      <c r="I25" s="59" t="n"/>
      <c r="J25" s="59" t="n"/>
      <c r="K25" s="59" t="n"/>
      <c r="L25" s="59" t="n"/>
      <c r="M25" s="60" t="n"/>
      <c r="N25" s="61" t="n"/>
      <c r="O25" s="60" t="n"/>
      <c r="P25" s="896" t="n"/>
      <c r="Q25" s="896" t="n"/>
      <c r="R25" s="896" t="n"/>
      <c r="S25" s="897" t="n"/>
      <c r="T25" s="897" t="n"/>
      <c r="U25" s="897" t="n"/>
    </row>
    <row r="26" ht="15" customHeight="1" thickBot="1">
      <c r="A26" s="897" t="n"/>
      <c r="B26" s="897" t="n"/>
      <c r="C26" s="897" t="n"/>
      <c r="D26" s="897" t="n"/>
      <c r="E26" s="897" t="n"/>
      <c r="F26" s="897" t="n"/>
      <c r="G26" s="897" t="n"/>
      <c r="H26" s="897" t="n"/>
      <c r="I26" s="897" t="n"/>
      <c r="J26" s="897" t="n"/>
      <c r="K26" s="897" t="n"/>
      <c r="L26" s="897" t="n"/>
      <c r="M26" s="897" t="n"/>
      <c r="N26" s="897" t="n"/>
      <c r="O26" s="897" t="n"/>
      <c r="P26" s="897" t="n"/>
      <c r="Q26" s="897" t="n"/>
      <c r="R26" s="897" t="n"/>
      <c r="S26" s="897" t="n"/>
      <c r="T26" s="897" t="n"/>
      <c r="U26" s="897" t="n"/>
    </row>
    <row r="27" ht="15" customHeight="1" thickBot="1">
      <c r="A27" s="1227" t="inlineStr">
        <is>
          <t>Evidências de Cumprimento</t>
        </is>
      </c>
      <c r="B27" s="1228" t="n"/>
      <c r="C27" s="1228" t="n"/>
      <c r="D27" s="1228" t="n"/>
      <c r="E27" s="1228" t="n"/>
      <c r="F27" s="1228" t="n"/>
      <c r="G27" s="1228" t="n"/>
      <c r="H27" s="1228" t="n"/>
      <c r="I27" s="1228" t="n"/>
      <c r="J27" s="1228" t="n"/>
      <c r="K27" s="1228" t="n"/>
      <c r="L27" s="1228" t="n"/>
      <c r="M27" s="1228" t="n"/>
      <c r="N27" s="1228" t="n"/>
      <c r="O27" s="1228" t="n"/>
      <c r="P27" s="1228" t="n"/>
      <c r="Q27" s="1228" t="n"/>
      <c r="R27" s="1229" t="n"/>
      <c r="S27" s="897" t="n"/>
      <c r="T27" s="897" t="n"/>
      <c r="U27" s="897" t="n"/>
    </row>
    <row r="28">
      <c r="A28" s="1230" t="inlineStr">
        <is>
          <t>INSIGHT ENERGY - Relatório de Medição 003 - BM03</t>
        </is>
      </c>
      <c r="B28" s="1161" t="n"/>
      <c r="C28" s="1161" t="n"/>
      <c r="D28" s="1161" t="n"/>
      <c r="E28" s="1161" t="n"/>
      <c r="F28" s="1161" t="n"/>
      <c r="G28" s="1161" t="n"/>
      <c r="H28" s="1161" t="n"/>
      <c r="I28" s="1161" t="n"/>
      <c r="J28" s="1161" t="n"/>
      <c r="K28" s="1161" t="n"/>
      <c r="L28" s="1161" t="n"/>
      <c r="M28" s="1161" t="n"/>
      <c r="N28" s="1161" t="n"/>
      <c r="O28" s="1161" t="n"/>
      <c r="P28" s="1161" t="n"/>
      <c r="Q28" s="1161" t="n"/>
      <c r="R28" s="1231" t="n"/>
      <c r="S28" s="897" t="n"/>
      <c r="T28" s="897" t="n"/>
      <c r="U28" s="897" t="n"/>
    </row>
    <row r="29" ht="15" customHeight="1" thickBot="1">
      <c r="A29" s="1232" t="n"/>
      <c r="B29" s="1158" t="n"/>
      <c r="C29" s="1158" t="n"/>
      <c r="D29" s="1158" t="n"/>
      <c r="E29" s="1158" t="n"/>
      <c r="F29" s="1158" t="n"/>
      <c r="G29" s="1158" t="n"/>
      <c r="H29" s="1158" t="n"/>
      <c r="I29" s="1158" t="n"/>
      <c r="J29" s="1158" t="n"/>
      <c r="K29" s="1158" t="n"/>
      <c r="L29" s="1158" t="n"/>
      <c r="M29" s="1158" t="n"/>
      <c r="N29" s="1158" t="n"/>
      <c r="O29" s="1158" t="n"/>
      <c r="P29" s="1158" t="n"/>
      <c r="Q29" s="1158" t="n"/>
      <c r="R29" s="1233" t="n"/>
      <c r="S29" s="897" t="n"/>
      <c r="T29" s="897" t="n"/>
      <c r="U29" s="897" t="n"/>
    </row>
    <row r="30">
      <c r="A30" s="630" t="inlineStr">
        <is>
          <t xml:space="preserve">Apresentado por: </t>
        </is>
      </c>
      <c r="B30" s="631" t="n"/>
      <c r="C30" s="632" t="n"/>
      <c r="D30" s="632" t="n"/>
      <c r="E30" s="632" t="n"/>
      <c r="F30" s="632" t="n"/>
      <c r="G30" s="632" t="n"/>
      <c r="H30" s="632" t="n"/>
      <c r="I30" s="632" t="n"/>
      <c r="J30" s="632" t="n"/>
      <c r="K30" s="632" t="n"/>
      <c r="L30" s="632" t="n"/>
      <c r="M30" s="632" t="n"/>
      <c r="N30" s="632" t="n"/>
      <c r="O30" s="632" t="n"/>
      <c r="P30" s="632" t="n"/>
      <c r="Q30" s="632" t="n"/>
      <c r="R30" s="633" t="n"/>
      <c r="S30" s="897" t="n"/>
      <c r="T30" s="897" t="n"/>
      <c r="U30" s="897" t="n"/>
    </row>
    <row r="31">
      <c r="A31" s="634" t="n"/>
      <c r="B31" s="635" t="n"/>
      <c r="C31" s="636" t="n"/>
      <c r="D31" s="636" t="n"/>
      <c r="E31" s="636" t="n"/>
      <c r="F31" s="636" t="n"/>
      <c r="G31" s="636" t="n"/>
      <c r="H31" s="636" t="n"/>
      <c r="I31" s="636" t="n"/>
      <c r="J31" s="636" t="n"/>
      <c r="K31" s="636" t="n"/>
      <c r="L31" s="636" t="n"/>
      <c r="M31" s="636" t="n"/>
      <c r="N31" s="636" t="n"/>
      <c r="O31" s="636" t="n"/>
      <c r="P31" s="636" t="n"/>
      <c r="Q31" s="636" t="n"/>
      <c r="R31" s="637" t="n"/>
      <c r="S31" s="897" t="n"/>
      <c r="T31" s="897" t="n"/>
      <c r="U31" s="897" t="n"/>
    </row>
    <row r="32">
      <c r="A32" s="634" t="n"/>
      <c r="B32" s="635" t="n"/>
      <c r="C32" s="636" t="n"/>
      <c r="D32" s="636" t="n"/>
      <c r="E32" s="636" t="n"/>
      <c r="F32" s="636" t="n"/>
      <c r="G32" s="636" t="n"/>
      <c r="H32" s="636" t="n"/>
      <c r="I32" s="636" t="n"/>
      <c r="J32" s="636" t="n"/>
      <c r="K32" s="636" t="n"/>
      <c r="L32" s="636" t="n"/>
      <c r="M32" s="636" t="n"/>
      <c r="N32" s="636" t="n"/>
      <c r="O32" s="636" t="n"/>
      <c r="P32" s="636" t="n"/>
      <c r="Q32" s="636" t="n"/>
      <c r="R32" s="637" t="n"/>
      <c r="S32" s="897" t="n"/>
      <c r="T32" s="897" t="n"/>
      <c r="U32" s="897" t="n"/>
    </row>
    <row r="33">
      <c r="A33" s="634" t="n"/>
      <c r="B33" s="635" t="n"/>
      <c r="C33" s="636" t="n"/>
      <c r="D33" s="636" t="n"/>
      <c r="E33" s="636" t="n"/>
      <c r="F33" s="636" t="n"/>
      <c r="G33" s="636" t="n"/>
      <c r="H33" s="636" t="n"/>
      <c r="I33" s="636" t="n"/>
      <c r="J33" s="636" t="n"/>
      <c r="K33" s="636" t="n"/>
      <c r="L33" s="636" t="n"/>
      <c r="M33" s="636" t="n"/>
      <c r="N33" s="636" t="n"/>
      <c r="O33" s="636" t="n"/>
      <c r="P33" s="636" t="n"/>
      <c r="Q33" s="636" t="n"/>
      <c r="R33" s="637" t="n"/>
      <c r="S33" s="897" t="n"/>
      <c r="T33" s="897" t="n"/>
      <c r="U33" s="897" t="n"/>
    </row>
    <row r="34">
      <c r="A34" s="638" t="n"/>
      <c r="B34" s="636" t="n"/>
      <c r="C34" s="636" t="n"/>
      <c r="D34" s="636" t="n"/>
      <c r="E34" s="636" t="n"/>
      <c r="F34" s="636" t="n"/>
      <c r="G34" s="636" t="n"/>
      <c r="H34" s="636" t="n"/>
      <c r="I34" s="636" t="n"/>
      <c r="J34" s="636" t="n"/>
      <c r="K34" s="636" t="n"/>
      <c r="L34" s="636" t="n"/>
      <c r="M34" s="636" t="n"/>
      <c r="N34" s="636" t="n"/>
      <c r="O34" s="636" t="n"/>
      <c r="P34" s="636" t="n"/>
      <c r="Q34" s="636" t="n"/>
      <c r="R34" s="637" t="n"/>
      <c r="S34" s="897" t="n"/>
      <c r="T34" s="897" t="n"/>
      <c r="U34" s="897" t="n"/>
    </row>
    <row r="35">
      <c r="A35" s="638" t="n"/>
      <c r="B35" s="636" t="n"/>
      <c r="C35" s="986" t="inlineStr">
        <is>
          <t>RICARDO FERREIRA PINTO</t>
        </is>
      </c>
      <c r="D35" s="1234" t="n"/>
      <c r="E35" s="1234" t="n"/>
      <c r="F35" s="1234" t="n"/>
      <c r="G35" s="1234" t="n"/>
      <c r="H35" s="639" t="inlineStr">
        <is>
          <t>Data:</t>
        </is>
      </c>
      <c r="I35" s="639" t="n"/>
      <c r="J35" s="639" t="n"/>
      <c r="K35" s="987" t="n"/>
      <c r="L35" s="1234" t="n"/>
      <c r="M35" s="1234" t="n"/>
      <c r="N35" s="1234" t="n"/>
      <c r="O35" s="1234" t="n"/>
      <c r="P35" s="1234" t="n"/>
      <c r="Q35" s="1234" t="n"/>
      <c r="R35" s="637" t="n"/>
      <c r="S35" s="897" t="n"/>
      <c r="T35" s="897" t="n"/>
      <c r="U35" s="897" t="n"/>
    </row>
    <row r="36">
      <c r="A36" s="638" t="n"/>
      <c r="B36" s="636" t="n"/>
      <c r="C36" s="988" t="n"/>
      <c r="D36" s="1235" t="n"/>
      <c r="E36" s="1235" t="n"/>
      <c r="F36" s="1235" t="n"/>
      <c r="G36" s="1235" t="n"/>
      <c r="H36" s="636" t="n"/>
      <c r="I36" s="636" t="n"/>
      <c r="J36" s="636" t="n"/>
      <c r="K36" s="636" t="n"/>
      <c r="L36" s="636" t="n"/>
      <c r="M36" s="636" t="n"/>
      <c r="N36" s="636" t="n"/>
      <c r="O36" s="636" t="n"/>
      <c r="P36" s="636" t="n"/>
      <c r="Q36" s="636" t="n"/>
      <c r="R36" s="637" t="n"/>
      <c r="S36" s="897" t="n"/>
      <c r="T36" s="897" t="n"/>
      <c r="U36" s="897" t="n"/>
    </row>
    <row r="37">
      <c r="A37" s="638" t="n"/>
      <c r="B37" s="636" t="n"/>
      <c r="C37" s="640" t="n"/>
      <c r="D37" s="636" t="n"/>
      <c r="E37" s="636" t="n"/>
      <c r="F37" s="636" t="n"/>
      <c r="G37" s="636" t="n"/>
      <c r="H37" s="636" t="n"/>
      <c r="I37" s="636" t="n"/>
      <c r="J37" s="636" t="n"/>
      <c r="K37" s="636" t="n"/>
      <c r="L37" s="636" t="n"/>
      <c r="M37" s="636" t="n"/>
      <c r="N37" s="636" t="n"/>
      <c r="O37" s="636" t="n"/>
      <c r="P37" s="636" t="n"/>
      <c r="Q37" s="636" t="n"/>
      <c r="R37" s="637" t="n"/>
      <c r="S37" s="897" t="n"/>
      <c r="T37" s="897" t="n"/>
      <c r="U37" s="897" t="n"/>
    </row>
    <row r="38" ht="15" customHeight="1" thickBot="1">
      <c r="A38" s="641" t="n"/>
      <c r="B38" s="642" t="n"/>
      <c r="C38" s="642" t="n"/>
      <c r="D38" s="642" t="n"/>
      <c r="E38" s="642" t="n"/>
      <c r="F38" s="642" t="n"/>
      <c r="G38" s="642" t="n"/>
      <c r="H38" s="642" t="n"/>
      <c r="I38" s="642" t="n"/>
      <c r="J38" s="642" t="n"/>
      <c r="K38" s="642" t="n"/>
      <c r="L38" s="642" t="n"/>
      <c r="M38" s="642" t="n"/>
      <c r="N38" s="642" t="n"/>
      <c r="O38" s="642" t="n"/>
      <c r="P38" s="642" t="n"/>
      <c r="Q38" s="642" t="n"/>
      <c r="R38" s="643" t="n"/>
      <c r="S38" s="897" t="n"/>
      <c r="T38" s="897" t="n"/>
      <c r="U38" s="897" t="n"/>
    </row>
    <row r="39" ht="15" customHeight="1" thickBot="1">
      <c r="A39" s="897" t="n"/>
      <c r="B39" s="897" t="n"/>
      <c r="C39" s="897" t="n"/>
      <c r="D39" s="897" t="n"/>
      <c r="E39" s="897" t="n"/>
      <c r="F39" s="897" t="n"/>
      <c r="G39" s="897" t="n"/>
      <c r="H39" s="897" t="n"/>
      <c r="I39" s="897" t="n"/>
      <c r="J39" s="897" t="n"/>
      <c r="K39" s="897" t="n"/>
      <c r="L39" s="897" t="n"/>
      <c r="M39" s="897" t="n"/>
      <c r="N39" s="897" t="n"/>
      <c r="O39" s="897" t="n"/>
      <c r="P39" s="897" t="n"/>
      <c r="Q39" s="897" t="n"/>
      <c r="R39" s="897" t="n"/>
      <c r="S39" s="897" t="n"/>
      <c r="T39" s="897" t="n"/>
      <c r="U39" s="897" t="n"/>
    </row>
    <row r="40" ht="15" customHeight="1" thickBot="1">
      <c r="A40" s="1236" t="inlineStr">
        <is>
          <t>Para uso da CEMIG GT</t>
        </is>
      </c>
      <c r="B40" s="1161" t="n"/>
      <c r="C40" s="1161" t="n"/>
      <c r="D40" s="1161" t="n"/>
      <c r="E40" s="1161" t="n"/>
      <c r="F40" s="1161" t="n"/>
      <c r="G40" s="1161" t="n"/>
      <c r="H40" s="1161" t="n"/>
      <c r="I40" s="1161" t="n"/>
      <c r="J40" s="1161" t="n"/>
      <c r="K40" s="1161" t="n"/>
      <c r="L40" s="1161" t="n"/>
      <c r="M40" s="1161" t="n"/>
      <c r="N40" s="1161" t="n"/>
      <c r="O40" s="1161" t="n"/>
      <c r="P40" s="1161" t="n"/>
      <c r="Q40" s="1161" t="n"/>
      <c r="R40" s="1231" t="n"/>
      <c r="S40" s="897" t="n"/>
      <c r="T40" s="897" t="n"/>
      <c r="U40" s="897" t="n"/>
    </row>
    <row r="41">
      <c r="A41" s="644" t="inlineStr">
        <is>
          <t>Parecer da CONTRATANTE (observações):</t>
        </is>
      </c>
      <c r="B41" s="645" t="n"/>
      <c r="C41" s="646" t="n"/>
      <c r="D41" s="645" t="n"/>
      <c r="E41" s="646" t="n"/>
      <c r="F41" s="646" t="n"/>
      <c r="G41" s="646" t="n"/>
      <c r="H41" s="646" t="n"/>
      <c r="I41" s="646" t="n"/>
      <c r="J41" s="646" t="n"/>
      <c r="K41" s="646" t="n"/>
      <c r="L41" s="646" t="n"/>
      <c r="M41" s="646" t="n"/>
      <c r="N41" s="646" t="n"/>
      <c r="O41" s="646" t="n"/>
      <c r="P41" s="646" t="n"/>
      <c r="Q41" s="646" t="n"/>
      <c r="R41" s="647" t="n"/>
      <c r="S41" s="897" t="n"/>
      <c r="T41" s="897" t="n"/>
      <c r="U41" s="897" t="n"/>
    </row>
    <row r="42">
      <c r="A42" s="648" t="inlineStr">
        <is>
          <t>Comentários no campo de análise da Engenhaira do Proprietário.</t>
        </is>
      </c>
      <c r="B42" s="649" t="n"/>
      <c r="C42" s="650" t="n"/>
      <c r="D42" s="651" t="n"/>
      <c r="E42" s="650" t="n"/>
      <c r="F42" s="650" t="n"/>
      <c r="G42" s="650" t="n"/>
      <c r="H42" s="650" t="n"/>
      <c r="I42" s="650" t="n"/>
      <c r="J42" s="650" t="n"/>
      <c r="K42" s="650" t="n"/>
      <c r="L42" s="650" t="n"/>
      <c r="M42" s="650" t="n"/>
      <c r="N42" s="650" t="n"/>
      <c r="O42" s="650" t="n"/>
      <c r="P42" s="650" t="n"/>
      <c r="Q42" s="650" t="n"/>
      <c r="R42" s="652" t="n"/>
      <c r="S42" s="897" t="n"/>
      <c r="T42" s="897" t="n"/>
      <c r="U42" s="897" t="n"/>
    </row>
    <row r="43">
      <c r="A43" s="653" t="n"/>
      <c r="B43" s="651" t="n"/>
      <c r="C43" s="650" t="n"/>
      <c r="D43" s="654" t="n"/>
      <c r="E43" s="650" t="n"/>
      <c r="F43" s="650" t="n"/>
      <c r="G43" s="650" t="n"/>
      <c r="H43" s="650" t="n"/>
      <c r="I43" s="650" t="n"/>
      <c r="J43" s="650" t="n"/>
      <c r="K43" s="650" t="n"/>
      <c r="L43" s="650" t="n"/>
      <c r="M43" s="650" t="n"/>
      <c r="N43" s="650" t="n"/>
      <c r="O43" s="650" t="n"/>
      <c r="P43" s="650" t="n"/>
      <c r="Q43" s="650" t="n"/>
      <c r="R43" s="652" t="n"/>
      <c r="S43" s="897" t="n"/>
      <c r="T43" s="897" t="n"/>
      <c r="U43" s="897" t="n"/>
    </row>
    <row r="44">
      <c r="A44" s="653" t="n"/>
      <c r="B44" s="651" t="n"/>
      <c r="C44" s="650" t="n"/>
      <c r="D44" s="651" t="n"/>
      <c r="E44" s="650" t="n"/>
      <c r="F44" s="650" t="n"/>
      <c r="G44" s="650" t="n"/>
      <c r="H44" s="650" t="n"/>
      <c r="I44" s="650" t="n"/>
      <c r="J44" s="650" t="n"/>
      <c r="K44" s="650" t="n"/>
      <c r="L44" s="650" t="n"/>
      <c r="M44" s="650" t="n"/>
      <c r="N44" s="650" t="n"/>
      <c r="O44" s="650" t="n"/>
      <c r="P44" s="650" t="n"/>
      <c r="Q44" s="650" t="n"/>
      <c r="R44" s="652" t="n"/>
      <c r="S44" s="897" t="n"/>
      <c r="T44" s="897" t="n"/>
      <c r="U44" s="897" t="n"/>
    </row>
    <row r="45">
      <c r="A45" s="655" t="n"/>
      <c r="B45" s="650" t="n"/>
      <c r="C45" s="654" t="n"/>
      <c r="D45" s="650" t="n"/>
      <c r="E45" s="654" t="n"/>
      <c r="F45" s="654" t="n"/>
      <c r="G45" s="654" t="n"/>
      <c r="H45" s="654" t="n"/>
      <c r="I45" s="654" t="n"/>
      <c r="J45" s="654" t="n"/>
      <c r="K45" s="654" t="n"/>
      <c r="L45" s="654" t="n"/>
      <c r="M45" s="654" t="n"/>
      <c r="N45" s="654" t="n"/>
      <c r="O45" s="654" t="n"/>
      <c r="P45" s="654" t="n"/>
      <c r="Q45" s="654" t="n"/>
      <c r="R45" s="652" t="n"/>
      <c r="S45" s="897" t="n"/>
      <c r="T45" s="897" t="n"/>
      <c r="U45" s="897" t="n"/>
    </row>
    <row r="46">
      <c r="A46" s="655" t="n"/>
      <c r="B46" s="650" t="n"/>
      <c r="C46" s="654" t="n"/>
      <c r="D46" s="650" t="n"/>
      <c r="E46" s="654" t="n"/>
      <c r="F46" s="654" t="n"/>
      <c r="G46" s="654" t="n"/>
      <c r="H46" s="654" t="n"/>
      <c r="I46" s="654" t="n"/>
      <c r="J46" s="654" t="n"/>
      <c r="K46" s="654" t="n"/>
      <c r="L46" s="654" t="n"/>
      <c r="M46" s="654" t="n"/>
      <c r="N46" s="654" t="n"/>
      <c r="O46" s="654" t="n"/>
      <c r="P46" s="654" t="n"/>
      <c r="Q46" s="654" t="n"/>
      <c r="R46" s="652" t="n"/>
      <c r="S46" s="897" t="n"/>
      <c r="T46" s="897" t="n"/>
      <c r="U46" s="897" t="n"/>
    </row>
    <row r="47">
      <c r="A47" s="655" t="n"/>
      <c r="B47" s="650" t="n"/>
      <c r="C47" s="654" t="n"/>
      <c r="D47" s="650" t="n"/>
      <c r="E47" s="654" t="n"/>
      <c r="F47" s="654" t="n"/>
      <c r="G47" s="654" t="n"/>
      <c r="H47" s="654" t="n"/>
      <c r="I47" s="654" t="n"/>
      <c r="J47" s="654" t="n"/>
      <c r="K47" s="654" t="n"/>
      <c r="L47" s="654" t="n"/>
      <c r="M47" s="654" t="n"/>
      <c r="N47" s="654" t="n"/>
      <c r="O47" s="654" t="n"/>
      <c r="P47" s="654" t="n"/>
      <c r="Q47" s="654" t="n"/>
      <c r="R47" s="652" t="n"/>
      <c r="S47" s="897" t="n"/>
      <c r="T47" s="897" t="n"/>
      <c r="U47" s="897" t="n"/>
    </row>
    <row r="48" ht="15" customHeight="1" thickBot="1">
      <c r="A48" s="656" t="n"/>
      <c r="B48" s="657" t="n"/>
      <c r="C48" s="657" t="n"/>
      <c r="D48" s="657" t="n"/>
      <c r="E48" s="657" t="n"/>
      <c r="F48" s="657" t="n"/>
      <c r="G48" s="657" t="n"/>
      <c r="H48" s="657" t="n"/>
      <c r="I48" s="657" t="n"/>
      <c r="J48" s="657" t="n"/>
      <c r="K48" s="657" t="n"/>
      <c r="L48" s="657" t="n"/>
      <c r="M48" s="657" t="n"/>
      <c r="N48" s="657" t="n"/>
      <c r="O48" s="657" t="n"/>
      <c r="P48" s="657" t="n"/>
      <c r="Q48" s="657" t="n"/>
      <c r="R48" s="658" t="n"/>
      <c r="S48" s="897" t="n"/>
      <c r="T48" s="897" t="n"/>
      <c r="U48" s="897" t="n"/>
    </row>
    <row r="49">
      <c r="A49" s="634" t="inlineStr">
        <is>
          <t xml:space="preserve">Aferido por: </t>
        </is>
      </c>
      <c r="B49" s="635" t="n"/>
      <c r="C49" s="636" t="n"/>
      <c r="D49" s="636" t="n"/>
      <c r="E49" s="636" t="n"/>
      <c r="F49" s="636" t="n"/>
      <c r="G49" s="636" t="n"/>
      <c r="H49" s="636" t="n"/>
      <c r="I49" s="636" t="n"/>
      <c r="J49" s="636" t="n"/>
      <c r="K49" s="636" t="n"/>
      <c r="L49" s="636" t="n"/>
      <c r="M49" s="636" t="n"/>
      <c r="N49" s="636" t="n"/>
      <c r="O49" s="636" t="n"/>
      <c r="P49" s="636" t="n"/>
      <c r="Q49" s="636" t="n"/>
      <c r="R49" s="637" t="n"/>
      <c r="S49" s="897" t="n"/>
      <c r="T49" s="897" t="n"/>
      <c r="U49" s="897" t="n"/>
    </row>
    <row r="50">
      <c r="A50" s="634" t="n"/>
      <c r="B50" s="635" t="n"/>
      <c r="C50" s="636" t="n"/>
      <c r="D50" s="636" t="n"/>
      <c r="E50" s="636" t="n"/>
      <c r="F50" s="636" t="n"/>
      <c r="G50" s="636" t="n"/>
      <c r="H50" s="636" t="n"/>
      <c r="I50" s="636" t="n"/>
      <c r="J50" s="636" t="n"/>
      <c r="K50" s="636" t="n"/>
      <c r="L50" s="636" t="n"/>
      <c r="M50" s="636" t="n"/>
      <c r="N50" s="636" t="n"/>
      <c r="O50" s="636" t="n"/>
      <c r="P50" s="636" t="n"/>
      <c r="Q50" s="636" t="n"/>
      <c r="R50" s="637" t="n"/>
      <c r="S50" s="897" t="n"/>
      <c r="T50" s="897" t="n"/>
      <c r="U50" s="897" t="n"/>
    </row>
    <row r="51">
      <c r="A51" s="634" t="n"/>
      <c r="B51" s="635" t="n"/>
      <c r="C51" s="636" t="n"/>
      <c r="D51" s="636" t="n"/>
      <c r="E51" s="636" t="n"/>
      <c r="F51" s="636" t="n"/>
      <c r="G51" s="636" t="n"/>
      <c r="H51" s="636" t="n"/>
      <c r="I51" s="636" t="n"/>
      <c r="J51" s="636" t="n"/>
      <c r="K51" s="636" t="n"/>
      <c r="L51" s="636" t="n"/>
      <c r="M51" s="636" t="n"/>
      <c r="N51" s="636" t="n"/>
      <c r="O51" s="636" t="n"/>
      <c r="P51" s="636" t="n"/>
      <c r="Q51" s="636" t="n"/>
      <c r="R51" s="637" t="n"/>
      <c r="S51" s="897" t="n"/>
      <c r="T51" s="897" t="n"/>
      <c r="U51" s="897" t="n"/>
    </row>
    <row r="52">
      <c r="A52" s="634" t="n"/>
      <c r="B52" s="635" t="n"/>
      <c r="C52" s="636" t="n"/>
      <c r="D52" s="636" t="n"/>
      <c r="E52" s="636" t="n"/>
      <c r="F52" s="636" t="n"/>
      <c r="G52" s="636" t="n"/>
      <c r="H52" s="636" t="n"/>
      <c r="I52" s="636" t="n"/>
      <c r="J52" s="636" t="n"/>
      <c r="K52" s="636" t="n"/>
      <c r="L52" s="636" t="n"/>
      <c r="M52" s="636" t="n"/>
      <c r="N52" s="636" t="n"/>
      <c r="O52" s="636" t="n"/>
      <c r="P52" s="636" t="n"/>
      <c r="Q52" s="636" t="n"/>
      <c r="R52" s="637" t="n"/>
      <c r="S52" s="897" t="n"/>
      <c r="T52" s="897" t="n"/>
      <c r="U52" s="897" t="n"/>
    </row>
    <row r="53">
      <c r="A53" s="638" t="n"/>
      <c r="B53" s="636" t="n"/>
      <c r="C53" s="636" t="n"/>
      <c r="D53" s="636" t="n"/>
      <c r="E53" s="636" t="n"/>
      <c r="F53" s="636" t="n"/>
      <c r="G53" s="636" t="n"/>
      <c r="H53" s="636" t="n"/>
      <c r="I53" s="636" t="n"/>
      <c r="J53" s="636" t="n"/>
      <c r="K53" s="636" t="n"/>
      <c r="L53" s="636" t="n"/>
      <c r="M53" s="636" t="n"/>
      <c r="N53" s="636" t="n"/>
      <c r="O53" s="636" t="n"/>
      <c r="P53" s="636" t="n"/>
      <c r="Q53" s="636" t="n"/>
      <c r="R53" s="637" t="n"/>
      <c r="S53" s="897" t="n"/>
      <c r="T53" s="897" t="n"/>
      <c r="U53" s="897" t="n"/>
    </row>
    <row r="54">
      <c r="A54" s="638" t="n"/>
      <c r="B54" s="636" t="n"/>
      <c r="C54" s="986" t="n"/>
      <c r="D54" s="1234" t="n"/>
      <c r="E54" s="1234" t="n"/>
      <c r="F54" s="1234" t="n"/>
      <c r="G54" s="1234" t="n"/>
      <c r="H54" s="639" t="inlineStr">
        <is>
          <t>Data:</t>
        </is>
      </c>
      <c r="I54" s="639" t="n"/>
      <c r="J54" s="639" t="n"/>
      <c r="K54" s="659" t="n"/>
      <c r="L54" s="659" t="n"/>
      <c r="M54" s="659" t="n"/>
      <c r="N54" s="659" t="n"/>
      <c r="O54" s="659" t="n"/>
      <c r="P54" s="659" t="n"/>
      <c r="Q54" s="659" t="n"/>
      <c r="R54" s="637" t="n"/>
      <c r="S54" s="897" t="n"/>
      <c r="T54" s="897" t="n"/>
      <c r="U54" s="897" t="n"/>
    </row>
    <row r="55">
      <c r="A55" s="638" t="n"/>
      <c r="B55" s="636" t="n"/>
      <c r="C55" s="988" t="n"/>
      <c r="D55" s="1235" t="n"/>
      <c r="E55" s="1235" t="n"/>
      <c r="F55" s="1235" t="n"/>
      <c r="G55" s="1235" t="n"/>
      <c r="H55" s="636" t="n"/>
      <c r="I55" s="636" t="n"/>
      <c r="J55" s="636" t="n"/>
      <c r="K55" s="636" t="n"/>
      <c r="L55" s="636" t="n"/>
      <c r="M55" s="636" t="n"/>
      <c r="N55" s="636" t="n"/>
      <c r="O55" s="636" t="n"/>
      <c r="P55" s="636" t="n"/>
      <c r="Q55" s="636" t="n"/>
      <c r="R55" s="637" t="n"/>
      <c r="S55" s="897" t="n"/>
      <c r="T55" s="897" t="n"/>
      <c r="U55" s="897" t="n"/>
    </row>
    <row r="56">
      <c r="A56" s="638" t="n"/>
      <c r="B56" s="636" t="n"/>
      <c r="C56" s="636" t="n"/>
      <c r="D56" s="636" t="n"/>
      <c r="E56" s="636" t="n"/>
      <c r="F56" s="636" t="n"/>
      <c r="G56" s="636" t="n"/>
      <c r="H56" s="636" t="n"/>
      <c r="I56" s="636" t="n"/>
      <c r="J56" s="636" t="n"/>
      <c r="K56" s="636" t="n"/>
      <c r="L56" s="636" t="n"/>
      <c r="M56" s="636" t="n"/>
      <c r="N56" s="636" t="n"/>
      <c r="O56" s="636" t="n"/>
      <c r="P56" s="636" t="n"/>
      <c r="Q56" s="636" t="n"/>
      <c r="R56" s="637" t="n"/>
      <c r="S56" s="897" t="n"/>
      <c r="T56" s="897" t="n"/>
      <c r="U56" s="897" t="n"/>
    </row>
    <row r="57" ht="15" customHeight="1" thickBot="1">
      <c r="A57" s="641" t="n"/>
      <c r="B57" s="642" t="n"/>
      <c r="C57" s="642" t="n"/>
      <c r="D57" s="642" t="n"/>
      <c r="E57" s="642" t="n"/>
      <c r="F57" s="642" t="n"/>
      <c r="G57" s="642" t="n"/>
      <c r="H57" s="642" t="n"/>
      <c r="I57" s="642" t="n"/>
      <c r="J57" s="642" t="n"/>
      <c r="K57" s="642" t="n"/>
      <c r="L57" s="642" t="n"/>
      <c r="M57" s="642" t="n"/>
      <c r="N57" s="642" t="n"/>
      <c r="O57" s="642" t="n"/>
      <c r="P57" s="642" t="n"/>
      <c r="Q57" s="642" t="n"/>
      <c r="R57" s="643" t="n"/>
      <c r="S57" s="897" t="n"/>
      <c r="T57" s="897" t="n"/>
      <c r="U57" s="897" t="n"/>
    </row>
    <row r="58">
      <c r="A58" s="630" t="inlineStr">
        <is>
          <t>Aprovado por:</t>
        </is>
      </c>
      <c r="B58" s="631" t="n"/>
      <c r="C58" s="632" t="n"/>
      <c r="D58" s="632" t="n"/>
      <c r="E58" s="632" t="n"/>
      <c r="F58" s="632" t="n"/>
      <c r="G58" s="632" t="n"/>
      <c r="H58" s="632" t="n"/>
      <c r="I58" s="632" t="n"/>
      <c r="J58" s="632" t="n"/>
      <c r="K58" s="632" t="n"/>
      <c r="L58" s="632" t="n"/>
      <c r="M58" s="632" t="n"/>
      <c r="N58" s="632" t="n"/>
      <c r="O58" s="632" t="n"/>
      <c r="P58" s="632" t="n"/>
      <c r="Q58" s="632" t="n"/>
      <c r="R58" s="633" t="n"/>
      <c r="S58" s="897" t="n"/>
      <c r="T58" s="897" t="n"/>
      <c r="U58" s="897" t="n"/>
    </row>
    <row r="59">
      <c r="A59" s="634" t="n"/>
      <c r="B59" s="635" t="n"/>
      <c r="C59" s="636" t="n"/>
      <c r="D59" s="636" t="n"/>
      <c r="E59" s="636" t="n"/>
      <c r="F59" s="636" t="n"/>
      <c r="G59" s="636" t="n"/>
      <c r="H59" s="636" t="n"/>
      <c r="I59" s="636" t="n"/>
      <c r="J59" s="636" t="n"/>
      <c r="K59" s="636" t="n"/>
      <c r="L59" s="636" t="n"/>
      <c r="M59" s="636" t="n"/>
      <c r="N59" s="636" t="n"/>
      <c r="O59" s="636" t="n"/>
      <c r="P59" s="636" t="n"/>
      <c r="Q59" s="636" t="n"/>
      <c r="R59" s="637" t="n"/>
      <c r="S59" s="897" t="n"/>
      <c r="T59" s="897" t="n"/>
      <c r="U59" s="897" t="n"/>
    </row>
    <row r="60">
      <c r="A60" s="634" t="n"/>
      <c r="B60" s="635" t="n"/>
      <c r="C60" s="636" t="n"/>
      <c r="D60" s="636" t="n"/>
      <c r="E60" s="636" t="n"/>
      <c r="F60" s="636" t="n"/>
      <c r="G60" s="636" t="n"/>
      <c r="H60" s="636" t="n"/>
      <c r="I60" s="636" t="n"/>
      <c r="J60" s="636" t="n"/>
      <c r="K60" s="636" t="n"/>
      <c r="L60" s="636" t="n"/>
      <c r="M60" s="636" t="n"/>
      <c r="N60" s="636" t="n"/>
      <c r="O60" s="636" t="n"/>
      <c r="P60" s="636" t="n"/>
      <c r="Q60" s="636" t="n"/>
      <c r="R60" s="637" t="n"/>
      <c r="S60" s="897" t="n"/>
      <c r="T60" s="897" t="n"/>
      <c r="U60" s="897" t="n"/>
    </row>
    <row r="61">
      <c r="A61" s="634" t="n"/>
      <c r="B61" s="635" t="n"/>
      <c r="C61" s="636" t="n"/>
      <c r="D61" s="636" t="n"/>
      <c r="E61" s="636" t="n"/>
      <c r="F61" s="636" t="n"/>
      <c r="G61" s="636" t="n"/>
      <c r="H61" s="636" t="n"/>
      <c r="I61" s="636" t="n"/>
      <c r="J61" s="636" t="n"/>
      <c r="K61" s="636" t="n"/>
      <c r="L61" s="636" t="n"/>
      <c r="M61" s="636" t="n"/>
      <c r="N61" s="636" t="n"/>
      <c r="O61" s="636" t="n"/>
      <c r="P61" s="636" t="n"/>
      <c r="Q61" s="636" t="n"/>
      <c r="R61" s="637" t="n"/>
      <c r="S61" s="897" t="n"/>
      <c r="T61" s="897" t="n"/>
      <c r="U61" s="897" t="n"/>
    </row>
    <row r="62">
      <c r="A62" s="638" t="n"/>
      <c r="B62" s="636" t="n"/>
      <c r="C62" s="636" t="n"/>
      <c r="D62" s="636" t="n"/>
      <c r="E62" s="636" t="n"/>
      <c r="F62" s="636" t="n"/>
      <c r="G62" s="636" t="n"/>
      <c r="H62" s="636" t="n"/>
      <c r="I62" s="636" t="n"/>
      <c r="J62" s="636" t="n"/>
      <c r="K62" s="636" t="n"/>
      <c r="L62" s="636" t="n"/>
      <c r="M62" s="636" t="n"/>
      <c r="N62" s="636" t="n"/>
      <c r="O62" s="636" t="n"/>
      <c r="P62" s="636" t="n"/>
      <c r="Q62" s="636" t="n"/>
      <c r="R62" s="637" t="n"/>
      <c r="S62" s="897" t="n"/>
      <c r="T62" s="897" t="n"/>
      <c r="U62" s="897" t="n"/>
    </row>
    <row r="63">
      <c r="A63" s="638" t="n"/>
      <c r="B63" s="636" t="n"/>
      <c r="C63" s="986" t="n"/>
      <c r="D63" s="1234" t="n"/>
      <c r="E63" s="1234" t="n"/>
      <c r="F63" s="1234" t="n"/>
      <c r="G63" s="1234" t="n"/>
      <c r="H63" s="639" t="inlineStr">
        <is>
          <t>Data:</t>
        </is>
      </c>
      <c r="I63" s="639" t="n"/>
      <c r="J63" s="639" t="n"/>
      <c r="K63" s="659" t="n"/>
      <c r="L63" s="659" t="n"/>
      <c r="M63" s="659" t="n"/>
      <c r="N63" s="659" t="n"/>
      <c r="O63" s="659" t="n"/>
      <c r="P63" s="659" t="n"/>
      <c r="Q63" s="659" t="n"/>
      <c r="R63" s="637" t="n"/>
      <c r="S63" s="897" t="n"/>
      <c r="T63" s="897" t="n"/>
      <c r="U63" s="897" t="n"/>
    </row>
    <row r="64">
      <c r="A64" s="638" t="n"/>
      <c r="B64" s="636" t="n"/>
      <c r="C64" s="636" t="n"/>
      <c r="D64" s="636" t="n"/>
      <c r="E64" s="636" t="n"/>
      <c r="F64" s="636" t="n"/>
      <c r="G64" s="636" t="n"/>
      <c r="H64" s="636" t="n"/>
      <c r="I64" s="636" t="n"/>
      <c r="J64" s="636" t="n"/>
      <c r="K64" s="636" t="n"/>
      <c r="L64" s="636" t="n"/>
      <c r="M64" s="636" t="n"/>
      <c r="N64" s="636" t="n"/>
      <c r="O64" s="636" t="n"/>
      <c r="P64" s="636" t="n"/>
      <c r="Q64" s="636" t="n"/>
      <c r="R64" s="637" t="n"/>
      <c r="S64" s="897" t="n"/>
      <c r="T64" s="897" t="n"/>
      <c r="U64" s="897" t="n"/>
    </row>
    <row r="65">
      <c r="A65" s="638" t="n"/>
      <c r="B65" s="636" t="n"/>
      <c r="C65" s="636" t="n"/>
      <c r="D65" s="636" t="n"/>
      <c r="E65" s="636" t="n"/>
      <c r="F65" s="636" t="n"/>
      <c r="G65" s="636" t="n"/>
      <c r="H65" s="636" t="n"/>
      <c r="I65" s="636" t="n"/>
      <c r="J65" s="636" t="n"/>
      <c r="K65" s="636" t="n"/>
      <c r="L65" s="636" t="n"/>
      <c r="M65" s="636" t="n"/>
      <c r="N65" s="636" t="n"/>
      <c r="O65" s="636" t="n"/>
      <c r="P65" s="636" t="n"/>
      <c r="Q65" s="636" t="n"/>
      <c r="R65" s="637" t="n"/>
      <c r="S65" s="897" t="n"/>
      <c r="T65" s="897" t="n"/>
      <c r="U65" s="897" t="n"/>
    </row>
    <row r="66" ht="15" customHeight="1" thickBot="1">
      <c r="A66" s="641" t="n"/>
      <c r="B66" s="642" t="n"/>
      <c r="C66" s="642" t="n"/>
      <c r="D66" s="642" t="n"/>
      <c r="E66" s="642" t="n"/>
      <c r="F66" s="642" t="n"/>
      <c r="G66" s="642" t="n"/>
      <c r="H66" s="642" t="n"/>
      <c r="I66" s="642" t="n"/>
      <c r="J66" s="642" t="n"/>
      <c r="K66" s="642" t="n"/>
      <c r="L66" s="642" t="n"/>
      <c r="M66" s="642" t="n"/>
      <c r="N66" s="642" t="n"/>
      <c r="O66" s="642" t="n"/>
      <c r="P66" s="642" t="n"/>
      <c r="Q66" s="642" t="n"/>
      <c r="R66" s="643" t="n"/>
      <c r="S66" s="897" t="n"/>
      <c r="T66" s="897" t="n"/>
      <c r="U66" s="897" t="n"/>
    </row>
    <row r="67">
      <c r="A67" s="897" t="n"/>
      <c r="B67" s="897" t="n"/>
      <c r="C67" s="897" t="n"/>
      <c r="D67" s="897" t="n"/>
      <c r="E67" s="897" t="n"/>
      <c r="F67" s="897" t="n"/>
      <c r="G67" s="897" t="n"/>
      <c r="H67" s="897" t="n"/>
      <c r="I67" s="897" t="n"/>
      <c r="J67" s="897" t="n"/>
      <c r="K67" s="897" t="n"/>
      <c r="L67" s="897" t="n"/>
      <c r="M67" s="897" t="n"/>
      <c r="N67" s="897" t="n"/>
      <c r="O67" s="897" t="n"/>
      <c r="P67" s="897" t="n"/>
      <c r="Q67" s="897" t="n"/>
      <c r="R67" s="897" t="n"/>
      <c r="S67" s="897" t="n"/>
      <c r="T67" s="897" t="n"/>
      <c r="U67" s="897" t="n"/>
    </row>
    <row r="68">
      <c r="A68" s="897" t="n"/>
      <c r="B68" s="897" t="n"/>
      <c r="C68" s="897" t="n"/>
      <c r="D68" s="897" t="n"/>
      <c r="E68" s="897" t="n"/>
      <c r="F68" s="897" t="n"/>
      <c r="G68" s="897" t="n"/>
      <c r="H68" s="897" t="n"/>
      <c r="I68" s="897" t="n"/>
      <c r="J68" s="897" t="n"/>
      <c r="K68" s="897" t="n"/>
      <c r="L68" s="897" t="n"/>
      <c r="M68" s="897" t="n"/>
      <c r="N68" s="897" t="n"/>
      <c r="O68" s="897" t="n"/>
      <c r="P68" s="897" t="n"/>
      <c r="Q68" s="897" t="n"/>
      <c r="R68" s="897" t="n"/>
      <c r="S68" s="897" t="n"/>
      <c r="T68" s="897" t="n"/>
      <c r="U68" s="897" t="n"/>
    </row>
    <row r="69">
      <c r="A69" s="897" t="n"/>
      <c r="B69" s="897" t="n"/>
      <c r="C69" s="897" t="n"/>
      <c r="D69" s="897" t="n"/>
      <c r="E69" s="897" t="n"/>
      <c r="F69" s="897" t="n"/>
      <c r="G69" s="897" t="n"/>
      <c r="H69" s="897" t="n"/>
      <c r="I69" s="897" t="n"/>
      <c r="J69" s="897" t="n"/>
      <c r="K69" s="897" t="n"/>
      <c r="L69" s="897" t="n"/>
      <c r="M69" s="897" t="n"/>
      <c r="N69" s="897" t="n"/>
      <c r="O69" s="897" t="n"/>
      <c r="P69" s="897" t="n"/>
      <c r="Q69" s="897" t="n"/>
      <c r="R69" s="897" t="n"/>
      <c r="S69" s="897" t="n"/>
      <c r="T69" s="897" t="n"/>
      <c r="U69" s="897" t="n"/>
    </row>
    <row r="70">
      <c r="A70" s="897" t="n"/>
      <c r="B70" s="897" t="n"/>
      <c r="C70" s="897" t="n"/>
      <c r="D70" s="897" t="n"/>
      <c r="E70" s="897" t="n"/>
      <c r="F70" s="897" t="n"/>
      <c r="G70" s="897" t="n"/>
      <c r="H70" s="897" t="n"/>
      <c r="I70" s="897" t="n"/>
      <c r="J70" s="897" t="n"/>
      <c r="K70" s="897" t="n"/>
      <c r="L70" s="897" t="n"/>
      <c r="M70" s="897" t="n"/>
      <c r="N70" s="897" t="n"/>
      <c r="O70" s="897" t="n"/>
      <c r="P70" s="897" t="n"/>
      <c r="Q70" s="897" t="n"/>
      <c r="R70" s="897" t="n"/>
      <c r="S70" s="897" t="n"/>
      <c r="T70" s="897" t="n"/>
      <c r="U70" s="897" t="n"/>
    </row>
    <row r="71">
      <c r="A71" s="897" t="n"/>
      <c r="B71" s="897" t="n"/>
      <c r="C71" s="897" t="n"/>
      <c r="D71" s="897" t="n"/>
      <c r="E71" s="897" t="n"/>
      <c r="F71" s="897" t="n"/>
      <c r="G71" s="897" t="n"/>
      <c r="H71" s="897" t="n"/>
      <c r="I71" s="897" t="n"/>
      <c r="J71" s="897" t="n"/>
      <c r="K71" s="897" t="n"/>
      <c r="L71" s="897" t="n"/>
      <c r="M71" s="897" t="n"/>
      <c r="N71" s="897" t="n"/>
      <c r="O71" s="897" t="n"/>
      <c r="P71" s="897" t="n"/>
      <c r="Q71" s="897" t="n"/>
      <c r="R71" s="897" t="n"/>
      <c r="S71" s="897" t="n"/>
      <c r="T71" s="897" t="n"/>
      <c r="U71" s="897" t="n"/>
    </row>
    <row r="72">
      <c r="A72" s="897" t="n"/>
      <c r="B72" s="897" t="n"/>
      <c r="C72" s="897" t="n"/>
      <c r="D72" s="897" t="n"/>
      <c r="E72" s="897" t="n"/>
      <c r="F72" s="897" t="n"/>
      <c r="G72" s="897" t="n"/>
      <c r="H72" s="897" t="n"/>
      <c r="I72" s="897" t="n"/>
      <c r="J72" s="897" t="n"/>
      <c r="K72" s="897" t="n"/>
      <c r="L72" s="897" t="n"/>
      <c r="M72" s="897" t="n"/>
      <c r="N72" s="897" t="n"/>
      <c r="O72" s="897" t="n"/>
      <c r="P72" s="897" t="n"/>
      <c r="Q72" s="897" t="n"/>
      <c r="R72" s="897" t="n"/>
      <c r="S72" s="897" t="n"/>
      <c r="T72" s="897" t="n"/>
      <c r="U72" s="897" t="n"/>
    </row>
  </sheetData>
  <mergeCells count="51">
    <mergeCell ref="D20:H20"/>
    <mergeCell ref="D11:R11"/>
    <mergeCell ref="A7:R7"/>
    <mergeCell ref="T15:U15"/>
    <mergeCell ref="D16:H17"/>
    <mergeCell ref="D13:R13"/>
    <mergeCell ref="A24:M25"/>
    <mergeCell ref="D19:H19"/>
    <mergeCell ref="K15:L15"/>
    <mergeCell ref="I16:I17"/>
    <mergeCell ref="A16:A17"/>
    <mergeCell ref="R16:R17"/>
    <mergeCell ref="C16:C17"/>
    <mergeCell ref="A12:C12"/>
    <mergeCell ref="A27:R27"/>
    <mergeCell ref="O16:O17"/>
    <mergeCell ref="U16:U17"/>
    <mergeCell ref="A28:R29"/>
    <mergeCell ref="C35:G35"/>
    <mergeCell ref="D21:H21"/>
    <mergeCell ref="C54:G54"/>
    <mergeCell ref="C63:G63"/>
    <mergeCell ref="N24:O25"/>
    <mergeCell ref="M16:M17"/>
    <mergeCell ref="C55:G55"/>
    <mergeCell ref="P16:P17"/>
    <mergeCell ref="A22:I22"/>
    <mergeCell ref="D12:R12"/>
    <mergeCell ref="J16:J17"/>
    <mergeCell ref="D9:R9"/>
    <mergeCell ref="A10:C10"/>
    <mergeCell ref="A2:R4"/>
    <mergeCell ref="A13:C13"/>
    <mergeCell ref="P15:R15"/>
    <mergeCell ref="K35:Q35"/>
    <mergeCell ref="A9:C9"/>
    <mergeCell ref="C36:G36"/>
    <mergeCell ref="Q16:Q17"/>
    <mergeCell ref="D18:H18"/>
    <mergeCell ref="A40:R40"/>
    <mergeCell ref="A15:I15"/>
    <mergeCell ref="A8:Q8"/>
    <mergeCell ref="T16:T17"/>
    <mergeCell ref="A11:C11"/>
    <mergeCell ref="N15:O15"/>
    <mergeCell ref="D10:R10"/>
    <mergeCell ref="K16:K17"/>
    <mergeCell ref="L16:L17"/>
    <mergeCell ref="B16:B17"/>
    <mergeCell ref="N16:N17"/>
    <mergeCell ref="A5:R6"/>
  </mergeCells>
  <pageMargins left="0.511811024" right="0.511811024" top="0.787401575" bottom="0.787401575" header="0.31496062" footer="0.31496062"/>
  <pageSetup orientation="landscape" paperSize="9" scale="50"/>
  <drawing xmlns:r="http://schemas.openxmlformats.org/officeDocument/2006/relationships" r:id="rId1"/>
</worksheet>
</file>

<file path=xl/worksheets/sheet3.xml><?xml version="1.0" encoding="utf-8"?>
<worksheet xmlns="http://schemas.openxmlformats.org/spreadsheetml/2006/main">
  <sheetPr codeName="Planilha3">
    <outlinePr summaryBelow="1" summaryRight="1"/>
    <pageSetUpPr fitToPage="1"/>
  </sheetPr>
  <dimension ref="A1:AJ658"/>
  <sheetViews>
    <sheetView showGridLines="0" zoomScale="55" zoomScaleNormal="55" zoomScaleSheetLayoutView="70" workbookViewId="0">
      <selection activeCell="V625" activeCellId="4" sqref="V615 V617 V619 V621 V625"/>
    </sheetView>
  </sheetViews>
  <sheetFormatPr baseColWidth="8" defaultColWidth="9.109375" defaultRowHeight="14.4"/>
  <cols>
    <col width="19" customWidth="1" style="13" min="1" max="1"/>
    <col width="12.44140625" bestFit="1" customWidth="1" style="116" min="2" max="2"/>
    <col hidden="1" width="12.44140625" customWidth="1" style="116" min="3" max="3"/>
    <col hidden="1" width="16.6640625" customWidth="1" style="116" min="4" max="4"/>
    <col width="76" customWidth="1" style="116" min="5" max="5"/>
    <col width="6.88671875" bestFit="1" customWidth="1" style="116" min="6" max="6"/>
    <col width="9.109375" bestFit="1" customWidth="1" style="116" min="7" max="7"/>
    <col width="22.44140625" bestFit="1" customWidth="1" style="116" min="8" max="8"/>
    <col width="5" customWidth="1" style="329" min="9" max="9"/>
    <col width="16.5546875" customWidth="1" style="1237" min="10" max="10"/>
    <col width="11.88671875" bestFit="1" customWidth="1" style="116" min="11" max="11"/>
    <col width="3.88671875" bestFit="1" customWidth="1" style="116" min="12" max="12"/>
    <col width="26.88671875" bestFit="1" customWidth="1" style="116" min="13" max="13"/>
    <col width="16.5546875" bestFit="1" customWidth="1" style="116" min="14" max="14"/>
    <col width="16.33203125" bestFit="1" customWidth="1" style="117" min="15" max="15"/>
    <col width="11.88671875" bestFit="1" customWidth="1" style="116" min="16" max="16"/>
    <col width="4.5546875" bestFit="1" customWidth="1" style="117" min="17" max="17"/>
    <col width="4.5546875" bestFit="1" customWidth="1" style="116" min="18" max="18"/>
    <col width="8" bestFit="1" customWidth="1" style="116" min="19" max="19"/>
    <col width="8.5546875" bestFit="1" customWidth="1" style="116" min="20" max="20"/>
    <col width="15.109375" customWidth="1" style="116" min="21" max="21"/>
    <col width="27.88671875" bestFit="1" customWidth="1" style="1238" min="22" max="22"/>
    <col width="23" customWidth="1" min="23" max="23"/>
    <col width="18.6640625" bestFit="1" customWidth="1" min="24" max="24"/>
    <col width="17.44140625" bestFit="1" customWidth="1" min="25" max="25"/>
    <col width="16.33203125" bestFit="1" customWidth="1" min="26" max="26"/>
    <col width="9.109375" customWidth="1" min="29" max="29"/>
    <col width="9.109375" customWidth="1" style="116" min="37" max="16384"/>
  </cols>
  <sheetData>
    <row r="1" ht="26.4" customHeight="1">
      <c r="A1" s="1021" t="inlineStr">
        <is>
          <t>PLANILHA DE PREÇOS E EVENTOGRAMAS
EXECUÇÃO DAS OBRAS DE REFORMA E MODERNIZAÇÃO DA UHE SALTO GRANDE E MODERNIZAÇÃO E DIGITALIZAÇÃO DA SE UHE SALTO GRANDE – ATIVOS CEMIG D</t>
        </is>
      </c>
      <c r="B1" s="1142" t="n"/>
      <c r="C1" s="1142" t="n"/>
      <c r="D1" s="1142" t="n"/>
      <c r="E1" s="1142" t="n"/>
      <c r="F1" s="1142" t="n"/>
      <c r="G1" s="1142" t="n"/>
      <c r="H1" s="1142" t="n"/>
      <c r="I1" s="1142" t="n"/>
      <c r="J1" s="1142" t="n"/>
      <c r="K1" s="1142" t="n"/>
      <c r="L1" s="1142" t="n"/>
      <c r="M1" s="1142" t="n"/>
      <c r="N1" s="1142" t="n"/>
      <c r="O1" s="1142" t="n"/>
      <c r="P1" s="1142" t="n"/>
      <c r="Q1" s="1142" t="n"/>
      <c r="R1" s="1142" t="n"/>
      <c r="S1" s="1142" t="n"/>
      <c r="T1" s="1142" t="n"/>
      <c r="U1" s="1142" t="n"/>
      <c r="V1" s="1143" t="n"/>
    </row>
    <row r="2" ht="16.2" customHeight="1" thickBot="1">
      <c r="A2" s="1025" t="inlineStr">
        <is>
          <t>TABELA DE PREÇOS DOS EQUIPAMENTOS, MATERIAIS E SERVIÇOS DA REFORMA E MODERNIZAÇÃO DA UHE SALTO GRANDE E MODERNIZAÇÃO E DIGITALIZAÇÃO DA SE UHE SALTO GRANDE – ATIVOS CEMIG D</t>
        </is>
      </c>
      <c r="B2" s="1210" t="n"/>
      <c r="C2" s="1210" t="n"/>
      <c r="D2" s="1210" t="n"/>
      <c r="E2" s="1210" t="n"/>
      <c r="F2" s="1210" t="n"/>
      <c r="G2" s="1210" t="n"/>
      <c r="H2" s="1210" t="n"/>
      <c r="I2" s="1210" t="n"/>
      <c r="J2" s="1210" t="n"/>
      <c r="K2" s="1210" t="n"/>
      <c r="L2" s="1210" t="n"/>
      <c r="M2" s="1210" t="n"/>
      <c r="N2" s="1210" t="n"/>
      <c r="O2" s="1210" t="n"/>
      <c r="P2" s="1210" t="n"/>
      <c r="Q2" s="1210" t="n"/>
      <c r="R2" s="1210" t="n"/>
      <c r="S2" s="1210" t="n"/>
      <c r="T2" s="1210" t="n"/>
      <c r="U2" s="1210" t="n"/>
      <c r="V2" s="1151" t="n"/>
    </row>
    <row r="3" ht="15.6" customHeight="1" thickBot="1">
      <c r="A3" s="294" t="n"/>
      <c r="B3" s="295" t="n"/>
      <c r="C3" s="295" t="n"/>
      <c r="D3" s="295" t="n"/>
      <c r="E3" s="295" t="n"/>
      <c r="F3" s="295" t="n"/>
      <c r="G3" s="295" t="n"/>
      <c r="H3" s="295" t="n"/>
      <c r="I3" s="319" t="n"/>
      <c r="J3" s="1239" t="n"/>
      <c r="K3" s="295" t="n"/>
      <c r="L3" s="295" t="n"/>
      <c r="M3" s="295" t="n"/>
      <c r="N3" s="295" t="n"/>
      <c r="O3" s="246" t="n"/>
      <c r="P3" s="295" t="n"/>
      <c r="Q3" s="246" t="n"/>
      <c r="R3" s="295" t="n"/>
      <c r="S3" s="295" t="n"/>
      <c r="T3" s="295" t="n"/>
      <c r="U3" s="295" t="n"/>
      <c r="V3" s="296" t="n"/>
    </row>
    <row r="4" ht="15.6" customHeight="1">
      <c r="A4" s="1039" t="inlineStr">
        <is>
          <t>OBJETO: CONTRATAÇÃO DE SERVIÇOS PARA EXECUÇÃO DA MODERNIZAÇÃO DA UHE SALTO GRANDE E MODERNIZAÇÃO E DIGITALIZAÇÂO DA SE UHE SALTO GRANDE</t>
        </is>
      </c>
      <c r="B4" s="1142" t="n"/>
      <c r="C4" s="1142" t="n"/>
      <c r="D4" s="1142" t="n"/>
      <c r="E4" s="1142" t="n"/>
      <c r="F4" s="1142" t="n"/>
      <c r="G4" s="1142" t="n"/>
      <c r="H4" s="1142" t="n"/>
      <c r="I4" s="1142" t="n"/>
      <c r="J4" s="1142" t="n"/>
      <c r="K4" s="1142" t="n"/>
      <c r="L4" s="1142" t="n"/>
      <c r="M4" s="1038" t="inlineStr">
        <is>
          <t xml:space="preserve"> LICITAÇÃO Nº</t>
        </is>
      </c>
      <c r="N4" s="1142" t="n"/>
      <c r="O4" s="1240" t="inlineStr">
        <is>
          <t>500-TK20335</t>
        </is>
      </c>
      <c r="P4" s="1241" t="n"/>
      <c r="Q4" s="1242" t="inlineStr">
        <is>
          <t>BASE ECONÔMICA TRIBUTÁRIA:</t>
        </is>
      </c>
      <c r="R4" s="1142" t="n"/>
      <c r="S4" s="1142" t="n"/>
      <c r="T4" s="1142" t="n"/>
      <c r="U4" s="1143" t="n"/>
      <c r="V4" s="1243" t="inlineStr">
        <is>
          <t>Lucro Real</t>
        </is>
      </c>
    </row>
    <row r="5" ht="31.5" customHeight="1">
      <c r="A5" s="992" t="inlineStr">
        <is>
          <t>EMPRESA PROPONENTE:</t>
        </is>
      </c>
      <c r="B5" s="1144" t="n"/>
      <c r="C5" s="994" t="inlineStr">
        <is>
          <t>INSIGHT ENERGIA SERVIÇOS ELETROMECÂNICOS LTDA.</t>
        </is>
      </c>
      <c r="D5" s="1244" t="n"/>
      <c r="E5" s="1244" t="n"/>
      <c r="F5" s="1244" t="n"/>
      <c r="G5" s="1244" t="n"/>
      <c r="H5" s="1244" t="n"/>
      <c r="I5" s="1244" t="n"/>
      <c r="J5" s="1245" t="n"/>
      <c r="K5" s="810" t="inlineStr">
        <is>
          <t>Nº CNPJ:</t>
        </is>
      </c>
      <c r="L5" s="994" t="inlineStr">
        <is>
          <t>14.162.225/0001-59</t>
        </is>
      </c>
      <c r="M5" s="1245" t="n"/>
      <c r="N5" s="806" t="inlineStr">
        <is>
          <t>Nº INSC ESTADUAL:</t>
        </is>
      </c>
      <c r="O5" s="1201" t="n"/>
      <c r="P5" s="1144" t="n"/>
      <c r="Q5" s="995" t="inlineStr">
        <is>
          <t>90.698.627-29</t>
        </is>
      </c>
      <c r="R5" s="1244" t="n"/>
      <c r="S5" s="1244" t="n"/>
      <c r="T5" s="1245" t="n"/>
      <c r="U5" s="810" t="inlineStr">
        <is>
          <t>DATA DE EMISSÃO:</t>
        </is>
      </c>
      <c r="V5" s="1246" t="n">
        <v>45414</v>
      </c>
    </row>
    <row r="6" ht="30" customHeight="1">
      <c r="A6" s="808" t="inlineStr">
        <is>
          <t>REPRESENTANTE LEGAL:</t>
        </is>
      </c>
      <c r="B6" s="1144" t="n"/>
      <c r="C6" s="994" t="inlineStr">
        <is>
          <t>Fernanda Fagundes Hernandes</t>
        </is>
      </c>
      <c r="D6" s="1244" t="n"/>
      <c r="E6" s="1244" t="n"/>
      <c r="F6" s="1244" t="n"/>
      <c r="G6" s="1244" t="n"/>
      <c r="H6" s="1244" t="n"/>
      <c r="I6" s="1244" t="n"/>
      <c r="J6" s="1245" t="n"/>
      <c r="K6" s="810" t="inlineStr">
        <is>
          <t>Nº CPF:</t>
        </is>
      </c>
      <c r="L6" s="994" t="inlineStr">
        <is>
          <t>078.184.519-00</t>
        </is>
      </c>
      <c r="M6" s="1245" t="n"/>
      <c r="N6" s="806" t="inlineStr">
        <is>
          <t>Nº IDENTIDADE:</t>
        </is>
      </c>
      <c r="O6" s="1201" t="n"/>
      <c r="P6" s="1144" t="n"/>
      <c r="Q6" s="995" t="n">
        <v>104585167</v>
      </c>
      <c r="R6" s="1244" t="n"/>
      <c r="S6" s="1244" t="n"/>
      <c r="T6" s="1245" t="n"/>
      <c r="U6" s="1247" t="n"/>
      <c r="V6" s="1248" t="n"/>
    </row>
    <row r="7" ht="60.75" customHeight="1" thickBot="1">
      <c r="A7" s="1135" t="inlineStr">
        <is>
          <t>ASSINATURA DO REPRESENTANTE LEGAL:</t>
        </is>
      </c>
      <c r="B7" s="1151" t="n"/>
      <c r="C7" s="1249" t="n"/>
      <c r="D7" s="1210" t="n"/>
      <c r="E7" s="1210" t="n"/>
      <c r="F7" s="1210" t="n"/>
      <c r="G7" s="1210" t="n"/>
      <c r="H7" s="1210" t="n"/>
      <c r="I7" s="1210" t="n"/>
      <c r="J7" s="1210" t="n"/>
      <c r="K7" s="1210" t="n"/>
      <c r="L7" s="1210" t="n"/>
      <c r="M7" s="1210" t="n"/>
      <c r="N7" s="1210" t="n"/>
      <c r="O7" s="1210" t="n"/>
      <c r="P7" s="1210" t="n"/>
      <c r="Q7" s="1210" t="n"/>
      <c r="R7" s="1210" t="n"/>
      <c r="S7" s="1210" t="n"/>
      <c r="T7" s="1210" t="n"/>
      <c r="U7" s="1210" t="n"/>
      <c r="V7" s="1250" t="n"/>
    </row>
    <row r="8" ht="15" customHeight="1" thickBot="1">
      <c r="A8" s="64" t="n"/>
      <c r="B8" s="65" t="n"/>
      <c r="C8" s="65" t="n"/>
      <c r="D8" s="65" t="n"/>
      <c r="E8" s="65" t="n"/>
      <c r="F8" s="65" t="n"/>
      <c r="G8" s="65" t="n"/>
      <c r="H8" s="65" t="n"/>
      <c r="I8" s="320" t="n"/>
      <c r="J8" s="1251" t="n"/>
      <c r="K8" s="65" t="n"/>
      <c r="L8" s="65" t="n"/>
      <c r="M8" s="65" t="n"/>
      <c r="N8" s="65" t="n"/>
      <c r="O8" s="303" t="n"/>
      <c r="P8" s="65" t="n"/>
      <c r="Q8" s="303" t="n"/>
      <c r="R8" s="65" t="n"/>
      <c r="S8" s="65" t="n"/>
      <c r="T8" s="65" t="n"/>
      <c r="U8" s="65" t="n"/>
      <c r="V8" s="1252" t="n"/>
    </row>
    <row r="9" ht="14.4" customHeight="1">
      <c r="A9" s="67" t="n"/>
      <c r="B9" s="68" t="n"/>
      <c r="C9" s="68" t="n"/>
      <c r="D9" s="68" t="n"/>
      <c r="E9" s="69" t="n"/>
      <c r="F9" s="69" t="n"/>
      <c r="G9" s="371" t="n"/>
      <c r="H9" s="371" t="n"/>
      <c r="I9" s="374" t="n"/>
      <c r="J9" s="1253" t="n"/>
      <c r="K9" s="1029" t="inlineStr">
        <is>
          <t>SERVIÇOS</t>
        </is>
      </c>
      <c r="L9" s="1143" t="n"/>
      <c r="M9" s="377" t="n"/>
      <c r="N9" s="377" t="n"/>
      <c r="O9" s="1254" t="inlineStr">
        <is>
          <t xml:space="preserve"> MATERIAIS/EQUIPAMENTOS</t>
        </is>
      </c>
      <c r="P9" s="1142" t="n"/>
      <c r="Q9" s="1142" t="n"/>
      <c r="R9" s="1142" t="n"/>
      <c r="S9" s="1142" t="n"/>
      <c r="T9" s="1142" t="n"/>
      <c r="U9" s="1143" t="n"/>
      <c r="V9" s="1255" t="n"/>
    </row>
    <row r="10" ht="55.8" customFormat="1" customHeight="1" s="117" thickBot="1">
      <c r="A10" s="70" t="inlineStr">
        <is>
          <t>ITEM /  Nº</t>
        </is>
      </c>
      <c r="B10" s="71" t="inlineStr">
        <is>
          <t>TIPO DO ITEM (MATERIAL / SERVIÇO)</t>
        </is>
      </c>
      <c r="C10" s="71" t="inlineStr">
        <is>
          <t>BM</t>
        </is>
      </c>
      <c r="D10" s="71" t="inlineStr">
        <is>
          <t>MÊS/ANO
CRONOGRAMA</t>
        </is>
      </c>
      <c r="E10" s="72" t="inlineStr">
        <is>
          <t>DESCRITIVO DOS MATERIAL / SERVIÇOS</t>
        </is>
      </c>
      <c r="F10" s="72" t="inlineStr">
        <is>
          <t>UNID.</t>
        </is>
      </c>
      <c r="G10" s="372" t="inlineStr">
        <is>
          <t>QUANT.</t>
        </is>
      </c>
      <c r="H10" s="372" t="inlineStr">
        <is>
          <t>PREÇO UNITÁRIO 
(com todos tributos) (R$)</t>
        </is>
      </c>
      <c r="I10" s="373" t="inlineStr">
        <is>
          <t>%</t>
        </is>
      </c>
      <c r="J10" s="1256" t="inlineStr">
        <is>
          <t>R$
BM/Concluído</t>
        </is>
      </c>
      <c r="K10" s="73" t="inlineStr">
        <is>
          <t>Código de 
Tributação
(LC 116/2003)</t>
        </is>
      </c>
      <c r="L10" s="73" t="inlineStr">
        <is>
          <t>ISS
(%)</t>
        </is>
      </c>
      <c r="M10" s="313" t="inlineStr">
        <is>
          <t>Identificação do Fornecedor ou Sub Fornecedor</t>
        </is>
      </c>
      <c r="N10" s="313" t="inlineStr">
        <is>
          <t>CNAE</t>
        </is>
      </c>
      <c r="O10" s="74" t="inlineStr">
        <is>
          <t>Classif. Fiscal
(NCM)</t>
        </is>
      </c>
      <c r="P10" s="75" t="inlineStr">
        <is>
          <t>Revenda
(Sim / Não)</t>
        </is>
      </c>
      <c r="Q10" s="74" t="inlineStr">
        <is>
          <t>II
(%)</t>
        </is>
      </c>
      <c r="R10" s="74" t="inlineStr">
        <is>
          <t>IPI 
(%)</t>
        </is>
      </c>
      <c r="S10" s="74" t="inlineStr">
        <is>
          <t>ICMS origem
(%)</t>
        </is>
      </c>
      <c r="T10" s="74" t="inlineStr">
        <is>
          <t>ICMS destino
(%)</t>
        </is>
      </c>
      <c r="U10" s="74" t="inlineStr">
        <is>
          <t>ICMS Substit. Tributária (%)</t>
        </is>
      </c>
      <c r="V10" s="1257" t="inlineStr">
        <is>
          <t>PREÇO TOTAL
(R$)</t>
        </is>
      </c>
    </row>
    <row r="11" ht="16.2" customHeight="1" thickBot="1">
      <c r="A11" s="379" t="inlineStr">
        <is>
          <t>2.01 - Sistema de Supervisão e Controle e 2.10 - Sistema de Sincronismo</t>
        </is>
      </c>
      <c r="B11" s="380" t="n"/>
      <c r="C11" s="380" t="n"/>
      <c r="D11" s="380" t="n"/>
      <c r="E11" s="380" t="n"/>
      <c r="F11" s="380" t="n"/>
      <c r="G11" s="380" t="n"/>
      <c r="H11" s="380" t="n"/>
      <c r="I11" s="381" t="n"/>
      <c r="J11" s="1258" t="n"/>
      <c r="K11" s="380" t="n"/>
      <c r="L11" s="380" t="n"/>
      <c r="M11" s="385" t="n"/>
      <c r="N11" s="380" t="n"/>
      <c r="O11" s="383" t="n"/>
      <c r="P11" s="380" t="n"/>
      <c r="Q11" s="383" t="n"/>
      <c r="R11" s="380" t="n"/>
      <c r="S11" s="380" t="n"/>
      <c r="T11" s="380" t="n"/>
      <c r="U11" s="384">
        <f>_xlfn.CONCAT("VALOR TOTAL DA ET ",A11,)</f>
        <v/>
      </c>
      <c r="V11" s="1259">
        <f>SUM(V12:V40)</f>
        <v/>
      </c>
      <c r="W11" s="1260" t="n"/>
    </row>
    <row r="12" ht="15" customHeight="1">
      <c r="A12" s="79" t="inlineStr">
        <is>
          <t>2.01.01</t>
        </is>
      </c>
      <c r="B12" s="80" t="inlineStr">
        <is>
          <t>SERVIÇO</t>
        </is>
      </c>
      <c r="C12" s="80" t="n"/>
      <c r="D12" s="80" t="n"/>
      <c r="E12" s="81" t="inlineStr">
        <is>
          <t>Engenharia e projeto executivo</t>
        </is>
      </c>
      <c r="F12" s="82" t="inlineStr">
        <is>
          <t>VB.</t>
        </is>
      </c>
      <c r="G12" s="83" t="n">
        <v>1</v>
      </c>
      <c r="H12" s="1261" t="n">
        <v>1093825.46</v>
      </c>
      <c r="I12" s="356" t="n"/>
      <c r="J12" s="1262" t="n"/>
      <c r="K12" s="18" t="n"/>
      <c r="L12" s="19" t="n"/>
      <c r="M12" s="233" t="inlineStr">
        <is>
          <t>INSIGHT/LCS LINK</t>
        </is>
      </c>
      <c r="N12" s="234" t="n"/>
      <c r="O12" s="1263" t="n"/>
      <c r="P12" s="1264" t="n"/>
      <c r="Q12" s="1263" t="n"/>
      <c r="R12" s="1264" t="n"/>
      <c r="S12" s="1265" t="n"/>
      <c r="T12" s="1264" t="n"/>
      <c r="U12" s="1265" t="n"/>
      <c r="V12" s="1266">
        <f>G12*H12</f>
        <v/>
      </c>
      <c r="W12" s="1260" t="n"/>
    </row>
    <row r="13" ht="15" customFormat="1" customHeight="1" s="353">
      <c r="A13" s="370" t="n"/>
      <c r="B13" s="340" t="n"/>
      <c r="C13" s="340" t="inlineStr">
        <is>
          <t>.</t>
        </is>
      </c>
      <c r="D13" s="340" t="n"/>
      <c r="E13" s="342" t="n"/>
      <c r="F13" s="343" t="n"/>
      <c r="G13" s="344" t="n"/>
      <c r="H13" s="1267" t="n"/>
      <c r="I13" s="316" t="n"/>
      <c r="J13" s="1268" t="n"/>
      <c r="K13" s="345" t="n"/>
      <c r="L13" s="346" t="n"/>
      <c r="M13" s="347" t="n"/>
      <c r="N13" s="348" t="n"/>
      <c r="O13" s="1269" t="n"/>
      <c r="P13" s="1270" t="n"/>
      <c r="Q13" s="1269" t="n"/>
      <c r="R13" s="1270" t="n"/>
      <c r="S13" s="1271" t="n"/>
      <c r="T13" s="1270" t="n"/>
      <c r="U13" s="1271" t="n"/>
      <c r="V13" s="1272" t="n"/>
    </row>
    <row r="14" ht="27.6" customHeight="1">
      <c r="A14" s="79" t="inlineStr">
        <is>
          <t>2.01.02</t>
        </is>
      </c>
      <c r="B14" s="80" t="inlineStr">
        <is>
          <t>SERVIÇO</t>
        </is>
      </c>
      <c r="C14" s="80" t="n"/>
      <c r="D14" s="80" t="n"/>
      <c r="E14" s="81" t="inlineStr">
        <is>
          <t>Desmontagem e adequação dos painéis de controle existentes e respectiva infraestrutura de interligação, incluindo a execução de arranjos provisórios</t>
        </is>
      </c>
      <c r="F14" s="82" t="inlineStr">
        <is>
          <t>VB.</t>
        </is>
      </c>
      <c r="G14" s="83" t="n">
        <v>1</v>
      </c>
      <c r="H14" s="1273" t="n">
        <v>1202760.28</v>
      </c>
      <c r="I14" s="356" t="n"/>
      <c r="J14" s="1262" t="n"/>
      <c r="K14" s="18" t="n"/>
      <c r="L14" s="19" t="n"/>
      <c r="M14" s="233" t="inlineStr">
        <is>
          <t>INSIGHT ENERGY</t>
        </is>
      </c>
      <c r="N14" s="234" t="n"/>
      <c r="O14" s="1263" t="n"/>
      <c r="P14" s="1264" t="n"/>
      <c r="Q14" s="1263" t="n"/>
      <c r="R14" s="1264" t="n"/>
      <c r="S14" s="1265" t="n"/>
      <c r="T14" s="1264" t="n"/>
      <c r="U14" s="1265" t="n"/>
      <c r="V14" s="1266">
        <f>G14*H14</f>
        <v/>
      </c>
    </row>
    <row r="15" ht="15" customFormat="1" customHeight="1" s="353">
      <c r="A15" s="341" t="n"/>
      <c r="B15" s="340" t="n"/>
      <c r="C15" s="340" t="inlineStr">
        <is>
          <t>.</t>
        </is>
      </c>
      <c r="D15" s="340" t="n"/>
      <c r="E15" s="342" t="n"/>
      <c r="F15" s="343" t="n"/>
      <c r="G15" s="344" t="n"/>
      <c r="H15" s="1267" t="n"/>
      <c r="I15" s="316" t="n"/>
      <c r="J15" s="1268" t="n"/>
      <c r="K15" s="345" t="n"/>
      <c r="L15" s="346" t="n"/>
      <c r="M15" s="347" t="n"/>
      <c r="N15" s="348" t="n"/>
      <c r="O15" s="1269" t="n"/>
      <c r="P15" s="1270" t="n"/>
      <c r="Q15" s="1269" t="n"/>
      <c r="R15" s="1270" t="n"/>
      <c r="S15" s="1271" t="n"/>
      <c r="T15" s="1270" t="n"/>
      <c r="U15" s="1271" t="n"/>
      <c r="V15" s="1272" t="n"/>
    </row>
    <row r="16" ht="15" customHeight="1">
      <c r="A16" s="79" t="inlineStr">
        <is>
          <t>2.01.03</t>
        </is>
      </c>
      <c r="B16" s="80" t="inlineStr">
        <is>
          <t>SERVIÇO</t>
        </is>
      </c>
      <c r="C16" s="80" t="n"/>
      <c r="D16" s="80" t="n"/>
      <c r="E16" s="81" t="inlineStr">
        <is>
          <t>Montagem eletromecânica completa</t>
        </is>
      </c>
      <c r="F16" s="82" t="inlineStr">
        <is>
          <t>VB.</t>
        </is>
      </c>
      <c r="G16" s="83" t="n">
        <v>1</v>
      </c>
      <c r="H16" s="1273" t="n">
        <v>1433220.38</v>
      </c>
      <c r="I16" s="356" t="n"/>
      <c r="J16" s="1262" t="n"/>
      <c r="K16" s="18" t="n"/>
      <c r="L16" s="19" t="n"/>
      <c r="M16" s="233" t="inlineStr">
        <is>
          <t>INSIGHT ENERGY</t>
        </is>
      </c>
      <c r="N16" s="234" t="n"/>
      <c r="O16" s="1263" t="n"/>
      <c r="P16" s="1264" t="n"/>
      <c r="Q16" s="1263" t="n"/>
      <c r="R16" s="1264" t="n"/>
      <c r="S16" s="1265" t="n"/>
      <c r="T16" s="1264" t="n"/>
      <c r="U16" s="1265" t="n"/>
      <c r="V16" s="1266">
        <f>G16*H16</f>
        <v/>
      </c>
    </row>
    <row r="17" ht="15" customFormat="1" customHeight="1" s="353">
      <c r="A17" s="341" t="n"/>
      <c r="B17" s="340" t="n"/>
      <c r="C17" s="340" t="inlineStr">
        <is>
          <t>.</t>
        </is>
      </c>
      <c r="D17" s="340" t="n"/>
      <c r="E17" s="342" t="n"/>
      <c r="F17" s="343" t="n"/>
      <c r="G17" s="344" t="n"/>
      <c r="H17" s="1267" t="n"/>
      <c r="I17" s="316" t="n"/>
      <c r="J17" s="1268" t="n"/>
      <c r="K17" s="345" t="n"/>
      <c r="L17" s="346" t="n"/>
      <c r="M17" s="347" t="n"/>
      <c r="N17" s="348" t="n"/>
      <c r="O17" s="1269" t="n"/>
      <c r="P17" s="1270" t="n"/>
      <c r="Q17" s="1269" t="n"/>
      <c r="R17" s="1270" t="n"/>
      <c r="S17" s="1271" t="n"/>
      <c r="T17" s="1270" t="n"/>
      <c r="U17" s="1271" t="n"/>
      <c r="V17" s="1272" t="n"/>
    </row>
    <row r="18" ht="15" customHeight="1">
      <c r="A18" s="79" t="inlineStr">
        <is>
          <t>2.01.04</t>
        </is>
      </c>
      <c r="B18" s="80" t="inlineStr">
        <is>
          <t>SERVIÇO</t>
        </is>
      </c>
      <c r="C18" s="80" t="n"/>
      <c r="D18" s="80" t="n"/>
      <c r="E18" s="81" t="inlineStr">
        <is>
          <t>Supervisão, ensaios de campo e comissionamento</t>
        </is>
      </c>
      <c r="F18" s="82" t="inlineStr">
        <is>
          <t>VB.</t>
        </is>
      </c>
      <c r="G18" s="83" t="n">
        <v>1</v>
      </c>
      <c r="H18" s="1261" t="n">
        <v>1944620.5</v>
      </c>
      <c r="I18" s="356" t="n"/>
      <c r="J18" s="1262" t="n"/>
      <c r="K18" s="18" t="n"/>
      <c r="L18" s="19" t="n"/>
      <c r="M18" s="233" t="inlineStr">
        <is>
          <t>LCS LINK</t>
        </is>
      </c>
      <c r="N18" s="234" t="n"/>
      <c r="O18" s="1263" t="n"/>
      <c r="P18" s="1264" t="n"/>
      <c r="Q18" s="1263" t="n"/>
      <c r="R18" s="1264" t="n"/>
      <c r="S18" s="1265" t="n"/>
      <c r="T18" s="1264" t="n"/>
      <c r="U18" s="1265" t="n"/>
      <c r="V18" s="1266">
        <f>G18*H18</f>
        <v/>
      </c>
    </row>
    <row r="19" ht="15" customFormat="1" customHeight="1" s="353">
      <c r="A19" s="341" t="n"/>
      <c r="B19" s="340" t="n"/>
      <c r="C19" s="340" t="inlineStr">
        <is>
          <t>.</t>
        </is>
      </c>
      <c r="D19" s="340" t="n"/>
      <c r="E19" s="342" t="n"/>
      <c r="F19" s="343" t="n"/>
      <c r="G19" s="344" t="n"/>
      <c r="H19" s="1267" t="n"/>
      <c r="I19" s="316" t="n"/>
      <c r="J19" s="1268" t="n"/>
      <c r="K19" s="345" t="n"/>
      <c r="L19" s="346" t="n"/>
      <c r="M19" s="347" t="n"/>
      <c r="N19" s="348" t="n"/>
      <c r="O19" s="1269" t="n"/>
      <c r="P19" s="1270" t="n"/>
      <c r="Q19" s="1269" t="n"/>
      <c r="R19" s="1270" t="n"/>
      <c r="S19" s="1271" t="n"/>
      <c r="T19" s="1270" t="n"/>
      <c r="U19" s="1271" t="n"/>
      <c r="V19" s="1272" t="n"/>
    </row>
    <row r="20" ht="41.4" customHeight="1">
      <c r="A20" s="79" t="inlineStr">
        <is>
          <t>2.01.05</t>
        </is>
      </c>
      <c r="B20" s="80" t="inlineStr">
        <is>
          <t>MATERIAL</t>
        </is>
      </c>
      <c r="C20" s="80" t="n"/>
      <c r="D20" s="80" t="n"/>
      <c r="E20" s="81" t="inlineStr">
        <is>
          <t>Painéis completos (+#UC) contendo a unidades de aquisição e controle para supervisão, comando e controle da Unidade Geradora, incluído sistema de parada de emergência</t>
        </is>
      </c>
      <c r="F20" s="82" t="inlineStr">
        <is>
          <t>CJ.</t>
        </is>
      </c>
      <c r="G20" s="83" t="n">
        <v>4</v>
      </c>
      <c r="H20" s="1261" t="n">
        <v>996595.777</v>
      </c>
      <c r="I20" s="356" t="n"/>
      <c r="J20" s="1262" t="n"/>
      <c r="K20" s="18" t="n"/>
      <c r="L20" s="19" t="n"/>
      <c r="M20" s="233" t="inlineStr">
        <is>
          <t>INSIGHT ENERGY</t>
        </is>
      </c>
      <c r="N20" s="234" t="n"/>
      <c r="O20" s="302" t="n"/>
      <c r="P20" s="309" t="n"/>
      <c r="Q20" s="310" t="n"/>
      <c r="R20" s="310" t="n"/>
      <c r="S20" s="311" t="n"/>
      <c r="T20" s="311" t="n"/>
      <c r="U20" s="309" t="n"/>
      <c r="V20" s="1266">
        <f>G20*H20</f>
        <v/>
      </c>
      <c r="W20" t="n">
        <v>3473818.04</v>
      </c>
    </row>
    <row r="21" ht="15" customFormat="1" customHeight="1" s="353">
      <c r="A21" s="341" t="n"/>
      <c r="B21" s="340" t="n"/>
      <c r="C21" s="340" t="inlineStr">
        <is>
          <t>.</t>
        </is>
      </c>
      <c r="D21" s="340" t="n"/>
      <c r="E21" s="342" t="n"/>
      <c r="F21" s="343" t="n"/>
      <c r="G21" s="344" t="n"/>
      <c r="H21" s="1267" t="n"/>
      <c r="I21" s="316" t="n"/>
      <c r="J21" s="1268" t="n"/>
      <c r="K21" s="345" t="n"/>
      <c r="L21" s="346" t="n"/>
      <c r="M21" s="347" t="n"/>
      <c r="N21" s="348" t="n"/>
      <c r="O21" s="1269" t="n"/>
      <c r="P21" s="1270" t="n"/>
      <c r="Q21" s="1269" t="n"/>
      <c r="R21" s="1270" t="n"/>
      <c r="S21" s="1271" t="n"/>
      <c r="T21" s="1270" t="n"/>
      <c r="U21" s="1271" t="n"/>
      <c r="V21" s="1272" t="n"/>
    </row>
    <row r="22" ht="41.4" customHeight="1">
      <c r="A22" s="79" t="inlineStr">
        <is>
          <t>2.01.06</t>
        </is>
      </c>
      <c r="B22" s="80" t="inlineStr">
        <is>
          <t>MATERIAL</t>
        </is>
      </c>
      <c r="C22" s="80" t="n"/>
      <c r="D22" s="80" t="n"/>
      <c r="E22" s="81" t="inlineStr">
        <is>
          <t>Painel completo (+AUC) para supervisão, comando e controle dos serviços auxiliares elétricos e mecânicos da casa de força e tomada d´água de Santo Antônio</t>
        </is>
      </c>
      <c r="F22" s="82" t="inlineStr">
        <is>
          <t>CJ.</t>
        </is>
      </c>
      <c r="G22" s="83" t="n">
        <v>1</v>
      </c>
      <c r="H22" s="1261" t="n">
        <v>797753.84</v>
      </c>
      <c r="I22" s="356" t="n"/>
      <c r="J22" s="1262" t="n"/>
      <c r="K22" s="18" t="n"/>
      <c r="L22" s="19" t="n"/>
      <c r="M22" s="233" t="inlineStr">
        <is>
          <t>INSIGHT ENERGY</t>
        </is>
      </c>
      <c r="N22" s="234" t="n"/>
      <c r="O22" s="302" t="n"/>
      <c r="P22" s="309" t="n"/>
      <c r="Q22" s="310" t="n"/>
      <c r="R22" s="310" t="n"/>
      <c r="S22" s="311" t="n"/>
      <c r="T22" s="311" t="n"/>
      <c r="U22" s="309" t="n"/>
      <c r="V22" s="1266">
        <f>G22*H22</f>
        <v/>
      </c>
    </row>
    <row r="23" ht="15" customFormat="1" customHeight="1" s="353">
      <c r="A23" s="341" t="n"/>
      <c r="B23" s="340" t="n"/>
      <c r="C23" s="340" t="inlineStr">
        <is>
          <t>.</t>
        </is>
      </c>
      <c r="D23" s="340" t="n"/>
      <c r="E23" s="342" t="n"/>
      <c r="F23" s="343" t="n"/>
      <c r="G23" s="344" t="n"/>
      <c r="H23" s="1267" t="n"/>
      <c r="I23" s="316" t="n"/>
      <c r="J23" s="1268" t="n"/>
      <c r="K23" s="345" t="n"/>
      <c r="L23" s="346" t="n"/>
      <c r="M23" s="347" t="n"/>
      <c r="N23" s="348" t="n"/>
      <c r="O23" s="1269" t="n"/>
      <c r="P23" s="1270" t="n"/>
      <c r="Q23" s="1269" t="n"/>
      <c r="R23" s="1270" t="n"/>
      <c r="S23" s="1271" t="n"/>
      <c r="T23" s="1270" t="n"/>
      <c r="U23" s="1271" t="n"/>
      <c r="V23" s="1272" t="n"/>
    </row>
    <row r="24" ht="27.6" customHeight="1">
      <c r="A24" s="79" t="inlineStr">
        <is>
          <t>2.01.07</t>
        </is>
      </c>
      <c r="B24" s="80" t="inlineStr">
        <is>
          <t>MATERIAL</t>
        </is>
      </c>
      <c r="C24" s="80" t="n"/>
      <c r="D24" s="80" t="n"/>
      <c r="E24" s="81" t="inlineStr">
        <is>
          <t>Painel completo (+VUC1) contendo a unidade de aquisição e controle (UAC) para supervisão do nível do reservatório de Santo Antônio</t>
        </is>
      </c>
      <c r="F24" s="82" t="inlineStr">
        <is>
          <t>CJ.</t>
        </is>
      </c>
      <c r="G24" s="83" t="n">
        <v>1</v>
      </c>
      <c r="H24" s="1261" t="n">
        <v>328307.6</v>
      </c>
      <c r="I24" s="356" t="n"/>
      <c r="J24" s="1262" t="n"/>
      <c r="K24" s="18" t="n"/>
      <c r="L24" s="19" t="n"/>
      <c r="M24" s="233" t="inlineStr">
        <is>
          <t>INSIGHT ENERGY</t>
        </is>
      </c>
      <c r="N24" s="234" t="n"/>
      <c r="O24" s="302" t="n"/>
      <c r="P24" s="309" t="n"/>
      <c r="Q24" s="310" t="n"/>
      <c r="R24" s="310" t="n"/>
      <c r="S24" s="311" t="n"/>
      <c r="T24" s="311" t="n"/>
      <c r="U24" s="309" t="n"/>
      <c r="V24" s="1266">
        <f>G24*H24</f>
        <v/>
      </c>
    </row>
    <row r="25" ht="15" customFormat="1" customHeight="1" s="353">
      <c r="A25" s="341" t="n"/>
      <c r="B25" s="340" t="n"/>
      <c r="C25" s="340" t="inlineStr">
        <is>
          <t>.</t>
        </is>
      </c>
      <c r="D25" s="340" t="n"/>
      <c r="E25" s="342" t="n"/>
      <c r="F25" s="343" t="n"/>
      <c r="G25" s="344" t="n"/>
      <c r="H25" s="1267" t="n"/>
      <c r="I25" s="316" t="n"/>
      <c r="J25" s="1268" t="n"/>
      <c r="K25" s="345" t="n"/>
      <c r="L25" s="346" t="n"/>
      <c r="M25" s="347" t="n"/>
      <c r="N25" s="348" t="n"/>
      <c r="O25" s="1269" t="n"/>
      <c r="P25" s="1270" t="n"/>
      <c r="Q25" s="1269" t="n"/>
      <c r="R25" s="1270" t="n"/>
      <c r="S25" s="1271" t="n"/>
      <c r="T25" s="1270" t="n"/>
      <c r="U25" s="1271" t="n"/>
      <c r="V25" s="1272" t="n"/>
    </row>
    <row r="26" ht="27.6" customHeight="1">
      <c r="A26" s="79" t="inlineStr">
        <is>
          <t>2.01.08</t>
        </is>
      </c>
      <c r="B26" s="80" t="inlineStr">
        <is>
          <t>MATERIAL</t>
        </is>
      </c>
      <c r="C26" s="80" t="n"/>
      <c r="D26" s="80" t="n"/>
      <c r="E26" s="81" t="inlineStr">
        <is>
          <t>Painel completo (+VUC2) contendo a unidade de aquisição e controle (UAC) para supervisão do nível do reservatório de Guanhães</t>
        </is>
      </c>
      <c r="F26" s="82" t="inlineStr">
        <is>
          <t>CJ.</t>
        </is>
      </c>
      <c r="G26" s="83" t="n">
        <v>1</v>
      </c>
      <c r="H26" s="1261" t="n">
        <v>328307.6</v>
      </c>
      <c r="I26" s="356" t="n"/>
      <c r="J26" s="1262" t="n"/>
      <c r="K26" s="18" t="n"/>
      <c r="L26" s="19" t="n"/>
      <c r="M26" s="233" t="inlineStr">
        <is>
          <t>INSIGHT ENERGY</t>
        </is>
      </c>
      <c r="N26" s="234" t="n"/>
      <c r="O26" s="302" t="n"/>
      <c r="P26" s="309" t="n"/>
      <c r="Q26" s="310" t="n"/>
      <c r="R26" s="310" t="n"/>
      <c r="S26" s="311" t="n"/>
      <c r="T26" s="311" t="n"/>
      <c r="U26" s="309" t="n"/>
      <c r="V26" s="1266">
        <f>G26*H26</f>
        <v/>
      </c>
    </row>
    <row r="27" ht="15" customFormat="1" customHeight="1" s="353">
      <c r="A27" s="341" t="n"/>
      <c r="B27" s="340" t="n"/>
      <c r="C27" s="340" t="inlineStr">
        <is>
          <t>.</t>
        </is>
      </c>
      <c r="D27" s="340" t="n"/>
      <c r="E27" s="342" t="n"/>
      <c r="F27" s="343" t="n"/>
      <c r="G27" s="344" t="n"/>
      <c r="H27" s="1267" t="n"/>
      <c r="I27" s="316" t="n"/>
      <c r="J27" s="1268" t="n"/>
      <c r="K27" s="345" t="n"/>
      <c r="L27" s="346" t="n"/>
      <c r="M27" s="347" t="n"/>
      <c r="N27" s="348" t="n"/>
      <c r="O27" s="1269" t="n"/>
      <c r="P27" s="1270" t="n"/>
      <c r="Q27" s="1269" t="n"/>
      <c r="R27" s="1270" t="n"/>
      <c r="S27" s="1271" t="n"/>
      <c r="T27" s="1270" t="n"/>
      <c r="U27" s="1271" t="n"/>
      <c r="V27" s="1272" t="n"/>
    </row>
    <row r="28" ht="41.4" customHeight="1">
      <c r="A28" s="79" t="inlineStr">
        <is>
          <t>2.01.09</t>
        </is>
      </c>
      <c r="B28" s="80" t="inlineStr">
        <is>
          <t>MATERIAL</t>
        </is>
      </c>
      <c r="C28" s="80" t="n"/>
      <c r="D28" s="80" t="n"/>
      <c r="E28" s="81" t="inlineStr">
        <is>
          <t>Painel completo (+VUC3) contendo a unidade de aquisição e controle (UAC) para supervisão, comando e controle das comportas de tomada d’água Santo Antônio e aquisição de nível dos reservatórios (Santo Antônio e Guanhães)</t>
        </is>
      </c>
      <c r="F28" s="82" t="inlineStr">
        <is>
          <t>CJ.</t>
        </is>
      </c>
      <c r="G28" s="83" t="n">
        <v>1</v>
      </c>
      <c r="H28" s="1261" t="n">
        <v>328307.6</v>
      </c>
      <c r="I28" s="356" t="n"/>
      <c r="J28" s="1262" t="n"/>
      <c r="K28" s="18" t="n"/>
      <c r="L28" s="19" t="n"/>
      <c r="M28" s="233" t="inlineStr">
        <is>
          <t>INSIGHT ENERGY</t>
        </is>
      </c>
      <c r="N28" s="234" t="n"/>
      <c r="O28" s="302" t="n"/>
      <c r="P28" s="309" t="n"/>
      <c r="Q28" s="310" t="n"/>
      <c r="R28" s="310" t="n"/>
      <c r="S28" s="311" t="n"/>
      <c r="T28" s="311" t="n"/>
      <c r="U28" s="309" t="n"/>
      <c r="V28" s="1266">
        <f>G28*H28</f>
        <v/>
      </c>
    </row>
    <row r="29" ht="15" customFormat="1" customHeight="1" s="353">
      <c r="A29" s="341" t="n"/>
      <c r="B29" s="340" t="n"/>
      <c r="C29" s="340" t="inlineStr">
        <is>
          <t>.</t>
        </is>
      </c>
      <c r="D29" s="340" t="n"/>
      <c r="E29" s="342" t="n"/>
      <c r="F29" s="343" t="n"/>
      <c r="G29" s="344" t="n"/>
      <c r="H29" s="1267" t="n"/>
      <c r="I29" s="316" t="n"/>
      <c r="J29" s="1268" t="n"/>
      <c r="K29" s="345" t="n"/>
      <c r="L29" s="346" t="n"/>
      <c r="M29" s="347" t="n"/>
      <c r="N29" s="348" t="n"/>
      <c r="O29" s="1269" t="n"/>
      <c r="P29" s="1270" t="n"/>
      <c r="Q29" s="1269" t="n"/>
      <c r="R29" s="1270" t="n"/>
      <c r="S29" s="1271" t="n"/>
      <c r="T29" s="1270" t="n"/>
      <c r="U29" s="1271" t="n"/>
      <c r="V29" s="1272" t="n"/>
    </row>
    <row r="30" ht="27.6" customHeight="1">
      <c r="A30" s="79" t="inlineStr">
        <is>
          <t>2.01.10</t>
        </is>
      </c>
      <c r="B30" s="80" t="inlineStr">
        <is>
          <t>MATERIAL</t>
        </is>
      </c>
      <c r="C30" s="80" t="n"/>
      <c r="D30" s="80" t="n"/>
      <c r="E30" s="81" t="inlineStr">
        <is>
          <t>Painel completo (+SUC) contendo a unidade de aquisição e controle (UAC) para a supervisão, comando e controle da subestação Salto Grande</t>
        </is>
      </c>
      <c r="F30" s="82" t="inlineStr">
        <is>
          <t>CJ.</t>
        </is>
      </c>
      <c r="G30" s="83" t="n">
        <v>1</v>
      </c>
      <c r="H30" s="1261" t="n">
        <v>785598.22</v>
      </c>
      <c r="I30" s="356" t="n"/>
      <c r="J30" s="1262" t="n"/>
      <c r="K30" s="18" t="n"/>
      <c r="L30" s="19" t="n"/>
      <c r="M30" s="233" t="inlineStr">
        <is>
          <t>INSIGHT ENERGY</t>
        </is>
      </c>
      <c r="N30" s="234" t="n"/>
      <c r="O30" s="302" t="n"/>
      <c r="P30" s="309" t="n"/>
      <c r="Q30" s="310" t="n"/>
      <c r="R30" s="310" t="n"/>
      <c r="S30" s="311" t="n"/>
      <c r="T30" s="311" t="n"/>
      <c r="U30" s="309" t="n"/>
      <c r="V30" s="1266">
        <f>G30*H30</f>
        <v/>
      </c>
    </row>
    <row r="31" ht="15" customFormat="1" customHeight="1" s="353">
      <c r="A31" s="341" t="n"/>
      <c r="B31" s="340" t="n"/>
      <c r="C31" s="340" t="inlineStr">
        <is>
          <t>.</t>
        </is>
      </c>
      <c r="D31" s="340" t="n"/>
      <c r="E31" s="342" t="n"/>
      <c r="F31" s="343" t="n"/>
      <c r="G31" s="344" t="n"/>
      <c r="H31" s="1267" t="n"/>
      <c r="I31" s="316" t="n"/>
      <c r="J31" s="1268" t="n"/>
      <c r="K31" s="345" t="n"/>
      <c r="L31" s="346" t="n"/>
      <c r="M31" s="347" t="n"/>
      <c r="N31" s="348" t="n"/>
      <c r="O31" s="1269" t="n"/>
      <c r="P31" s="1270" t="n"/>
      <c r="Q31" s="1269" t="n"/>
      <c r="R31" s="1270" t="n"/>
      <c r="S31" s="1271" t="n"/>
      <c r="T31" s="1270" t="n"/>
      <c r="U31" s="1271" t="n"/>
      <c r="V31" s="1272" t="n"/>
    </row>
    <row r="32" ht="41.4" customHeight="1">
      <c r="A32" s="79" t="inlineStr">
        <is>
          <t>2.01.11</t>
        </is>
      </c>
      <c r="B32" s="80" t="inlineStr">
        <is>
          <t>MATERIAL</t>
        </is>
      </c>
      <c r="C32" s="80" t="n"/>
      <c r="D32" s="80" t="n"/>
      <c r="E32" s="81" t="inlineStr">
        <is>
          <t>Painel completo contendo o módulo de comunicação (MCO) com o centro de operação, os equipamentos da rede de dados e os equipamentos do sistema de sincronismo de tempo - GPS</t>
        </is>
      </c>
      <c r="F32" s="82" t="inlineStr">
        <is>
          <t>CJ.</t>
        </is>
      </c>
      <c r="G32" s="83" t="n">
        <v>1</v>
      </c>
      <c r="H32" s="1261" t="n">
        <v>485003.49</v>
      </c>
      <c r="I32" s="356" t="n"/>
      <c r="J32" s="1262" t="n"/>
      <c r="K32" s="18" t="n"/>
      <c r="L32" s="19" t="n"/>
      <c r="M32" s="233" t="inlineStr">
        <is>
          <t>INSIGHT ENERGY</t>
        </is>
      </c>
      <c r="N32" s="234" t="n"/>
      <c r="O32" s="302" t="n"/>
      <c r="P32" s="309" t="n"/>
      <c r="Q32" s="310" t="n"/>
      <c r="R32" s="310" t="n"/>
      <c r="S32" s="311" t="n"/>
      <c r="T32" s="311" t="n"/>
      <c r="U32" s="309" t="n"/>
      <c r="V32" s="1266">
        <f>G32*H32</f>
        <v/>
      </c>
    </row>
    <row r="33" ht="15" customFormat="1" customHeight="1" s="353">
      <c r="A33" s="341" t="n"/>
      <c r="B33" s="340" t="n"/>
      <c r="C33" s="340" t="inlineStr">
        <is>
          <t>.</t>
        </is>
      </c>
      <c r="D33" s="340" t="n"/>
      <c r="E33" s="342" t="n"/>
      <c r="F33" s="343" t="n"/>
      <c r="G33" s="344" t="n"/>
      <c r="H33" s="1267" t="n"/>
      <c r="I33" s="316" t="n"/>
      <c r="J33" s="1268" t="n"/>
      <c r="K33" s="345" t="n"/>
      <c r="L33" s="346" t="n"/>
      <c r="M33" s="347" t="n"/>
      <c r="N33" s="348" t="n"/>
      <c r="O33" s="1269" t="n"/>
      <c r="P33" s="1270" t="n"/>
      <c r="Q33" s="1269" t="n"/>
      <c r="R33" s="1270" t="n"/>
      <c r="S33" s="1271" t="n"/>
      <c r="T33" s="1270" t="n"/>
      <c r="U33" s="1271" t="n"/>
      <c r="V33" s="1272" t="n"/>
    </row>
    <row r="34" ht="15" customHeight="1">
      <c r="A34" s="79" t="inlineStr">
        <is>
          <t>2.01.12</t>
        </is>
      </c>
      <c r="B34" s="80" t="inlineStr">
        <is>
          <t>MATERIAL</t>
        </is>
      </c>
      <c r="C34" s="80" t="n"/>
      <c r="D34" s="80" t="n"/>
      <c r="E34" s="81" t="inlineStr">
        <is>
          <t>Mobiliário completo para o Sistema Digital de Supervisão e Controle</t>
        </is>
      </c>
      <c r="F34" s="85" t="inlineStr">
        <is>
          <t>CJ.</t>
        </is>
      </c>
      <c r="G34" s="83" t="n">
        <v>1</v>
      </c>
      <c r="H34" s="1261" t="n">
        <v>41647.43</v>
      </c>
      <c r="I34" s="356" t="n"/>
      <c r="J34" s="1262" t="n"/>
      <c r="K34" s="18" t="n"/>
      <c r="L34" s="19" t="n"/>
      <c r="M34" s="233" t="inlineStr">
        <is>
          <t>INSIGHT ENERGY</t>
        </is>
      </c>
      <c r="N34" s="234" t="n"/>
      <c r="O34" s="302" t="n"/>
      <c r="P34" s="309" t="n"/>
      <c r="Q34" s="310" t="n"/>
      <c r="R34" s="310" t="n"/>
      <c r="S34" s="311" t="n"/>
      <c r="T34" s="311" t="n"/>
      <c r="U34" s="309" t="n"/>
      <c r="V34" s="1266">
        <f>G34*H34</f>
        <v/>
      </c>
    </row>
    <row r="35" ht="15" customFormat="1" customHeight="1" s="353">
      <c r="A35" s="341" t="n"/>
      <c r="B35" s="340" t="n"/>
      <c r="C35" s="340" t="inlineStr">
        <is>
          <t>.</t>
        </is>
      </c>
      <c r="D35" s="340" t="n"/>
      <c r="E35" s="342" t="n"/>
      <c r="F35" s="343" t="n"/>
      <c r="G35" s="344" t="n"/>
      <c r="H35" s="1267" t="n"/>
      <c r="I35" s="316" t="n"/>
      <c r="J35" s="1268" t="n"/>
      <c r="K35" s="345" t="n"/>
      <c r="L35" s="346" t="n"/>
      <c r="M35" s="347" t="n"/>
      <c r="N35" s="348" t="n"/>
      <c r="O35" s="1269" t="n"/>
      <c r="P35" s="1270" t="n"/>
      <c r="Q35" s="1269" t="n"/>
      <c r="R35" s="1270" t="n"/>
      <c r="S35" s="1271" t="n"/>
      <c r="T35" s="1270" t="n"/>
      <c r="U35" s="1271" t="n"/>
      <c r="V35" s="1272" t="n"/>
    </row>
    <row r="36" ht="27.6" customHeight="1">
      <c r="A36" s="79" t="inlineStr">
        <is>
          <t>2.01.13</t>
        </is>
      </c>
      <c r="B36" s="80" t="inlineStr">
        <is>
          <t>MATERIAL</t>
        </is>
      </c>
      <c r="C36" s="80" t="n"/>
      <c r="D36" s="80" t="n"/>
      <c r="E36" s="81" t="inlineStr">
        <is>
          <t>Estação de operação (EOP), Módulos de configuração e desenvolvimento (MCD) e impressora multifuncional</t>
        </is>
      </c>
      <c r="F36" s="85" t="inlineStr">
        <is>
          <t>CJ.</t>
        </is>
      </c>
      <c r="G36" s="83" t="n">
        <v>1</v>
      </c>
      <c r="H36" s="1261" t="n">
        <v>113080.49</v>
      </c>
      <c r="I36" s="356" t="n"/>
      <c r="J36" s="1262" t="n"/>
      <c r="K36" s="18" t="n"/>
      <c r="L36" s="19" t="n"/>
      <c r="M36" s="233" t="inlineStr">
        <is>
          <t>INSIGHT ENERGY</t>
        </is>
      </c>
      <c r="N36" s="234" t="n"/>
      <c r="O36" s="302" t="n"/>
      <c r="P36" s="309" t="n"/>
      <c r="Q36" s="310" t="n"/>
      <c r="R36" s="310" t="n"/>
      <c r="S36" s="311" t="n"/>
      <c r="T36" s="311" t="n"/>
      <c r="U36" s="309" t="n"/>
      <c r="V36" s="1266">
        <f>G36*H36</f>
        <v/>
      </c>
    </row>
    <row r="37" ht="15" customFormat="1" customHeight="1" s="353">
      <c r="A37" s="341" t="n"/>
      <c r="B37" s="340" t="n"/>
      <c r="C37" s="340" t="inlineStr">
        <is>
          <t>.</t>
        </is>
      </c>
      <c r="D37" s="340" t="n"/>
      <c r="E37" s="342" t="n"/>
      <c r="F37" s="343" t="n"/>
      <c r="G37" s="344" t="n"/>
      <c r="H37" s="1267" t="n"/>
      <c r="I37" s="316" t="n"/>
      <c r="J37" s="1268" t="n"/>
      <c r="K37" s="345" t="n"/>
      <c r="L37" s="346" t="n"/>
      <c r="M37" s="347" t="n"/>
      <c r="N37" s="348" t="n"/>
      <c r="O37" s="1269" t="n"/>
      <c r="P37" s="1270" t="n"/>
      <c r="Q37" s="1269" t="n"/>
      <c r="R37" s="1270" t="n"/>
      <c r="S37" s="1271" t="n"/>
      <c r="T37" s="1270" t="n"/>
      <c r="U37" s="1271" t="n"/>
      <c r="V37" s="1272" t="n"/>
    </row>
    <row r="38" ht="41.4" customHeight="1">
      <c r="A38" s="79" t="inlineStr">
        <is>
          <t>2.01.14</t>
        </is>
      </c>
      <c r="B38" s="80" t="inlineStr">
        <is>
          <t>MATERIAL</t>
        </is>
      </c>
      <c r="C38" s="80" t="n"/>
      <c r="D38" s="80" t="n"/>
      <c r="E38" s="81" t="inlineStr">
        <is>
          <t>Cópias e licenças dos diversos softwares, para o funcionamento integral, operação, visualização, configuração e manutenção do Sistema Digital de Supervisão e Controle</t>
        </is>
      </c>
      <c r="F38" s="85" t="inlineStr">
        <is>
          <t>CJ.</t>
        </is>
      </c>
      <c r="G38" s="83" t="n">
        <v>1</v>
      </c>
      <c r="H38" s="1261" t="n">
        <v>218550.51</v>
      </c>
      <c r="I38" s="356" t="n"/>
      <c r="J38" s="1262" t="n"/>
      <c r="K38" s="18" t="n"/>
      <c r="L38" s="19" t="n"/>
      <c r="M38" s="233" t="inlineStr">
        <is>
          <t>INSIGHT ENERGY</t>
        </is>
      </c>
      <c r="N38" s="234" t="n"/>
      <c r="O38" s="302" t="n"/>
      <c r="P38" s="309" t="n"/>
      <c r="Q38" s="310" t="n"/>
      <c r="R38" s="310" t="n"/>
      <c r="S38" s="311" t="n"/>
      <c r="T38" s="311" t="n"/>
      <c r="U38" s="309" t="n"/>
      <c r="V38" s="1266">
        <f>G38*H38</f>
        <v/>
      </c>
    </row>
    <row r="39" ht="15" customFormat="1" customHeight="1" s="353">
      <c r="A39" s="341" t="n"/>
      <c r="B39" s="340" t="n"/>
      <c r="C39" s="340" t="inlineStr">
        <is>
          <t>.</t>
        </is>
      </c>
      <c r="D39" s="340" t="n"/>
      <c r="E39" s="342" t="n"/>
      <c r="F39" s="343" t="n"/>
      <c r="G39" s="344" t="n"/>
      <c r="H39" s="1267" t="n"/>
      <c r="I39" s="316" t="n"/>
      <c r="J39" s="1268" t="n"/>
      <c r="K39" s="345" t="n"/>
      <c r="L39" s="346" t="n"/>
      <c r="M39" s="347" t="n"/>
      <c r="N39" s="348" t="n"/>
      <c r="O39" s="1269" t="n"/>
      <c r="P39" s="1270" t="n"/>
      <c r="Q39" s="1269" t="n"/>
      <c r="R39" s="1270" t="n"/>
      <c r="S39" s="1271" t="n"/>
      <c r="T39" s="1270" t="n"/>
      <c r="U39" s="1271" t="n"/>
      <c r="V39" s="1272" t="n"/>
    </row>
    <row r="40" ht="15" customHeight="1">
      <c r="A40" s="79" t="inlineStr">
        <is>
          <t>2.01.15</t>
        </is>
      </c>
      <c r="B40" s="80" t="inlineStr">
        <is>
          <t>MATERIAL</t>
        </is>
      </c>
      <c r="C40" s="80" t="n"/>
      <c r="D40" s="80" t="n"/>
      <c r="E40" s="81" t="inlineStr">
        <is>
          <t xml:space="preserve">Sistema de energia para alimentação ininterrupta em 220Vca  </t>
        </is>
      </c>
      <c r="F40" s="85" t="inlineStr">
        <is>
          <t>CJ.</t>
        </is>
      </c>
      <c r="G40" s="83" t="n">
        <v>1</v>
      </c>
      <c r="H40" s="1261" t="n">
        <v>39367.8</v>
      </c>
      <c r="I40" s="356" t="n"/>
      <c r="J40" s="1262" t="n"/>
      <c r="K40" s="18" t="n"/>
      <c r="L40" s="19" t="n"/>
      <c r="M40" s="233" t="inlineStr">
        <is>
          <t>INSIGHT ENERGY</t>
        </is>
      </c>
      <c r="N40" s="234" t="n"/>
      <c r="O40" s="302" t="n"/>
      <c r="P40" s="309" t="n"/>
      <c r="Q40" s="310" t="n"/>
      <c r="R40" s="310" t="n"/>
      <c r="S40" s="311" t="n"/>
      <c r="T40" s="311" t="n"/>
      <c r="U40" s="309" t="n"/>
      <c r="V40" s="1266">
        <f>G40*H40</f>
        <v/>
      </c>
    </row>
    <row r="41" ht="15.6" customFormat="1" customHeight="1" s="353" thickBot="1">
      <c r="A41" s="341" t="n"/>
      <c r="B41" s="340" t="n"/>
      <c r="C41" s="340" t="inlineStr">
        <is>
          <t>.</t>
        </is>
      </c>
      <c r="D41" s="340" t="n"/>
      <c r="E41" s="342" t="n"/>
      <c r="F41" s="343" t="n"/>
      <c r="G41" s="344" t="n"/>
      <c r="H41" s="1267" t="n"/>
      <c r="I41" s="316" t="n"/>
      <c r="J41" s="1268" t="n"/>
      <c r="K41" s="345" t="n"/>
      <c r="L41" s="346" t="n"/>
      <c r="M41" s="347" t="n"/>
      <c r="N41" s="348" t="n"/>
      <c r="O41" s="1269" t="n"/>
      <c r="P41" s="1270" t="n"/>
      <c r="Q41" s="1269" t="n"/>
      <c r="R41" s="1270" t="n"/>
      <c r="S41" s="1271" t="n"/>
      <c r="T41" s="1270" t="n"/>
      <c r="U41" s="1271" t="n"/>
      <c r="V41" s="1272" t="n"/>
    </row>
    <row r="42" ht="16.2" customHeight="1" thickBot="1">
      <c r="A42" s="379" t="inlineStr">
        <is>
          <t>2.02 - Sistema de Proteção</t>
        </is>
      </c>
      <c r="B42" s="380" t="n"/>
      <c r="C42" s="380" t="n"/>
      <c r="D42" s="380" t="n"/>
      <c r="E42" s="380" t="n"/>
      <c r="F42" s="380" t="n"/>
      <c r="G42" s="380" t="n"/>
      <c r="H42" s="380" t="n"/>
      <c r="I42" s="381" t="n"/>
      <c r="J42" s="1258" t="n"/>
      <c r="K42" s="380" t="n"/>
      <c r="L42" s="380" t="n"/>
      <c r="M42" s="385" t="n"/>
      <c r="N42" s="380" t="n"/>
      <c r="O42" s="383" t="n"/>
      <c r="P42" s="380" t="n"/>
      <c r="Q42" s="383" t="n"/>
      <c r="R42" s="380" t="n"/>
      <c r="S42" s="380" t="n"/>
      <c r="T42" s="380" t="n"/>
      <c r="U42" s="384">
        <f>_xlfn.CONCAT("VALOR TOTAL DA ET ",A42,)</f>
        <v/>
      </c>
      <c r="V42" s="1259">
        <f>SUM(V43:V63)</f>
        <v/>
      </c>
      <c r="W42" s="1260" t="n"/>
    </row>
    <row r="43" ht="15" customHeight="1">
      <c r="A43" s="79" t="inlineStr">
        <is>
          <t>2.02.01</t>
        </is>
      </c>
      <c r="B43" s="80" t="inlineStr">
        <is>
          <t>SERVIÇO</t>
        </is>
      </c>
      <c r="C43" s="80" t="n"/>
      <c r="D43" s="80" t="n"/>
      <c r="E43" s="81" t="inlineStr">
        <is>
          <t>Engenharia e projeto executivo</t>
        </is>
      </c>
      <c r="F43" s="4" t="inlineStr">
        <is>
          <t>VB.</t>
        </is>
      </c>
      <c r="G43" s="83" t="n">
        <v>1</v>
      </c>
      <c r="H43" s="1274" t="n">
        <v>894779.14</v>
      </c>
      <c r="I43" s="367" t="n"/>
      <c r="J43" s="1275" t="n"/>
      <c r="K43" s="18" t="n"/>
      <c r="L43" s="19" t="n"/>
      <c r="M43" s="233" t="inlineStr">
        <is>
          <t>INSIGHT ENERGYERZEG</t>
        </is>
      </c>
      <c r="N43" s="234" t="n"/>
      <c r="O43" s="1276" t="n"/>
      <c r="P43" s="1277" t="n"/>
      <c r="Q43" s="1276" t="n"/>
      <c r="R43" s="1277" t="n"/>
      <c r="S43" s="1278" t="n"/>
      <c r="T43" s="1277" t="n"/>
      <c r="U43" s="1278" t="n"/>
      <c r="V43" s="1279">
        <f>G43*H43</f>
        <v/>
      </c>
      <c r="W43" s="1260" t="n"/>
    </row>
    <row r="44" ht="15" customFormat="1" customHeight="1" s="353">
      <c r="A44" s="370" t="n"/>
      <c r="B44" s="340" t="n"/>
      <c r="C44" s="340" t="n"/>
      <c r="D44" s="340" t="n"/>
      <c r="E44" s="342" t="n"/>
      <c r="F44" s="394" t="n"/>
      <c r="G44" s="344" t="n"/>
      <c r="H44" s="1280" t="n"/>
      <c r="I44" s="322" t="n"/>
      <c r="J44" s="1281" t="n"/>
      <c r="K44" s="345" t="n"/>
      <c r="L44" s="346" t="n"/>
      <c r="M44" s="347" t="n"/>
      <c r="N44" s="348" t="n"/>
      <c r="O44" s="1282" t="n"/>
      <c r="P44" s="1283" t="n"/>
      <c r="Q44" s="1282" t="n"/>
      <c r="R44" s="1283" t="n"/>
      <c r="S44" s="1284" t="n"/>
      <c r="T44" s="1283" t="n"/>
      <c r="U44" s="1284" t="n"/>
      <c r="V44" s="1285" t="n"/>
    </row>
    <row r="45" ht="27.6" customHeight="1">
      <c r="A45" s="79" t="inlineStr">
        <is>
          <t>2.02.02</t>
        </is>
      </c>
      <c r="B45" s="80" t="inlineStr">
        <is>
          <t>SERVIÇO</t>
        </is>
      </c>
      <c r="C45" s="80" t="n"/>
      <c r="D45" s="80" t="n"/>
      <c r="E45" s="81" t="inlineStr">
        <is>
          <t>Desmontagem e adequação dos painéis de proteção existentes e respectiva infraestrutura de interligação,  incluindo a execução de arranjos provisórios</t>
        </is>
      </c>
      <c r="F45" s="4" t="inlineStr">
        <is>
          <t>VB.</t>
        </is>
      </c>
      <c r="G45" s="83" t="n">
        <v>1</v>
      </c>
      <c r="H45" s="1274" t="n">
        <v>1267578.32</v>
      </c>
      <c r="I45" s="367" t="n"/>
      <c r="J45" s="1275" t="n"/>
      <c r="K45" s="18" t="n"/>
      <c r="L45" s="19" t="n"/>
      <c r="M45" s="235" t="inlineStr">
        <is>
          <t>INSIGHT ENERGY</t>
        </is>
      </c>
      <c r="N45" s="234" t="n"/>
      <c r="O45" s="1276" t="n"/>
      <c r="P45" s="1277" t="n"/>
      <c r="Q45" s="1276" t="n"/>
      <c r="R45" s="1277" t="n"/>
      <c r="S45" s="1278" t="n"/>
      <c r="T45" s="1277" t="n"/>
      <c r="U45" s="1278" t="n"/>
      <c r="V45" s="1279">
        <f>G45*H45</f>
        <v/>
      </c>
    </row>
    <row r="46" ht="15" customFormat="1" customHeight="1" s="353">
      <c r="A46" s="341" t="n"/>
      <c r="B46" s="340" t="n"/>
      <c r="C46" s="340" t="inlineStr">
        <is>
          <t>.</t>
        </is>
      </c>
      <c r="D46" s="340" t="n"/>
      <c r="E46" s="342" t="n"/>
      <c r="F46" s="343" t="n"/>
      <c r="G46" s="344" t="n"/>
      <c r="H46" s="1267" t="n"/>
      <c r="I46" s="316" t="n"/>
      <c r="J46" s="1268" t="n"/>
      <c r="K46" s="345" t="n"/>
      <c r="L46" s="346" t="n"/>
      <c r="M46" s="347" t="n"/>
      <c r="N46" s="348" t="n"/>
      <c r="O46" s="1269" t="n"/>
      <c r="P46" s="1270" t="n"/>
      <c r="Q46" s="1269" t="n"/>
      <c r="R46" s="1270" t="n"/>
      <c r="S46" s="1271" t="n"/>
      <c r="T46" s="1270" t="n"/>
      <c r="U46" s="1271" t="n"/>
      <c r="V46" s="1272" t="n"/>
    </row>
    <row r="47" ht="15" customHeight="1">
      <c r="A47" s="403" t="inlineStr">
        <is>
          <t>2.02.03</t>
        </is>
      </c>
      <c r="B47" s="82" t="inlineStr">
        <is>
          <t>SERVIÇO</t>
        </is>
      </c>
      <c r="C47" s="82" t="n"/>
      <c r="D47" s="82" t="n"/>
      <c r="E47" s="81" t="inlineStr">
        <is>
          <t>Montagem eletromecânica completa</t>
        </is>
      </c>
      <c r="F47" s="4" t="inlineStr">
        <is>
          <t>VB.</t>
        </is>
      </c>
      <c r="G47" s="83" t="n">
        <v>1</v>
      </c>
      <c r="H47" s="1274" t="n">
        <v>1267578.3</v>
      </c>
      <c r="I47" s="367" t="n"/>
      <c r="J47" s="1275" t="n"/>
      <c r="K47" s="18" t="n"/>
      <c r="L47" s="19" t="n"/>
      <c r="M47" s="235" t="inlineStr">
        <is>
          <t>INSIGHT ENERGY</t>
        </is>
      </c>
      <c r="N47" s="234" t="n"/>
      <c r="O47" s="1276" t="n"/>
      <c r="P47" s="1277" t="n"/>
      <c r="Q47" s="1276" t="n"/>
      <c r="R47" s="1277" t="n"/>
      <c r="S47" s="1278" t="n"/>
      <c r="T47" s="1277" t="n"/>
      <c r="U47" s="1278" t="n"/>
      <c r="V47" s="1286">
        <f>G47*H47</f>
        <v/>
      </c>
    </row>
    <row r="48" ht="15" customFormat="1" customHeight="1" s="353">
      <c r="A48" s="400" t="n"/>
      <c r="B48" s="343" t="n"/>
      <c r="C48" s="343" t="inlineStr">
        <is>
          <t>.</t>
        </is>
      </c>
      <c r="D48" s="343" t="n"/>
      <c r="E48" s="342" t="n"/>
      <c r="F48" s="343" t="n"/>
      <c r="G48" s="344" t="n"/>
      <c r="H48" s="1267" t="n"/>
      <c r="I48" s="316" t="n"/>
      <c r="J48" s="1268" t="n"/>
      <c r="K48" s="345" t="n"/>
      <c r="L48" s="346" t="n"/>
      <c r="M48" s="401" t="n"/>
      <c r="N48" s="348" t="n"/>
      <c r="O48" s="1269" t="n"/>
      <c r="P48" s="1270" t="n"/>
      <c r="Q48" s="1269" t="n"/>
      <c r="R48" s="1270" t="n"/>
      <c r="S48" s="1271" t="n"/>
      <c r="T48" s="1270" t="n"/>
      <c r="U48" s="1271" t="n"/>
      <c r="V48" s="1287" t="n"/>
    </row>
    <row r="49" ht="15" customHeight="1">
      <c r="A49" s="403" t="inlineStr">
        <is>
          <t>2.02.04</t>
        </is>
      </c>
      <c r="B49" s="82" t="inlineStr">
        <is>
          <t>SERVIÇO</t>
        </is>
      </c>
      <c r="C49" s="82" t="n"/>
      <c r="D49" s="82" t="n"/>
      <c r="E49" s="81" t="inlineStr">
        <is>
          <t>Supervisão, ensaios de campo e comissionamento</t>
        </is>
      </c>
      <c r="F49" s="4" t="inlineStr">
        <is>
          <t>VB.</t>
        </is>
      </c>
      <c r="G49" s="83" t="n">
        <v>1</v>
      </c>
      <c r="H49" s="1274" t="n">
        <v>213763.96</v>
      </c>
      <c r="I49" s="367" t="n"/>
      <c r="J49" s="1275" t="n"/>
      <c r="K49" s="18" t="n"/>
      <c r="L49" s="19" t="n"/>
      <c r="M49" s="235" t="inlineStr">
        <is>
          <t>INSIGHT ENERGY</t>
        </is>
      </c>
      <c r="N49" s="234" t="n"/>
      <c r="O49" s="1276" t="n"/>
      <c r="P49" s="1277" t="n"/>
      <c r="Q49" s="1276" t="n"/>
      <c r="R49" s="1277" t="n"/>
      <c r="S49" s="1278" t="n"/>
      <c r="T49" s="1277" t="n"/>
      <c r="U49" s="1278" t="n"/>
      <c r="V49" s="1286">
        <f>G49*H49</f>
        <v/>
      </c>
    </row>
    <row r="50" ht="15" customFormat="1" customHeight="1" s="353">
      <c r="A50" s="405" t="n"/>
      <c r="B50" s="343" t="n"/>
      <c r="C50" s="343" t="n"/>
      <c r="D50" s="343" t="n"/>
      <c r="E50" s="342" t="n"/>
      <c r="F50" s="394" t="n"/>
      <c r="G50" s="344" t="n"/>
      <c r="H50" s="1280" t="n"/>
      <c r="I50" s="322" t="n"/>
      <c r="J50" s="1281" t="n"/>
      <c r="K50" s="345" t="n"/>
      <c r="L50" s="346" t="n"/>
      <c r="M50" s="401" t="n"/>
      <c r="N50" s="348" t="n"/>
      <c r="O50" s="1282" t="n"/>
      <c r="P50" s="1283" t="n"/>
      <c r="Q50" s="1282" t="n"/>
      <c r="R50" s="1283" t="n"/>
      <c r="S50" s="1284" t="n"/>
      <c r="T50" s="1283" t="n"/>
      <c r="U50" s="1284" t="n"/>
      <c r="V50" s="1288" t="n"/>
    </row>
    <row r="51" ht="15" customHeight="1">
      <c r="A51" s="403" t="inlineStr">
        <is>
          <t>2.02.05</t>
        </is>
      </c>
      <c r="B51" s="82" t="inlineStr">
        <is>
          <t>MATERIAL</t>
        </is>
      </c>
      <c r="C51" s="82" t="n"/>
      <c r="D51" s="82" t="n"/>
      <c r="E51" s="81" t="inlineStr">
        <is>
          <t>Painéis completos do Sistema de Proteção da Unidade Geradora</t>
        </is>
      </c>
      <c r="F51" s="4" t="inlineStr">
        <is>
          <t>CJ.</t>
        </is>
      </c>
      <c r="G51" s="83" t="n">
        <v>4</v>
      </c>
      <c r="H51" s="1274" t="n">
        <v>987138.46</v>
      </c>
      <c r="I51" s="367" t="n"/>
      <c r="J51" s="1275" t="n"/>
      <c r="K51" s="1278" t="n"/>
      <c r="L51" s="1277" t="n"/>
      <c r="M51" s="233" t="inlineStr">
        <is>
          <t>INSIGHT ENERGYERZEG</t>
        </is>
      </c>
      <c r="N51" s="290" t="n"/>
      <c r="O51" s="302" t="n"/>
      <c r="P51" s="309" t="n"/>
      <c r="Q51" s="310" t="n"/>
      <c r="R51" s="310" t="n"/>
      <c r="S51" s="311" t="n"/>
      <c r="T51" s="311" t="n"/>
      <c r="U51" s="309" t="n"/>
      <c r="V51" s="1286">
        <f>G51*H51</f>
        <v/>
      </c>
    </row>
    <row r="52" ht="15" customFormat="1" customHeight="1" s="353">
      <c r="A52" s="400" t="n"/>
      <c r="B52" s="343" t="n"/>
      <c r="C52" s="343" t="inlineStr">
        <is>
          <t>.</t>
        </is>
      </c>
      <c r="D52" s="343" t="n"/>
      <c r="E52" s="342" t="n"/>
      <c r="F52" s="343" t="n"/>
      <c r="G52" s="344" t="n"/>
      <c r="H52" s="1267" t="n"/>
      <c r="I52" s="316" t="n"/>
      <c r="J52" s="1268" t="n"/>
      <c r="K52" s="345" t="n"/>
      <c r="L52" s="346" t="n"/>
      <c r="M52" s="401" t="n"/>
      <c r="N52" s="348" t="n"/>
      <c r="O52" s="1269" t="n"/>
      <c r="P52" s="1270" t="n"/>
      <c r="Q52" s="1269" t="n"/>
      <c r="R52" s="1270" t="n"/>
      <c r="S52" s="1271" t="n"/>
      <c r="T52" s="1270" t="n"/>
      <c r="U52" s="1271" t="n"/>
      <c r="V52" s="1287" t="n"/>
    </row>
    <row r="53" ht="15" customHeight="1">
      <c r="A53" s="403" t="inlineStr">
        <is>
          <t>2.02.06</t>
        </is>
      </c>
      <c r="B53" s="82" t="inlineStr">
        <is>
          <t>MATERIAL</t>
        </is>
      </c>
      <c r="C53" s="82" t="n"/>
      <c r="D53" s="82" t="n"/>
      <c r="E53" s="81" t="inlineStr">
        <is>
          <t>Dispositivos para trip capacitivo ou bobina de mínima tensão para disjuntores</t>
        </is>
      </c>
      <c r="F53" s="4" t="inlineStr">
        <is>
          <t>CJ.</t>
        </is>
      </c>
      <c r="G53" s="83" t="n">
        <v>8</v>
      </c>
      <c r="H53" s="1274" t="n">
        <v>18698.77</v>
      </c>
      <c r="I53" s="367" t="n"/>
      <c r="J53" s="1275" t="n"/>
      <c r="K53" s="1278" t="n"/>
      <c r="L53" s="1277" t="n"/>
      <c r="M53" s="233" t="inlineStr">
        <is>
          <t>INSIGHT ENERGYERZEG</t>
        </is>
      </c>
      <c r="N53" s="290" t="n"/>
      <c r="O53" s="302" t="n"/>
      <c r="P53" s="309" t="n"/>
      <c r="Q53" s="310" t="n"/>
      <c r="R53" s="310" t="n"/>
      <c r="S53" s="311" t="n"/>
      <c r="T53" s="311" t="n"/>
      <c r="U53" s="309" t="n"/>
      <c r="V53" s="1286">
        <f>G53*H53</f>
        <v/>
      </c>
    </row>
    <row r="54" ht="15" customFormat="1" customHeight="1" s="353">
      <c r="A54" s="400" t="n"/>
      <c r="B54" s="343" t="n"/>
      <c r="C54" s="343" t="inlineStr">
        <is>
          <t>.</t>
        </is>
      </c>
      <c r="D54" s="343" t="n"/>
      <c r="E54" s="342" t="n"/>
      <c r="F54" s="343" t="n"/>
      <c r="G54" s="344" t="n"/>
      <c r="H54" s="1267" t="n"/>
      <c r="I54" s="316" t="n"/>
      <c r="J54" s="1268" t="n"/>
      <c r="K54" s="345" t="n"/>
      <c r="L54" s="346" t="n"/>
      <c r="M54" s="401" t="n"/>
      <c r="N54" s="348" t="n"/>
      <c r="O54" s="1269" t="n"/>
      <c r="P54" s="1270" t="n"/>
      <c r="Q54" s="1269" t="n"/>
      <c r="R54" s="1270" t="n"/>
      <c r="S54" s="1271" t="n"/>
      <c r="T54" s="1270" t="n"/>
      <c r="U54" s="1271" t="n"/>
      <c r="V54" s="1287" t="n"/>
    </row>
    <row r="55" ht="15" customHeight="1">
      <c r="A55" s="403" t="inlineStr">
        <is>
          <t>2.02.07</t>
        </is>
      </c>
      <c r="B55" s="82" t="inlineStr">
        <is>
          <t>MATERIAL</t>
        </is>
      </c>
      <c r="C55" s="82" t="n"/>
      <c r="D55" s="82" t="n"/>
      <c r="E55" s="81" t="inlineStr">
        <is>
          <t>Painel completo contendo o Registrador Digital de Perturbações (RDP)</t>
        </is>
      </c>
      <c r="F55" s="4" t="inlineStr">
        <is>
          <t>CJ.</t>
        </is>
      </c>
      <c r="G55" s="83" t="n">
        <v>1</v>
      </c>
      <c r="H55" s="1274" t="n">
        <v>985036.9</v>
      </c>
      <c r="I55" s="367" t="n"/>
      <c r="J55" s="1275" t="n"/>
      <c r="K55" s="1278" t="n"/>
      <c r="L55" s="1277" t="n"/>
      <c r="M55" s="233" t="inlineStr">
        <is>
          <t>INSIGHT ENERGYERZEG</t>
        </is>
      </c>
      <c r="N55" s="237" t="n"/>
      <c r="O55" s="302" t="n"/>
      <c r="P55" s="309" t="n"/>
      <c r="Q55" s="310" t="n"/>
      <c r="R55" s="310" t="n"/>
      <c r="S55" s="311" t="n"/>
      <c r="T55" s="311" t="n"/>
      <c r="U55" s="309" t="n"/>
      <c r="V55" s="1286">
        <f>G55*H55</f>
        <v/>
      </c>
    </row>
    <row r="56" ht="15" customFormat="1" customHeight="1" s="353">
      <c r="A56" s="405" t="n"/>
      <c r="B56" s="343" t="n"/>
      <c r="C56" s="343" t="n"/>
      <c r="D56" s="343" t="n"/>
      <c r="E56" s="342" t="n"/>
      <c r="F56" s="394" t="n"/>
      <c r="G56" s="344" t="n"/>
      <c r="H56" s="1280" t="n"/>
      <c r="I56" s="322" t="n"/>
      <c r="J56" s="1281" t="n"/>
      <c r="K56" s="1284" t="n"/>
      <c r="L56" s="1283" t="n"/>
      <c r="M56" s="401" t="n"/>
      <c r="N56" s="395" t="n"/>
      <c r="O56" s="396" t="n"/>
      <c r="P56" s="397" t="n"/>
      <c r="Q56" s="398" t="n"/>
      <c r="R56" s="398" t="n"/>
      <c r="S56" s="399" t="n"/>
      <c r="T56" s="399" t="n"/>
      <c r="U56" s="397" t="n"/>
      <c r="V56" s="1288" t="n"/>
    </row>
    <row r="57" ht="27.6" customHeight="1">
      <c r="A57" s="403" t="inlineStr">
        <is>
          <t>2.02.08</t>
        </is>
      </c>
      <c r="B57" s="82" t="inlineStr">
        <is>
          <t>MATERIAL</t>
        </is>
      </c>
      <c r="C57" s="82" t="n"/>
      <c r="D57" s="82" t="n"/>
      <c r="E57" s="81" t="inlineStr">
        <is>
          <t>Rede de dados para aquisição de oscilografia e parametrização dos relés, para comunicação entre os relés de proteção e SDSC, e para sincronismo de tempo</t>
        </is>
      </c>
      <c r="F57" s="4" t="inlineStr">
        <is>
          <t>CJ.</t>
        </is>
      </c>
      <c r="G57" s="83" t="n">
        <v>1</v>
      </c>
      <c r="H57" s="1274" t="n">
        <v>123392.36</v>
      </c>
      <c r="I57" s="367" t="n"/>
      <c r="J57" s="1275" t="n"/>
      <c r="K57" s="1278" t="n"/>
      <c r="L57" s="1277" t="n"/>
      <c r="M57" s="233" t="inlineStr">
        <is>
          <t>INSIGHT ENERGYERZEG</t>
        </is>
      </c>
      <c r="N57" s="237" t="n"/>
      <c r="O57" s="302" t="n"/>
      <c r="P57" s="309" t="n"/>
      <c r="Q57" s="310" t="n"/>
      <c r="R57" s="310" t="n"/>
      <c r="S57" s="311" t="n"/>
      <c r="T57" s="311" t="n"/>
      <c r="U57" s="309" t="n"/>
      <c r="V57" s="1286">
        <f>G57*H57</f>
        <v/>
      </c>
    </row>
    <row r="58" ht="15" customFormat="1" customHeight="1" s="353">
      <c r="A58" s="405" t="n"/>
      <c r="B58" s="343" t="n"/>
      <c r="C58" s="343" t="n"/>
      <c r="D58" s="343" t="n"/>
      <c r="E58" s="342" t="n"/>
      <c r="F58" s="394" t="n"/>
      <c r="G58" s="344" t="n"/>
      <c r="H58" s="1280" t="n"/>
      <c r="I58" s="322" t="n"/>
      <c r="J58" s="1281" t="n"/>
      <c r="K58" s="1284" t="n"/>
      <c r="L58" s="1283" t="n"/>
      <c r="M58" s="401" t="n"/>
      <c r="N58" s="395" t="n"/>
      <c r="O58" s="396" t="n"/>
      <c r="P58" s="397" t="n"/>
      <c r="Q58" s="398" t="n"/>
      <c r="R58" s="398" t="n"/>
      <c r="S58" s="399" t="n"/>
      <c r="T58" s="399" t="n"/>
      <c r="U58" s="397" t="n"/>
      <c r="V58" s="1288" t="n"/>
    </row>
    <row r="59" ht="27.6" customHeight="1">
      <c r="A59" s="403" t="inlineStr">
        <is>
          <t>2.02.09</t>
        </is>
      </c>
      <c r="B59" s="82" t="inlineStr">
        <is>
          <t>MATERIAL</t>
        </is>
      </c>
      <c r="C59" s="82" t="n"/>
      <c r="D59" s="82" t="n"/>
      <c r="E59" s="81" t="inlineStr">
        <is>
          <t>Estações de configuração portáteis, incluindo cabos de comunicação entre relés e computadores</t>
        </is>
      </c>
      <c r="F59" s="4" t="inlineStr">
        <is>
          <t>CJ.</t>
        </is>
      </c>
      <c r="G59" s="83" t="n">
        <v>2</v>
      </c>
      <c r="H59" s="1274" t="n">
        <v>159700.19</v>
      </c>
      <c r="I59" s="367" t="n"/>
      <c r="J59" s="1275" t="n"/>
      <c r="K59" s="1278" t="n"/>
      <c r="L59" s="1277" t="n"/>
      <c r="M59" s="235" t="inlineStr">
        <is>
          <t>INSIGHT ENERGY</t>
        </is>
      </c>
      <c r="N59" s="237" t="n"/>
      <c r="O59" s="302" t="n"/>
      <c r="P59" s="309" t="n"/>
      <c r="Q59" s="310" t="n"/>
      <c r="R59" s="310" t="n"/>
      <c r="S59" s="311" t="n"/>
      <c r="T59" s="311" t="n"/>
      <c r="U59" s="309" t="n"/>
      <c r="V59" s="1286">
        <f>G59*H59</f>
        <v/>
      </c>
    </row>
    <row r="60" ht="15" customFormat="1" customHeight="1" s="353">
      <c r="A60" s="400" t="n"/>
      <c r="B60" s="343" t="n"/>
      <c r="C60" s="343" t="n"/>
      <c r="D60" s="343" t="n"/>
      <c r="E60" s="342" t="n"/>
      <c r="F60" s="343" t="n"/>
      <c r="G60" s="344" t="n"/>
      <c r="H60" s="1267" t="n"/>
      <c r="I60" s="316" t="n"/>
      <c r="J60" s="1268" t="n"/>
      <c r="K60" s="345" t="n"/>
      <c r="L60" s="346" t="n"/>
      <c r="M60" s="401" t="n"/>
      <c r="N60" s="348" t="n"/>
      <c r="O60" s="1269" t="n"/>
      <c r="P60" s="1270" t="n"/>
      <c r="Q60" s="1269" t="n"/>
      <c r="R60" s="1270" t="n"/>
      <c r="S60" s="1271" t="n"/>
      <c r="T60" s="1270" t="n"/>
      <c r="U60" s="1271" t="n"/>
      <c r="V60" s="1287" t="n"/>
    </row>
    <row r="61" ht="15" customHeight="1">
      <c r="A61" s="403" t="inlineStr">
        <is>
          <t>2.02.10</t>
        </is>
      </c>
      <c r="B61" s="82" t="inlineStr">
        <is>
          <t>MATERIAL</t>
        </is>
      </c>
      <c r="C61" s="82" t="n"/>
      <c r="D61" s="82" t="n"/>
      <c r="E61" s="81" t="inlineStr">
        <is>
          <t>Softwares com suas respectivas licenças para as estações de operação</t>
        </is>
      </c>
      <c r="F61" s="4" t="inlineStr">
        <is>
          <t>CJ.</t>
        </is>
      </c>
      <c r="G61" s="83" t="n">
        <v>2</v>
      </c>
      <c r="H61" s="1274" t="n">
        <v>159700.19</v>
      </c>
      <c r="I61" s="367" t="n"/>
      <c r="J61" s="1275" t="n"/>
      <c r="K61" s="1278" t="n"/>
      <c r="L61" s="1277" t="n"/>
      <c r="M61" s="235" t="inlineStr">
        <is>
          <t>INSIGHT ENERGY</t>
        </is>
      </c>
      <c r="N61" s="237" t="n"/>
      <c r="O61" s="302" t="n"/>
      <c r="P61" s="309" t="n"/>
      <c r="Q61" s="310" t="n"/>
      <c r="R61" s="310" t="n"/>
      <c r="S61" s="311" t="n"/>
      <c r="T61" s="311" t="n"/>
      <c r="U61" s="309" t="n"/>
      <c r="V61" s="1286">
        <f>G61*H61</f>
        <v/>
      </c>
    </row>
    <row r="62" ht="15" customFormat="1" customHeight="1" s="353">
      <c r="A62" s="405" t="n"/>
      <c r="B62" s="343" t="n"/>
      <c r="C62" s="343" t="n"/>
      <c r="D62" s="343" t="n"/>
      <c r="E62" s="342" t="n"/>
      <c r="F62" s="394" t="n"/>
      <c r="G62" s="344" t="n"/>
      <c r="H62" s="1280" t="n"/>
      <c r="I62" s="322" t="n"/>
      <c r="J62" s="1281" t="n"/>
      <c r="K62" s="1284" t="n"/>
      <c r="L62" s="1283" t="n"/>
      <c r="M62" s="401" t="n"/>
      <c r="N62" s="395" t="n"/>
      <c r="O62" s="396" t="n"/>
      <c r="P62" s="397" t="n"/>
      <c r="Q62" s="398" t="n"/>
      <c r="R62" s="398" t="n"/>
      <c r="S62" s="399" t="n"/>
      <c r="T62" s="399" t="n"/>
      <c r="U62" s="397" t="n"/>
      <c r="V62" s="1288" t="n"/>
    </row>
    <row r="63" ht="27.6" customHeight="1">
      <c r="A63" s="403" t="inlineStr">
        <is>
          <t>2.02.11</t>
        </is>
      </c>
      <c r="B63" s="82" t="inlineStr">
        <is>
          <t>MATERIAL</t>
        </is>
      </c>
      <c r="C63" s="82" t="n"/>
      <c r="D63" s="82" t="n"/>
      <c r="E63" s="81" t="inlineStr">
        <is>
          <t>Cabos de controle e de força para interligação entre os painéis de proteção e os diversos sistemas</t>
        </is>
      </c>
      <c r="F63" s="4" t="inlineStr">
        <is>
          <t>CJ.</t>
        </is>
      </c>
      <c r="G63" s="83" t="n">
        <v>1</v>
      </c>
      <c r="H63" s="1274" t="n">
        <v>159700.2</v>
      </c>
      <c r="I63" s="367" t="n"/>
      <c r="J63" s="1275" t="n"/>
      <c r="K63" s="1278" t="n"/>
      <c r="L63" s="1277" t="n"/>
      <c r="M63" s="235" t="inlineStr">
        <is>
          <t>INSIGHT ENERGY</t>
        </is>
      </c>
      <c r="N63" s="237" t="n"/>
      <c r="O63" s="302" t="n"/>
      <c r="P63" s="309" t="n"/>
      <c r="Q63" s="310" t="n"/>
      <c r="R63" s="310" t="n"/>
      <c r="S63" s="311" t="n"/>
      <c r="T63" s="311" t="n"/>
      <c r="U63" s="309" t="n"/>
      <c r="V63" s="1286">
        <f>G63*H63</f>
        <v/>
      </c>
    </row>
    <row r="64" ht="15.6" customFormat="1" customHeight="1" s="353" thickBot="1">
      <c r="A64" s="405" t="n"/>
      <c r="B64" s="343" t="n"/>
      <c r="C64" s="343" t="n"/>
      <c r="D64" s="343" t="n"/>
      <c r="E64" s="342" t="n"/>
      <c r="F64" s="394" t="n"/>
      <c r="G64" s="344" t="n"/>
      <c r="H64" s="1280" t="n"/>
      <c r="I64" s="322" t="n"/>
      <c r="J64" s="1281" t="n"/>
      <c r="K64" s="1284" t="n"/>
      <c r="L64" s="1283" t="n"/>
      <c r="M64" s="401" t="n"/>
      <c r="N64" s="395" t="n"/>
      <c r="O64" s="396" t="n"/>
      <c r="P64" s="397" t="n"/>
      <c r="Q64" s="398" t="n"/>
      <c r="R64" s="398" t="n"/>
      <c r="S64" s="399" t="n"/>
      <c r="T64" s="399" t="n"/>
      <c r="U64" s="397" t="n"/>
      <c r="V64" s="1288" t="n"/>
    </row>
    <row r="65" ht="16.2" customHeight="1" thickBot="1">
      <c r="A65" s="379" t="inlineStr">
        <is>
          <t>2.03 - Sistema Regulação de Velocidade e 2.06 - Sistema de Excitação</t>
        </is>
      </c>
      <c r="B65" s="380" t="n"/>
      <c r="C65" s="380" t="n"/>
      <c r="D65" s="380" t="n"/>
      <c r="E65" s="380" t="n"/>
      <c r="F65" s="380" t="n"/>
      <c r="G65" s="380" t="n"/>
      <c r="H65" s="380" t="n"/>
      <c r="I65" s="381" t="n"/>
      <c r="J65" s="1258" t="n"/>
      <c r="K65" s="380" t="n"/>
      <c r="L65" s="380" t="n"/>
      <c r="M65" s="385" t="n"/>
      <c r="N65" s="380" t="n"/>
      <c r="O65" s="383" t="n"/>
      <c r="P65" s="380" t="n"/>
      <c r="Q65" s="383" t="n"/>
      <c r="R65" s="380" t="n"/>
      <c r="S65" s="380" t="n"/>
      <c r="T65" s="380" t="n"/>
      <c r="U65" s="384">
        <f>_xlfn.CONCAT("VALOR TOTAL DA ET ",A65,)</f>
        <v/>
      </c>
      <c r="V65" s="1259">
        <f>SUM(V66:V99)</f>
        <v/>
      </c>
      <c r="W65" s="1260" t="n"/>
      <c r="X65" s="542" t="n"/>
      <c r="Y65" s="542" t="n"/>
    </row>
    <row r="66" ht="15" customHeight="1">
      <c r="A66" s="89" t="inlineStr">
        <is>
          <t>2.03.01</t>
        </is>
      </c>
      <c r="B66" s="90" t="inlineStr">
        <is>
          <t>SERVIÇO</t>
        </is>
      </c>
      <c r="C66" s="90" t="n"/>
      <c r="D66" s="90" t="n"/>
      <c r="E66" s="81" t="inlineStr">
        <is>
          <t>Engenharia e projeto executivo</t>
        </is>
      </c>
      <c r="F66" s="4" t="inlineStr">
        <is>
          <t>VB.</t>
        </is>
      </c>
      <c r="G66" s="91" t="n">
        <v>1</v>
      </c>
      <c r="H66" s="1289" t="n">
        <v>1223788.13</v>
      </c>
      <c r="I66" s="367" t="n"/>
      <c r="J66" s="1275" t="n"/>
      <c r="K66" s="18" t="n"/>
      <c r="L66" s="19" t="n"/>
      <c r="M66" s="233" t="inlineStr">
        <is>
          <t>INSIGHT/REIVAX</t>
        </is>
      </c>
      <c r="N66" s="234" t="n"/>
      <c r="O66" s="1276" t="n"/>
      <c r="P66" s="1277" t="n"/>
      <c r="Q66" s="1276" t="n"/>
      <c r="R66" s="1277" t="n"/>
      <c r="S66" s="1278" t="n"/>
      <c r="T66" s="1277" t="n"/>
      <c r="U66" s="1278" t="n"/>
      <c r="V66" s="1279">
        <f>G66*H66</f>
        <v/>
      </c>
      <c r="W66" s="1260" t="n"/>
    </row>
    <row r="67" ht="15" customFormat="1" customHeight="1" s="353">
      <c r="A67" s="341" t="n"/>
      <c r="B67" s="340" t="n"/>
      <c r="C67" s="340" t="inlineStr">
        <is>
          <t>.</t>
        </is>
      </c>
      <c r="D67" s="340" t="n"/>
      <c r="E67" s="342" t="n"/>
      <c r="F67" s="343" t="n"/>
      <c r="G67" s="344" t="n"/>
      <c r="H67" s="1267" t="n"/>
      <c r="I67" s="316" t="n"/>
      <c r="J67" s="1268" t="n"/>
      <c r="K67" s="345" t="n"/>
      <c r="L67" s="346" t="n"/>
      <c r="M67" s="347" t="n"/>
      <c r="N67" s="348" t="n"/>
      <c r="O67" s="1269" t="n"/>
      <c r="P67" s="1270" t="n"/>
      <c r="Q67" s="1269" t="n"/>
      <c r="R67" s="1270" t="n"/>
      <c r="S67" s="1271" t="n"/>
      <c r="T67" s="1270" t="n"/>
      <c r="U67" s="1271" t="n"/>
      <c r="V67" s="1272" t="n"/>
      <c r="W67" s="1290" t="n"/>
    </row>
    <row r="68" ht="27.6" customHeight="1">
      <c r="A68" s="89" t="inlineStr">
        <is>
          <t>2.03.02</t>
        </is>
      </c>
      <c r="B68" s="90" t="inlineStr">
        <is>
          <t>SERVIÇO</t>
        </is>
      </c>
      <c r="C68" s="90" t="n"/>
      <c r="D68" s="90" t="n"/>
      <c r="E68" s="81" t="inlineStr">
        <is>
          <t xml:space="preserve">Desmontagem dos painéis, materiais e equipamentos do sistema de regulação de velocidade e Sistema de excitação existente e respectiva infraestrutura </t>
        </is>
      </c>
      <c r="F68" s="4" t="inlineStr">
        <is>
          <t>VB.</t>
        </is>
      </c>
      <c r="G68" s="91" t="n">
        <v>1</v>
      </c>
      <c r="H68" s="1274" t="n">
        <v>1415876.28</v>
      </c>
      <c r="I68" s="367" t="n"/>
      <c r="J68" s="1275" t="n"/>
      <c r="K68" s="18" t="n"/>
      <c r="L68" s="19" t="n"/>
      <c r="M68" s="233" t="inlineStr">
        <is>
          <t>INSIGHT ENERGY</t>
        </is>
      </c>
      <c r="N68" s="234" t="n"/>
      <c r="O68" s="1276" t="n"/>
      <c r="P68" s="1277" t="n"/>
      <c r="Q68" s="1276" t="n"/>
      <c r="R68" s="1277" t="n"/>
      <c r="S68" s="1278" t="n"/>
      <c r="T68" s="1277" t="n"/>
      <c r="U68" s="1278" t="n"/>
      <c r="V68" s="1279">
        <f>G68*H68</f>
        <v/>
      </c>
    </row>
    <row r="69" ht="15" customFormat="1" customHeight="1" s="353">
      <c r="A69" s="341" t="n"/>
      <c r="B69" s="340" t="n"/>
      <c r="C69" s="340" t="inlineStr">
        <is>
          <t>.</t>
        </is>
      </c>
      <c r="D69" s="340" t="n"/>
      <c r="E69" s="342" t="n"/>
      <c r="F69" s="343" t="n"/>
      <c r="G69" s="344" t="n"/>
      <c r="H69" s="1267" t="n"/>
      <c r="I69" s="316" t="n"/>
      <c r="J69" s="1268" t="n"/>
      <c r="K69" s="345" t="n"/>
      <c r="L69" s="346" t="n"/>
      <c r="M69" s="347" t="n"/>
      <c r="N69" s="348" t="n"/>
      <c r="O69" s="1269" t="n"/>
      <c r="P69" s="1270" t="n"/>
      <c r="Q69" s="1269" t="n"/>
      <c r="R69" s="1270" t="n"/>
      <c r="S69" s="1271" t="n"/>
      <c r="T69" s="1270" t="n"/>
      <c r="U69" s="1271" t="n"/>
      <c r="V69" s="1272" t="n"/>
    </row>
    <row r="70" ht="15" customHeight="1">
      <c r="A70" s="89" t="inlineStr">
        <is>
          <t>2.03.03</t>
        </is>
      </c>
      <c r="B70" s="90" t="inlineStr">
        <is>
          <t>SERVIÇO</t>
        </is>
      </c>
      <c r="C70" s="90" t="n"/>
      <c r="D70" s="90" t="n"/>
      <c r="E70" s="81" t="inlineStr">
        <is>
          <t>Montagem eletromecânica completa</t>
        </is>
      </c>
      <c r="F70" s="4" t="inlineStr">
        <is>
          <t>VB.</t>
        </is>
      </c>
      <c r="G70" s="91" t="n">
        <v>1</v>
      </c>
      <c r="H70" s="1274" t="n">
        <v>1415876.28</v>
      </c>
      <c r="I70" s="367" t="n"/>
      <c r="J70" s="1275" t="n"/>
      <c r="K70" s="18" t="n"/>
      <c r="L70" s="19" t="n"/>
      <c r="M70" s="233" t="inlineStr">
        <is>
          <t>INSIGHT ENERGY</t>
        </is>
      </c>
      <c r="N70" s="234" t="n"/>
      <c r="O70" s="1276" t="n"/>
      <c r="P70" s="1277" t="n"/>
      <c r="Q70" s="1276" t="n"/>
      <c r="R70" s="1277" t="n"/>
      <c r="S70" s="1278" t="n"/>
      <c r="T70" s="1277" t="n"/>
      <c r="U70" s="1278" t="n"/>
      <c r="V70" s="1279">
        <f>G70*H70</f>
        <v/>
      </c>
    </row>
    <row r="71" ht="15" customFormat="1" customHeight="1" s="353">
      <c r="A71" s="341" t="n"/>
      <c r="B71" s="340" t="n"/>
      <c r="C71" s="340" t="inlineStr">
        <is>
          <t>.</t>
        </is>
      </c>
      <c r="D71" s="340" t="n"/>
      <c r="E71" s="342" t="n"/>
      <c r="F71" s="343" t="n"/>
      <c r="G71" s="344" t="n"/>
      <c r="H71" s="1267" t="n"/>
      <c r="I71" s="316" t="n"/>
      <c r="J71" s="1268" t="n"/>
      <c r="K71" s="345" t="n"/>
      <c r="L71" s="346" t="n"/>
      <c r="M71" s="347" t="n"/>
      <c r="N71" s="348" t="n"/>
      <c r="O71" s="1269" t="n"/>
      <c r="P71" s="1270" t="n"/>
      <c r="Q71" s="1269" t="n"/>
      <c r="R71" s="1270" t="n"/>
      <c r="S71" s="1271" t="n"/>
      <c r="T71" s="1270" t="n"/>
      <c r="U71" s="1271" t="n"/>
      <c r="V71" s="1272" t="n"/>
    </row>
    <row r="72" ht="15" customHeight="1">
      <c r="A72" s="89" t="inlineStr">
        <is>
          <t>2.03.04</t>
        </is>
      </c>
      <c r="B72" s="90" t="inlineStr">
        <is>
          <t>SERVIÇO</t>
        </is>
      </c>
      <c r="C72" s="90" t="n"/>
      <c r="D72" s="90" t="n"/>
      <c r="E72" s="81" t="inlineStr">
        <is>
          <t>Supervisão, ensaios de campo e comissionamento</t>
        </is>
      </c>
      <c r="F72" s="4" t="inlineStr">
        <is>
          <t>VB.</t>
        </is>
      </c>
      <c r="G72" s="91" t="n">
        <v>1</v>
      </c>
      <c r="H72" s="1289" t="n">
        <v>393117</v>
      </c>
      <c r="I72" s="367" t="n"/>
      <c r="J72" s="1275" t="n"/>
      <c r="K72" s="18" t="n"/>
      <c r="L72" s="19" t="n"/>
      <c r="M72" s="233" t="inlineStr">
        <is>
          <t>REIVAX</t>
        </is>
      </c>
      <c r="N72" s="234" t="n"/>
      <c r="O72" s="1276" t="n"/>
      <c r="P72" s="1277" t="n"/>
      <c r="Q72" s="1276" t="n"/>
      <c r="R72" s="1277" t="n"/>
      <c r="S72" s="1278" t="n"/>
      <c r="T72" s="1277" t="n"/>
      <c r="U72" s="1278" t="n"/>
      <c r="V72" s="1279">
        <f>G72*H72</f>
        <v/>
      </c>
    </row>
    <row r="73" ht="15" customFormat="1" customHeight="1" s="353">
      <c r="A73" s="341" t="n"/>
      <c r="B73" s="340" t="n"/>
      <c r="C73" s="340" t="inlineStr">
        <is>
          <t>.</t>
        </is>
      </c>
      <c r="D73" s="340" t="n"/>
      <c r="E73" s="342" t="n"/>
      <c r="F73" s="343" t="n"/>
      <c r="G73" s="344" t="n"/>
      <c r="H73" s="1267" t="n"/>
      <c r="I73" s="316" t="n"/>
      <c r="J73" s="1268" t="n"/>
      <c r="K73" s="345" t="n"/>
      <c r="L73" s="346" t="n"/>
      <c r="M73" s="347" t="n"/>
      <c r="N73" s="348" t="n"/>
      <c r="O73" s="1269" t="n"/>
      <c r="P73" s="1270" t="n"/>
      <c r="Q73" s="1269" t="n"/>
      <c r="R73" s="1270" t="n"/>
      <c r="S73" s="1271" t="n"/>
      <c r="T73" s="1270" t="n"/>
      <c r="U73" s="1271" t="n"/>
      <c r="V73" s="1272" t="n"/>
    </row>
    <row r="74" ht="27.6" customHeight="1">
      <c r="A74" s="89" t="inlineStr">
        <is>
          <t>2.03.05</t>
        </is>
      </c>
      <c r="B74" s="90" t="inlineStr">
        <is>
          <t>MATERIAL</t>
        </is>
      </c>
      <c r="C74" s="90" t="n"/>
      <c r="D74" s="90" t="n"/>
      <c r="E74" s="81" t="inlineStr">
        <is>
          <t>Painel completo contendo o Regulador de Velocidade Digital da Unidade Geradora, incluindo IHM</t>
        </is>
      </c>
      <c r="F74" s="4" t="inlineStr">
        <is>
          <t>CJ.</t>
        </is>
      </c>
      <c r="G74" s="91" t="n">
        <v>4</v>
      </c>
      <c r="H74" s="1289" t="n">
        <v>92196.62</v>
      </c>
      <c r="I74" s="367" t="n"/>
      <c r="J74" s="1275" t="n"/>
      <c r="K74" s="1278" t="n"/>
      <c r="L74" s="1277" t="n"/>
      <c r="M74" s="236" t="inlineStr">
        <is>
          <t>REIVAX</t>
        </is>
      </c>
      <c r="N74" s="237" t="n"/>
      <c r="O74" s="302" t="n"/>
      <c r="P74" s="309" t="n"/>
      <c r="Q74" s="310" t="n"/>
      <c r="R74" s="310" t="n"/>
      <c r="S74" s="311" t="n"/>
      <c r="T74" s="311" t="n"/>
      <c r="U74" s="309" t="n"/>
      <c r="V74" s="1279">
        <f>G74*H74</f>
        <v/>
      </c>
    </row>
    <row r="75" ht="15" customFormat="1" customHeight="1" s="353">
      <c r="A75" s="341" t="n"/>
      <c r="B75" s="340" t="n"/>
      <c r="C75" s="340" t="inlineStr">
        <is>
          <t>.</t>
        </is>
      </c>
      <c r="D75" s="340" t="n"/>
      <c r="E75" s="342" t="n"/>
      <c r="F75" s="343" t="n"/>
      <c r="G75" s="344" t="n"/>
      <c r="H75" s="1267" t="n"/>
      <c r="I75" s="316" t="n"/>
      <c r="J75" s="1268" t="n"/>
      <c r="K75" s="345" t="n"/>
      <c r="L75" s="346" t="n"/>
      <c r="M75" s="347" t="n"/>
      <c r="N75" s="348" t="n"/>
      <c r="O75" s="1269" t="n"/>
      <c r="P75" s="1270" t="n"/>
      <c r="Q75" s="1269" t="n"/>
      <c r="R75" s="1270" t="n"/>
      <c r="S75" s="1271" t="n"/>
      <c r="T75" s="1270" t="n"/>
      <c r="U75" s="1271" t="n"/>
      <c r="V75" s="1272" t="n"/>
    </row>
    <row r="76" ht="69" customHeight="1">
      <c r="A76" s="89" t="inlineStr">
        <is>
          <t>2.03.06</t>
        </is>
      </c>
      <c r="B76" s="90" t="inlineStr">
        <is>
          <t>MATERIAL</t>
        </is>
      </c>
      <c r="C76" s="90" t="n"/>
      <c r="D76" s="90" t="n"/>
      <c r="E76" s="81" t="inlineStr">
        <is>
          <t>Instrumentação e demais dispositivos elétricos e mecânicos necessários à operação e integração do SRV da Unidade Geradora (chaves fim de curso, válvulas, solenóides, sensores, pêndulos de sobrevelocidade, sistemas de medição de velocidade, transdutores, geradores de sinal de velocidade tipo roda dentada, dentre outros)</t>
        </is>
      </c>
      <c r="F76" s="4" t="inlineStr">
        <is>
          <t>CJ.</t>
        </is>
      </c>
      <c r="G76" s="91" t="n">
        <v>4</v>
      </c>
      <c r="H76" s="1274" t="n">
        <v>193933.29</v>
      </c>
      <c r="I76" s="367" t="n"/>
      <c r="J76" s="1275" t="n"/>
      <c r="K76" s="1278" t="n"/>
      <c r="L76" s="1277" t="n"/>
      <c r="M76" s="236" t="inlineStr">
        <is>
          <t>REIVAX</t>
        </is>
      </c>
      <c r="N76" s="237" t="n"/>
      <c r="O76" s="302" t="n"/>
      <c r="P76" s="309" t="n"/>
      <c r="Q76" s="310" t="n"/>
      <c r="R76" s="310" t="n"/>
      <c r="S76" s="311" t="n"/>
      <c r="T76" s="311" t="n"/>
      <c r="U76" s="309" t="n"/>
      <c r="V76" s="1279">
        <f>G76*H76</f>
        <v/>
      </c>
    </row>
    <row r="77" ht="15" customFormat="1" customHeight="1" s="353">
      <c r="A77" s="341" t="n"/>
      <c r="B77" s="340" t="n"/>
      <c r="C77" s="340" t="inlineStr">
        <is>
          <t>.</t>
        </is>
      </c>
      <c r="D77" s="340" t="n"/>
      <c r="E77" s="342" t="n"/>
      <c r="F77" s="343" t="n"/>
      <c r="G77" s="344" t="n"/>
      <c r="H77" s="1267" t="n"/>
      <c r="I77" s="316" t="n"/>
      <c r="J77" s="1268" t="n"/>
      <c r="K77" s="345" t="n"/>
      <c r="L77" s="346" t="n"/>
      <c r="M77" s="347" t="n"/>
      <c r="N77" s="348" t="n"/>
      <c r="O77" s="1269" t="n"/>
      <c r="P77" s="1270" t="n"/>
      <c r="Q77" s="1269" t="n"/>
      <c r="R77" s="1270" t="n"/>
      <c r="S77" s="1271" t="n"/>
      <c r="T77" s="1270" t="n"/>
      <c r="U77" s="1271" t="n"/>
      <c r="V77" s="1272" t="n"/>
    </row>
    <row r="78" ht="27.6" customHeight="1">
      <c r="A78" s="89" t="inlineStr">
        <is>
          <t>2.03.07</t>
        </is>
      </c>
      <c r="B78" s="80" t="inlineStr">
        <is>
          <t>MATERIAL</t>
        </is>
      </c>
      <c r="C78" s="80" t="n"/>
      <c r="D78" s="80" t="n"/>
      <c r="E78" s="81" t="inlineStr">
        <is>
          <t>Sistema de excitação estática completos com tecnologia de controle digital, incluindo todos equipamentos, materiais e acessórios</t>
        </is>
      </c>
      <c r="F78" s="83" t="inlineStr">
        <is>
          <t>CJ.</t>
        </is>
      </c>
      <c r="G78" s="91" t="n">
        <v>4</v>
      </c>
      <c r="H78" s="1274" t="n">
        <v>434194.87</v>
      </c>
      <c r="I78" s="367" t="n"/>
      <c r="J78" s="1275" t="n"/>
      <c r="K78" s="1278" t="n"/>
      <c r="L78" s="1277" t="n"/>
      <c r="M78" s="236" t="inlineStr">
        <is>
          <t>REIVAX</t>
        </is>
      </c>
      <c r="N78" s="237" t="n"/>
      <c r="O78" s="302" t="n"/>
      <c r="P78" s="309" t="n"/>
      <c r="Q78" s="310" t="n"/>
      <c r="R78" s="310" t="n"/>
      <c r="S78" s="311" t="n"/>
      <c r="T78" s="311" t="n"/>
      <c r="U78" s="309" t="n"/>
      <c r="V78" s="1279">
        <f>G78*H78</f>
        <v/>
      </c>
    </row>
    <row r="79" ht="15" customFormat="1" customHeight="1" s="353">
      <c r="A79" s="341" t="n"/>
      <c r="B79" s="340" t="n"/>
      <c r="C79" s="340" t="inlineStr">
        <is>
          <t>.</t>
        </is>
      </c>
      <c r="D79" s="340" t="n"/>
      <c r="E79" s="342" t="n"/>
      <c r="F79" s="343" t="n"/>
      <c r="G79" s="344" t="n"/>
      <c r="H79" s="1267" t="n"/>
      <c r="I79" s="316" t="n"/>
      <c r="J79" s="1268" t="n"/>
      <c r="K79" s="345" t="n"/>
      <c r="L79" s="346" t="n"/>
      <c r="M79" s="347" t="n"/>
      <c r="N79" s="348" t="n"/>
      <c r="O79" s="1269" t="n"/>
      <c r="P79" s="1270" t="n"/>
      <c r="Q79" s="1269" t="n"/>
      <c r="R79" s="1270" t="n"/>
      <c r="S79" s="1271" t="n"/>
      <c r="T79" s="1270" t="n"/>
      <c r="U79" s="1271" t="n"/>
      <c r="V79" s="1272" t="n"/>
    </row>
    <row r="80" ht="27.6" customHeight="1">
      <c r="A80" s="89" t="inlineStr">
        <is>
          <t>2.03.08</t>
        </is>
      </c>
      <c r="B80" s="80" t="inlineStr">
        <is>
          <t>MATERIAL</t>
        </is>
      </c>
      <c r="C80" s="80" t="n"/>
      <c r="D80" s="80" t="n"/>
      <c r="E80" s="81" t="inlineStr">
        <is>
          <t>Transformadores de excitação trifásicos a seco com enrolamentos em cobre, proteções e acessórios</t>
        </is>
      </c>
      <c r="F80" s="83" t="inlineStr">
        <is>
          <t>CJ.</t>
        </is>
      </c>
      <c r="G80" s="91" t="n">
        <v>4</v>
      </c>
      <c r="H80" s="1274" t="n">
        <v>299120</v>
      </c>
      <c r="I80" s="367" t="n"/>
      <c r="J80" s="1275" t="n"/>
      <c r="K80" s="1278" t="n"/>
      <c r="L80" s="1277" t="n"/>
      <c r="M80" s="233" t="inlineStr">
        <is>
          <t>INSIGHT ENERGY</t>
        </is>
      </c>
      <c r="N80" s="237" t="n"/>
      <c r="O80" s="302" t="n"/>
      <c r="P80" s="309" t="n"/>
      <c r="Q80" s="310" t="n"/>
      <c r="R80" s="310" t="n"/>
      <c r="S80" s="311" t="n"/>
      <c r="T80" s="311" t="n"/>
      <c r="U80" s="309" t="n"/>
      <c r="V80" s="1279">
        <f>G80*H80</f>
        <v/>
      </c>
    </row>
    <row r="81" ht="15" customFormat="1" customHeight="1" s="353">
      <c r="A81" s="341" t="n"/>
      <c r="B81" s="340" t="n"/>
      <c r="C81" s="340" t="inlineStr">
        <is>
          <t>.</t>
        </is>
      </c>
      <c r="D81" s="340" t="n"/>
      <c r="E81" s="342" t="n"/>
      <c r="F81" s="343" t="n"/>
      <c r="G81" s="344" t="n"/>
      <c r="H81" s="1267" t="n"/>
      <c r="I81" s="316" t="n"/>
      <c r="J81" s="1268" t="n"/>
      <c r="K81" s="345" t="n"/>
      <c r="L81" s="346" t="n"/>
      <c r="M81" s="347" t="n"/>
      <c r="N81" s="348" t="n"/>
      <c r="O81" s="1269" t="n"/>
      <c r="P81" s="1270" t="n"/>
      <c r="Q81" s="1269" t="n"/>
      <c r="R81" s="1270" t="n"/>
      <c r="S81" s="1271" t="n"/>
      <c r="T81" s="1270" t="n"/>
      <c r="U81" s="1271" t="n"/>
      <c r="V81" s="1272" t="n"/>
    </row>
    <row r="82" ht="27.6" customHeight="1">
      <c r="A82" s="89" t="inlineStr">
        <is>
          <t>2.03.09</t>
        </is>
      </c>
      <c r="B82" s="80" t="inlineStr">
        <is>
          <t>MATERIAL</t>
        </is>
      </c>
      <c r="C82" s="80" t="n"/>
      <c r="D82" s="80" t="n"/>
      <c r="E82" s="81" t="inlineStr">
        <is>
          <t>Cubículos, disjuntores de campo, sistemas de excitação inicial e circuitos de desexcitação</t>
        </is>
      </c>
      <c r="F82" s="83" t="inlineStr">
        <is>
          <t>CJ.</t>
        </is>
      </c>
      <c r="G82" s="91" t="n">
        <v>4</v>
      </c>
      <c r="H82" s="1274" t="n">
        <v>135361.62</v>
      </c>
      <c r="I82" s="367" t="n"/>
      <c r="J82" s="1275" t="n"/>
      <c r="K82" s="1278" t="n"/>
      <c r="L82" s="1277" t="n"/>
      <c r="M82" s="236" t="inlineStr">
        <is>
          <t>REIVAX</t>
        </is>
      </c>
      <c r="N82" s="237" t="n"/>
      <c r="O82" s="302" t="n"/>
      <c r="P82" s="309" t="n"/>
      <c r="Q82" s="310" t="n"/>
      <c r="R82" s="310" t="n"/>
      <c r="S82" s="311" t="n"/>
      <c r="T82" s="311" t="n"/>
      <c r="U82" s="309" t="n"/>
      <c r="V82" s="1279">
        <f>G82*H82</f>
        <v/>
      </c>
    </row>
    <row r="83" ht="15" customFormat="1" customHeight="1" s="353">
      <c r="A83" s="341" t="n"/>
      <c r="B83" s="340" t="n"/>
      <c r="C83" s="340" t="inlineStr">
        <is>
          <t>.</t>
        </is>
      </c>
      <c r="D83" s="340" t="n"/>
      <c r="E83" s="342" t="n"/>
      <c r="F83" s="343" t="n"/>
      <c r="G83" s="344" t="n"/>
      <c r="H83" s="1267" t="n"/>
      <c r="I83" s="316" t="n"/>
      <c r="J83" s="1268" t="n"/>
      <c r="K83" s="345" t="n"/>
      <c r="L83" s="346" t="n"/>
      <c r="M83" s="347" t="n"/>
      <c r="N83" s="348" t="n"/>
      <c r="O83" s="1269" t="n"/>
      <c r="P83" s="1270" t="n"/>
      <c r="Q83" s="1269" t="n"/>
      <c r="R83" s="1270" t="n"/>
      <c r="S83" s="1271" t="n"/>
      <c r="T83" s="1270" t="n"/>
      <c r="U83" s="1271" t="n"/>
      <c r="V83" s="1272" t="n"/>
    </row>
    <row r="84" ht="27.6" customHeight="1">
      <c r="A84" s="89" t="inlineStr">
        <is>
          <t>2.03.10</t>
        </is>
      </c>
      <c r="B84" s="80" t="inlineStr">
        <is>
          <t>MATERIAL</t>
        </is>
      </c>
      <c r="C84" s="80" t="n"/>
      <c r="D84" s="80" t="n"/>
      <c r="E84" s="81" t="inlineStr">
        <is>
          <t>Micro computador do tipo notebook, com a configuração adequada aos programas e aplicativos dos equipamentos do SRT e do SRV</t>
        </is>
      </c>
      <c r="F84" s="83" t="inlineStr">
        <is>
          <t>CJ.</t>
        </is>
      </c>
      <c r="G84" s="91" t="n">
        <v>1</v>
      </c>
      <c r="H84" s="1274" t="n">
        <v>20232.38</v>
      </c>
      <c r="I84" s="367" t="n"/>
      <c r="J84" s="1275" t="n"/>
      <c r="K84" s="1278" t="n"/>
      <c r="L84" s="1277" t="n"/>
      <c r="M84" s="236" t="inlineStr">
        <is>
          <t>REIVAX</t>
        </is>
      </c>
      <c r="N84" s="237" t="n"/>
      <c r="O84" s="302" t="n"/>
      <c r="P84" s="309" t="n"/>
      <c r="Q84" s="310" t="n"/>
      <c r="R84" s="310" t="n"/>
      <c r="S84" s="311" t="n"/>
      <c r="T84" s="311" t="n"/>
      <c r="U84" s="309" t="n"/>
      <c r="V84" s="1279">
        <f>G84*H84</f>
        <v/>
      </c>
    </row>
    <row r="85" ht="15" customFormat="1" customHeight="1" s="353">
      <c r="A85" s="341" t="n"/>
      <c r="B85" s="340" t="n"/>
      <c r="C85" s="340" t="inlineStr">
        <is>
          <t>.</t>
        </is>
      </c>
      <c r="D85" s="340" t="n"/>
      <c r="E85" s="342" t="n"/>
      <c r="F85" s="343" t="n"/>
      <c r="G85" s="344" t="n"/>
      <c r="H85" s="1267" t="n"/>
      <c r="I85" s="316" t="n"/>
      <c r="J85" s="1268" t="n"/>
      <c r="K85" s="345" t="n"/>
      <c r="L85" s="346" t="n"/>
      <c r="M85" s="347" t="n"/>
      <c r="N85" s="348" t="n"/>
      <c r="O85" s="1269" t="n"/>
      <c r="P85" s="1270" t="n"/>
      <c r="Q85" s="1269" t="n"/>
      <c r="R85" s="1270" t="n"/>
      <c r="S85" s="1271" t="n"/>
      <c r="T85" s="1270" t="n"/>
      <c r="U85" s="1271" t="n"/>
      <c r="V85" s="1272" t="n"/>
    </row>
    <row r="86" ht="55.2" customHeight="1">
      <c r="A86" s="89" t="inlineStr">
        <is>
          <t>2.03.11</t>
        </is>
      </c>
      <c r="B86" s="80" t="inlineStr">
        <is>
          <t>MATERIAL</t>
        </is>
      </c>
      <c r="C86" s="80" t="n"/>
      <c r="D86" s="80" t="n"/>
      <c r="E86" s="81" t="inlineStr">
        <is>
          <t>Licenças de softwares de todos os componentes que necessitem delas para uso completo tais como IHM, PLC e todos aqueles que dependam de software para alteração, bem como os hardlocks e licenças de uso irrestrito para todos os softwares e hardwares aplicados</t>
        </is>
      </c>
      <c r="F86" s="83" t="inlineStr">
        <is>
          <t>CJ.</t>
        </is>
      </c>
      <c r="G86" s="91" t="n">
        <v>2</v>
      </c>
      <c r="H86" s="1274" t="n">
        <v>25290.39</v>
      </c>
      <c r="I86" s="367" t="n"/>
      <c r="J86" s="1275" t="n"/>
      <c r="K86" s="1278" t="n"/>
      <c r="L86" s="1277" t="n"/>
      <c r="M86" s="236" t="inlineStr">
        <is>
          <t>REIVAX</t>
        </is>
      </c>
      <c r="N86" s="237" t="n"/>
      <c r="O86" s="302" t="n"/>
      <c r="P86" s="309" t="n"/>
      <c r="Q86" s="310" t="n"/>
      <c r="R86" s="310" t="n"/>
      <c r="S86" s="311" t="n"/>
      <c r="T86" s="311" t="n"/>
      <c r="U86" s="309" t="n"/>
      <c r="V86" s="1279">
        <f>G86*H86</f>
        <v/>
      </c>
    </row>
    <row r="87" ht="15" customFormat="1" customHeight="1" s="353">
      <c r="A87" s="341" t="n"/>
      <c r="B87" s="340" t="n"/>
      <c r="C87" s="340" t="inlineStr">
        <is>
          <t>.</t>
        </is>
      </c>
      <c r="D87" s="340" t="n"/>
      <c r="E87" s="342" t="n"/>
      <c r="F87" s="343" t="n"/>
      <c r="G87" s="344" t="n"/>
      <c r="H87" s="1267" t="n"/>
      <c r="I87" s="316" t="n"/>
      <c r="J87" s="1268" t="n"/>
      <c r="K87" s="345" t="n"/>
      <c r="L87" s="346" t="n"/>
      <c r="M87" s="347" t="n"/>
      <c r="N87" s="348" t="n"/>
      <c r="O87" s="1269" t="n"/>
      <c r="P87" s="1270" t="n"/>
      <c r="Q87" s="1269" t="n"/>
      <c r="R87" s="1270" t="n"/>
      <c r="S87" s="1271" t="n"/>
      <c r="T87" s="1270" t="n"/>
      <c r="U87" s="1271" t="n"/>
      <c r="V87" s="1272" t="n"/>
    </row>
    <row r="88" ht="45" customHeight="1">
      <c r="A88" s="89" t="inlineStr">
        <is>
          <t>2.03.12</t>
        </is>
      </c>
      <c r="B88" s="90" t="inlineStr">
        <is>
          <t>MATERIAL</t>
        </is>
      </c>
      <c r="C88" s="90" t="n"/>
      <c r="D88" s="90" t="n"/>
      <c r="E88" s="81" t="inlineStr">
        <is>
          <t>Servomotores principais da turbina hidráulica da unidade geradora, completos</t>
        </is>
      </c>
      <c r="F88" s="4" t="inlineStr">
        <is>
          <t>CJ.</t>
        </is>
      </c>
      <c r="G88" s="91" t="n">
        <v>8</v>
      </c>
      <c r="H88" s="1274">
        <f>163564.35/2</f>
        <v/>
      </c>
      <c r="I88" s="367" t="n"/>
      <c r="J88" s="1275" t="n"/>
      <c r="K88" s="1278" t="n"/>
      <c r="L88" s="1277" t="n"/>
      <c r="M88" s="233" t="inlineStr">
        <is>
          <t>HINE</t>
        </is>
      </c>
      <c r="N88" s="237" t="n"/>
      <c r="O88" s="302" t="n"/>
      <c r="P88" s="309" t="n"/>
      <c r="Q88" s="310" t="n"/>
      <c r="R88" s="310" t="n"/>
      <c r="S88" s="311" t="n"/>
      <c r="T88" s="311" t="n"/>
      <c r="U88" s="309" t="n"/>
      <c r="V88" s="1279">
        <f>G88*H88</f>
        <v/>
      </c>
    </row>
    <row r="89" ht="15" customFormat="1" customHeight="1" s="353">
      <c r="A89" s="341" t="n"/>
      <c r="B89" s="340" t="n"/>
      <c r="C89" s="340" t="inlineStr">
        <is>
          <t>.</t>
        </is>
      </c>
      <c r="D89" s="340" t="n"/>
      <c r="E89" s="342" t="n"/>
      <c r="F89" s="343" t="n"/>
      <c r="G89" s="344" t="n"/>
      <c r="H89" s="1267" t="n"/>
      <c r="I89" s="316" t="n"/>
      <c r="J89" s="1268" t="n"/>
      <c r="K89" s="345" t="n"/>
      <c r="L89" s="346" t="n"/>
      <c r="M89" s="347" t="n"/>
      <c r="N89" s="348" t="n"/>
      <c r="O89" s="1269" t="n"/>
      <c r="P89" s="1270" t="n"/>
      <c r="Q89" s="1269" t="n"/>
      <c r="R89" s="1270" t="n"/>
      <c r="S89" s="1271" t="n"/>
      <c r="T89" s="1270" t="n"/>
      <c r="U89" s="1271" t="n"/>
      <c r="V89" s="1272" t="n"/>
    </row>
    <row r="90" ht="55.2" customHeight="1">
      <c r="A90" s="89" t="inlineStr">
        <is>
          <t>2.03.13</t>
        </is>
      </c>
      <c r="B90" s="90" t="inlineStr">
        <is>
          <t>MATERIAL</t>
        </is>
      </c>
      <c r="C90" s="90" t="n"/>
      <c r="D90" s="90" t="n"/>
      <c r="E90" s="81" t="inlineStr">
        <is>
          <t>Unidade Hidráulica completa da Unidade Geradora, contendo acumulador de pressão com nitrogênio-óleo, tanque de armazenamento de óleo, moto-bombas, eletroválvulas de controle, sensores, transdutores, sistemas de controle, trocadores de calor, filtros, painel local de comando e controle, etc.</t>
        </is>
      </c>
      <c r="F90" s="4" t="inlineStr">
        <is>
          <t>CJ.</t>
        </is>
      </c>
      <c r="G90" s="91" t="n">
        <v>4</v>
      </c>
      <c r="H90" s="1274" t="n">
        <v>718915.0699999999</v>
      </c>
      <c r="I90" s="367" t="n"/>
      <c r="J90" s="1275" t="n"/>
      <c r="K90" s="1278" t="n"/>
      <c r="L90" s="1277" t="n"/>
      <c r="M90" s="233" t="inlineStr">
        <is>
          <t>HINE</t>
        </is>
      </c>
      <c r="N90" s="237" t="n"/>
      <c r="O90" s="302" t="n"/>
      <c r="P90" s="309" t="n"/>
      <c r="Q90" s="310" t="n"/>
      <c r="R90" s="310" t="n"/>
      <c r="S90" s="311" t="n"/>
      <c r="T90" s="311" t="n"/>
      <c r="U90" s="309" t="n"/>
      <c r="V90" s="1279">
        <f>G90*H90</f>
        <v/>
      </c>
    </row>
    <row r="91" ht="15" customFormat="1" customHeight="1" s="353">
      <c r="A91" s="341" t="n"/>
      <c r="B91" s="340" t="n"/>
      <c r="C91" s="340" t="inlineStr">
        <is>
          <t>.</t>
        </is>
      </c>
      <c r="D91" s="340" t="n"/>
      <c r="E91" s="342" t="n"/>
      <c r="F91" s="343" t="n"/>
      <c r="G91" s="344" t="n"/>
      <c r="H91" s="1267" t="n"/>
      <c r="I91" s="316" t="n"/>
      <c r="J91" s="1268" t="n"/>
      <c r="K91" s="345" t="n"/>
      <c r="L91" s="346" t="n"/>
      <c r="M91" s="347" t="n"/>
      <c r="N91" s="348" t="n"/>
      <c r="O91" s="1269" t="n"/>
      <c r="P91" s="1270" t="n"/>
      <c r="Q91" s="1269" t="n"/>
      <c r="R91" s="1270" t="n"/>
      <c r="S91" s="1271" t="n"/>
      <c r="T91" s="1270" t="n"/>
      <c r="U91" s="1271" t="n"/>
      <c r="V91" s="1272" t="n"/>
    </row>
    <row r="92" ht="27.6" customHeight="1">
      <c r="A92" s="89" t="inlineStr">
        <is>
          <t>2.03.14</t>
        </is>
      </c>
      <c r="B92" s="90" t="inlineStr">
        <is>
          <t>MATERIAL</t>
        </is>
      </c>
      <c r="C92" s="90" t="n"/>
      <c r="D92" s="90" t="n"/>
      <c r="E92" s="81" t="inlineStr">
        <is>
          <t>Motobomba portátil com filtro para esgotar as unidades hidráulicas e os servomotores em manutenção</t>
        </is>
      </c>
      <c r="F92" s="4" t="inlineStr">
        <is>
          <t>CJ.</t>
        </is>
      </c>
      <c r="G92" s="91" t="n">
        <v>1</v>
      </c>
      <c r="H92" s="1274" t="n">
        <v>11467.31</v>
      </c>
      <c r="I92" s="367" t="n"/>
      <c r="J92" s="1275" t="n"/>
      <c r="K92" s="1278" t="n"/>
      <c r="L92" s="1277" t="n"/>
      <c r="M92" s="233" t="inlineStr">
        <is>
          <t>HINE</t>
        </is>
      </c>
      <c r="N92" s="290" t="n"/>
      <c r="O92" s="302" t="n"/>
      <c r="P92" s="309" t="n"/>
      <c r="Q92" s="310" t="n"/>
      <c r="R92" s="310" t="n"/>
      <c r="S92" s="311" t="n"/>
      <c r="T92" s="311" t="n"/>
      <c r="U92" s="309" t="n"/>
      <c r="V92" s="1279">
        <f>G92*H92</f>
        <v/>
      </c>
    </row>
    <row r="93" ht="15" customFormat="1" customHeight="1" s="353">
      <c r="A93" s="341" t="n"/>
      <c r="B93" s="340" t="n"/>
      <c r="C93" s="340" t="inlineStr">
        <is>
          <t>.</t>
        </is>
      </c>
      <c r="D93" s="340" t="n"/>
      <c r="E93" s="342" t="n"/>
      <c r="F93" s="343" t="n"/>
      <c r="G93" s="344" t="n"/>
      <c r="H93" s="1267" t="n"/>
      <c r="I93" s="316" t="n"/>
      <c r="J93" s="1268" t="n"/>
      <c r="K93" s="345" t="n"/>
      <c r="L93" s="346" t="n"/>
      <c r="M93" s="347" t="n"/>
      <c r="N93" s="348" t="n"/>
      <c r="O93" s="1269" t="n"/>
      <c r="P93" s="1270" t="n"/>
      <c r="Q93" s="1269" t="n"/>
      <c r="R93" s="1270" t="n"/>
      <c r="S93" s="1271" t="n"/>
      <c r="T93" s="1270" t="n"/>
      <c r="U93" s="1271" t="n"/>
      <c r="V93" s="1272" t="n"/>
    </row>
    <row r="94" ht="27.6" customHeight="1">
      <c r="A94" s="89" t="inlineStr">
        <is>
          <t>2.03.15</t>
        </is>
      </c>
      <c r="B94" s="90" t="inlineStr">
        <is>
          <t>MATERIAL</t>
        </is>
      </c>
      <c r="C94" s="90" t="n"/>
      <c r="D94" s="90" t="n"/>
      <c r="E94" s="81" t="inlineStr">
        <is>
          <t>Cabos de força e de controle para interligação entre os cubículos novos e para adaptação com os circuitos atualmente existentes</t>
        </is>
      </c>
      <c r="F94" s="4" t="inlineStr">
        <is>
          <t>CJ.</t>
        </is>
      </c>
      <c r="G94" s="91" t="n">
        <v>4</v>
      </c>
      <c r="H94" s="1274" t="n">
        <v>119119.1325</v>
      </c>
      <c r="I94" s="367" t="n"/>
      <c r="J94" s="1275" t="n"/>
      <c r="K94" s="1278" t="n"/>
      <c r="L94" s="1277" t="n"/>
      <c r="M94" s="236" t="inlineStr">
        <is>
          <t>INSIGHT ENERGY</t>
        </is>
      </c>
      <c r="N94" s="237" t="n"/>
      <c r="O94" s="302" t="n"/>
      <c r="P94" s="309" t="n"/>
      <c r="Q94" s="310" t="n"/>
      <c r="R94" s="310" t="n"/>
      <c r="S94" s="311" t="n"/>
      <c r="T94" s="311" t="n"/>
      <c r="U94" s="309" t="n"/>
      <c r="V94" s="1279">
        <f>G94*H94</f>
        <v/>
      </c>
    </row>
    <row r="95" ht="15" customFormat="1" customHeight="1" s="353">
      <c r="A95" s="341" t="n"/>
      <c r="B95" s="340" t="n"/>
      <c r="C95" s="340" t="inlineStr">
        <is>
          <t>.</t>
        </is>
      </c>
      <c r="D95" s="340" t="n"/>
      <c r="E95" s="342" t="n"/>
      <c r="F95" s="343" t="n"/>
      <c r="G95" s="344" t="n"/>
      <c r="H95" s="1267" t="n"/>
      <c r="I95" s="316" t="n"/>
      <c r="J95" s="1268" t="n"/>
      <c r="K95" s="345" t="n"/>
      <c r="L95" s="346" t="n"/>
      <c r="M95" s="347" t="n"/>
      <c r="N95" s="348" t="n"/>
      <c r="O95" s="1269" t="n"/>
      <c r="P95" s="1270" t="n"/>
      <c r="Q95" s="1269" t="n"/>
      <c r="R95" s="1270" t="n"/>
      <c r="S95" s="1271" t="n"/>
      <c r="T95" s="1270" t="n"/>
      <c r="U95" s="1271" t="n"/>
      <c r="V95" s="1272" t="n"/>
    </row>
    <row r="96" ht="27.6" customHeight="1">
      <c r="A96" s="89" t="inlineStr">
        <is>
          <t>2.03.16</t>
        </is>
      </c>
      <c r="B96" s="90" t="inlineStr">
        <is>
          <t>MATERIAL</t>
        </is>
      </c>
      <c r="C96" s="90" t="n"/>
      <c r="D96" s="90" t="n"/>
      <c r="E96" s="81" t="inlineStr">
        <is>
          <t>Carga de óleo completa e graxas para o Sistema de Regulação de Velocidade da Unidade Geradora</t>
        </is>
      </c>
      <c r="F96" s="4" t="inlineStr">
        <is>
          <t>CJ.</t>
        </is>
      </c>
      <c r="G96" s="91" t="n">
        <v>4</v>
      </c>
      <c r="H96" s="1274" t="n">
        <v>210526.54</v>
      </c>
      <c r="I96" s="367" t="n"/>
      <c r="J96" s="1275" t="n"/>
      <c r="K96" s="1278" t="n"/>
      <c r="L96" s="1277" t="n"/>
      <c r="M96" s="236" t="inlineStr">
        <is>
          <t>INSIGHT ENERGY</t>
        </is>
      </c>
      <c r="N96" s="237" t="n"/>
      <c r="O96" s="302" t="n"/>
      <c r="P96" s="309" t="n"/>
      <c r="Q96" s="310" t="n"/>
      <c r="R96" s="310" t="n"/>
      <c r="S96" s="311" t="n"/>
      <c r="T96" s="311" t="n"/>
      <c r="U96" s="309" t="n"/>
      <c r="V96" s="1279">
        <f>G96*H96</f>
        <v/>
      </c>
    </row>
    <row r="97" ht="15" customFormat="1" customHeight="1" s="353">
      <c r="A97" s="341" t="n"/>
      <c r="B97" s="340" t="n"/>
      <c r="C97" s="340" t="inlineStr">
        <is>
          <t>.</t>
        </is>
      </c>
      <c r="D97" s="340" t="n"/>
      <c r="E97" s="342" t="n"/>
      <c r="F97" s="343" t="n"/>
      <c r="G97" s="344" t="n"/>
      <c r="H97" s="1267" t="n"/>
      <c r="I97" s="316" t="n"/>
      <c r="J97" s="1268" t="n"/>
      <c r="K97" s="345" t="n"/>
      <c r="L97" s="346" t="n"/>
      <c r="M97" s="347" t="n"/>
      <c r="N97" s="348" t="n"/>
      <c r="O97" s="1269" t="n"/>
      <c r="P97" s="1270" t="n"/>
      <c r="Q97" s="1269" t="n"/>
      <c r="R97" s="1270" t="n"/>
      <c r="S97" s="1271" t="n"/>
      <c r="T97" s="1270" t="n"/>
      <c r="U97" s="1271" t="n"/>
      <c r="V97" s="1272" t="n"/>
    </row>
    <row r="98" ht="15" customHeight="1">
      <c r="A98" s="89" t="inlineStr">
        <is>
          <t>2.03.17</t>
        </is>
      </c>
      <c r="B98" s="90" t="inlineStr">
        <is>
          <t>MATERIAL</t>
        </is>
      </c>
      <c r="C98" s="90" t="n"/>
      <c r="D98" s="90" t="n"/>
      <c r="E98" s="81" t="inlineStr">
        <is>
          <t>Tubulações, suportes, adaptações e acessórios para o SRV</t>
        </is>
      </c>
      <c r="F98" s="4" t="inlineStr">
        <is>
          <t>CJ.</t>
        </is>
      </c>
      <c r="G98" s="91" t="n">
        <v>4</v>
      </c>
      <c r="H98" s="1274" t="n">
        <v>49587.74</v>
      </c>
      <c r="I98" s="367" t="n"/>
      <c r="J98" s="1275" t="n"/>
      <c r="K98" s="1278" t="n"/>
      <c r="L98" s="1277" t="n"/>
      <c r="M98" s="236" t="inlineStr">
        <is>
          <t>INSIGHT ENERGY</t>
        </is>
      </c>
      <c r="N98" s="237" t="n"/>
      <c r="O98" s="302" t="n"/>
      <c r="P98" s="309" t="n"/>
      <c r="Q98" s="310" t="n"/>
      <c r="R98" s="310" t="n"/>
      <c r="S98" s="311" t="n"/>
      <c r="T98" s="311" t="n"/>
      <c r="U98" s="309" t="n"/>
      <c r="V98" s="1279">
        <f>G98*H98</f>
        <v/>
      </c>
    </row>
    <row r="99" ht="15.6" customFormat="1" customHeight="1" s="353" thickBot="1">
      <c r="A99" s="341" t="n"/>
      <c r="B99" s="340" t="n"/>
      <c r="C99" s="340" t="inlineStr">
        <is>
          <t>.</t>
        </is>
      </c>
      <c r="D99" s="340" t="n"/>
      <c r="E99" s="342" t="n"/>
      <c r="F99" s="343" t="n"/>
      <c r="G99" s="344" t="n"/>
      <c r="H99" s="1267" t="n"/>
      <c r="I99" s="316" t="n"/>
      <c r="J99" s="1268" t="n"/>
      <c r="K99" s="345" t="n"/>
      <c r="L99" s="346" t="n"/>
      <c r="M99" s="347" t="n"/>
      <c r="N99" s="348" t="n"/>
      <c r="O99" s="1269" t="n"/>
      <c r="P99" s="1270" t="n"/>
      <c r="Q99" s="1269" t="n"/>
      <c r="R99" s="1270" t="n"/>
      <c r="S99" s="1271" t="n"/>
      <c r="T99" s="1270" t="n"/>
      <c r="U99" s="1271" t="n"/>
      <c r="V99" s="1272" t="n"/>
    </row>
    <row r="100" ht="16.2" customHeight="1" thickBot="1">
      <c r="A100" s="379" t="inlineStr">
        <is>
          <t>2.04 - Serviços Auxiliares CA</t>
        </is>
      </c>
      <c r="B100" s="380" t="n"/>
      <c r="C100" s="380" t="n"/>
      <c r="D100" s="380" t="n"/>
      <c r="E100" s="380" t="n"/>
      <c r="F100" s="380" t="n"/>
      <c r="G100" s="380" t="n"/>
      <c r="H100" s="380" t="n"/>
      <c r="I100" s="381" t="n"/>
      <c r="J100" s="1258" t="n"/>
      <c r="K100" s="380" t="n"/>
      <c r="L100" s="380" t="n"/>
      <c r="M100" s="385" t="n"/>
      <c r="N100" s="380" t="n"/>
      <c r="O100" s="383" t="n"/>
      <c r="P100" s="380" t="n"/>
      <c r="Q100" s="383" t="n"/>
      <c r="R100" s="380" t="n"/>
      <c r="S100" s="380" t="n"/>
      <c r="T100" s="380" t="n"/>
      <c r="U100" s="384">
        <f>_xlfn.CONCAT("VALOR TOTAL DA ET ",A100,)</f>
        <v/>
      </c>
      <c r="V100" s="1259">
        <f>SUM(V101:V121)</f>
        <v/>
      </c>
      <c r="W100" s="1260" t="n"/>
    </row>
    <row r="101" ht="15" customHeight="1">
      <c r="A101" s="93" t="inlineStr">
        <is>
          <t>2.04.01</t>
        </is>
      </c>
      <c r="B101" s="80" t="inlineStr">
        <is>
          <t>SERVIÇO</t>
        </is>
      </c>
      <c r="C101" s="80" t="n"/>
      <c r="D101" s="80" t="n"/>
      <c r="E101" s="81" t="inlineStr">
        <is>
          <t>Engenharia e projeto executivo</t>
        </is>
      </c>
      <c r="F101" s="4" t="inlineStr">
        <is>
          <t>VB.</t>
        </is>
      </c>
      <c r="G101" s="91" t="n">
        <v>1</v>
      </c>
      <c r="H101" s="1274" t="n">
        <v>444468.68</v>
      </c>
      <c r="I101" s="367" t="n"/>
      <c r="J101" s="1275" t="n"/>
      <c r="K101" s="18" t="n"/>
      <c r="L101" s="19" t="n"/>
      <c r="M101" s="233" t="inlineStr">
        <is>
          <t>INSIGHT ENERGYERZEG</t>
        </is>
      </c>
      <c r="N101" s="234" t="n"/>
      <c r="O101" s="1276" t="n"/>
      <c r="P101" s="1277" t="n"/>
      <c r="Q101" s="1276" t="n"/>
      <c r="R101" s="1277" t="n"/>
      <c r="S101" s="1278" t="n"/>
      <c r="T101" s="1277" t="n"/>
      <c r="U101" s="1278" t="n"/>
      <c r="V101" s="1279">
        <f>G101*H101</f>
        <v/>
      </c>
      <c r="W101" s="1260" t="n"/>
    </row>
    <row r="102" ht="15" customFormat="1" customHeight="1" s="353">
      <c r="A102" s="341" t="n"/>
      <c r="B102" s="340" t="n"/>
      <c r="C102" s="340" t="inlineStr">
        <is>
          <t>.</t>
        </is>
      </c>
      <c r="D102" s="340" t="n"/>
      <c r="E102" s="342" t="n"/>
      <c r="F102" s="343" t="n"/>
      <c r="G102" s="344" t="n"/>
      <c r="H102" s="1267" t="n"/>
      <c r="I102" s="316" t="n"/>
      <c r="J102" s="1268" t="n"/>
      <c r="K102" s="345" t="n"/>
      <c r="L102" s="346" t="n"/>
      <c r="M102" s="347" t="n"/>
      <c r="N102" s="348" t="n"/>
      <c r="O102" s="1269" t="n"/>
      <c r="P102" s="1270" t="n"/>
      <c r="Q102" s="1269" t="n"/>
      <c r="R102" s="1270" t="n"/>
      <c r="S102" s="1271" t="n"/>
      <c r="T102" s="1270" t="n"/>
      <c r="U102" s="1271" t="n"/>
      <c r="V102" s="1272" t="n"/>
    </row>
    <row r="103" ht="41.4" customHeight="1">
      <c r="A103" s="93" t="inlineStr">
        <is>
          <t>2.04.02</t>
        </is>
      </c>
      <c r="B103" s="80" t="inlineStr">
        <is>
          <t>SERVIÇO</t>
        </is>
      </c>
      <c r="C103" s="80" t="n"/>
      <c r="D103" s="80" t="n"/>
      <c r="E103" s="81" t="inlineStr">
        <is>
          <t>Desmontagem e adequação dos equipamentos e painéis dos serviços auxiliares elétricos existentes e respectiva infraestrutura de interligação, incluindo a execução de arranjos provisórios</t>
        </is>
      </c>
      <c r="F103" s="4" t="inlineStr">
        <is>
          <t>VB.</t>
        </is>
      </c>
      <c r="G103" s="91" t="n">
        <v>1</v>
      </c>
      <c r="H103" s="1274" t="n">
        <v>239759.52</v>
      </c>
      <c r="I103" s="367" t="n"/>
      <c r="J103" s="1275" t="n"/>
      <c r="K103" s="18" t="n"/>
      <c r="L103" s="19" t="n"/>
      <c r="M103" s="233" t="inlineStr">
        <is>
          <t>INSIGHT ENERGY</t>
        </is>
      </c>
      <c r="N103" s="234" t="n"/>
      <c r="O103" s="1276" t="n"/>
      <c r="P103" s="1277" t="n"/>
      <c r="Q103" s="1276" t="n"/>
      <c r="R103" s="1277" t="n"/>
      <c r="S103" s="1278" t="n"/>
      <c r="T103" s="1277" t="n"/>
      <c r="U103" s="1278" t="n"/>
      <c r="V103" s="1279">
        <f>G103*H103</f>
        <v/>
      </c>
    </row>
    <row r="104" ht="15" customFormat="1" customHeight="1" s="353">
      <c r="A104" s="341" t="n"/>
      <c r="B104" s="340" t="n"/>
      <c r="C104" s="340" t="inlineStr">
        <is>
          <t>.</t>
        </is>
      </c>
      <c r="D104" s="340" t="n"/>
      <c r="E104" s="342" t="n"/>
      <c r="F104" s="343" t="n"/>
      <c r="G104" s="344" t="n"/>
      <c r="H104" s="1267" t="n"/>
      <c r="I104" s="316" t="n"/>
      <c r="J104" s="1268" t="n"/>
      <c r="K104" s="345" t="n"/>
      <c r="L104" s="346" t="n"/>
      <c r="M104" s="347" t="n"/>
      <c r="N104" s="348" t="n"/>
      <c r="O104" s="1269" t="n"/>
      <c r="P104" s="1270" t="n"/>
      <c r="Q104" s="1269" t="n"/>
      <c r="R104" s="1270" t="n"/>
      <c r="S104" s="1271" t="n"/>
      <c r="T104" s="1270" t="n"/>
      <c r="U104" s="1271" t="n"/>
      <c r="V104" s="1272" t="n"/>
    </row>
    <row r="105" ht="15" customHeight="1">
      <c r="A105" s="93" t="inlineStr">
        <is>
          <t>2.04.03</t>
        </is>
      </c>
      <c r="B105" s="80" t="inlineStr">
        <is>
          <t>SERVIÇO</t>
        </is>
      </c>
      <c r="C105" s="80" t="n"/>
      <c r="D105" s="80" t="n"/>
      <c r="E105" s="81" t="inlineStr">
        <is>
          <t>Montagem eletromecânica completa</t>
        </is>
      </c>
      <c r="F105" s="4" t="inlineStr">
        <is>
          <t>VB.</t>
        </is>
      </c>
      <c r="G105" s="91" t="n">
        <v>1</v>
      </c>
      <c r="H105" s="1274" t="n">
        <v>239759.52</v>
      </c>
      <c r="I105" s="367" t="n"/>
      <c r="J105" s="1275" t="n"/>
      <c r="K105" s="18" t="n"/>
      <c r="L105" s="19" t="n"/>
      <c r="M105" s="233" t="inlineStr">
        <is>
          <t>INSIGHT ENERGY</t>
        </is>
      </c>
      <c r="N105" s="234" t="n"/>
      <c r="O105" s="1276" t="n"/>
      <c r="P105" s="1277" t="n"/>
      <c r="Q105" s="1276" t="n"/>
      <c r="R105" s="1277" t="n"/>
      <c r="S105" s="1278" t="n"/>
      <c r="T105" s="1277" t="n"/>
      <c r="U105" s="1278" t="n"/>
      <c r="V105" s="1279">
        <f>G105*H105</f>
        <v/>
      </c>
    </row>
    <row r="106" ht="15" customFormat="1" customHeight="1" s="353">
      <c r="A106" s="341" t="n"/>
      <c r="B106" s="340" t="n"/>
      <c r="C106" s="340" t="inlineStr">
        <is>
          <t>.</t>
        </is>
      </c>
      <c r="D106" s="340" t="n"/>
      <c r="E106" s="342" t="n"/>
      <c r="F106" s="343" t="n"/>
      <c r="G106" s="344" t="n"/>
      <c r="H106" s="1267" t="n"/>
      <c r="I106" s="316" t="n"/>
      <c r="J106" s="1268" t="n"/>
      <c r="K106" s="345" t="n"/>
      <c r="L106" s="346" t="n"/>
      <c r="M106" s="347" t="n"/>
      <c r="N106" s="348" t="n"/>
      <c r="O106" s="1269" t="n"/>
      <c r="P106" s="1270" t="n"/>
      <c r="Q106" s="1269" t="n"/>
      <c r="R106" s="1270" t="n"/>
      <c r="S106" s="1271" t="n"/>
      <c r="T106" s="1270" t="n"/>
      <c r="U106" s="1271" t="n"/>
      <c r="V106" s="1272" t="n"/>
    </row>
    <row r="107" ht="15" customHeight="1">
      <c r="A107" s="93" t="inlineStr">
        <is>
          <t>2.04.04</t>
        </is>
      </c>
      <c r="B107" s="80" t="inlineStr">
        <is>
          <t>SERVIÇO</t>
        </is>
      </c>
      <c r="C107" s="80" t="n"/>
      <c r="D107" s="80" t="n"/>
      <c r="E107" s="81" t="inlineStr">
        <is>
          <t>Supervisão, ensaios de campo e comissionamento</t>
        </is>
      </c>
      <c r="F107" s="4" t="inlineStr">
        <is>
          <t>VB.</t>
        </is>
      </c>
      <c r="G107" s="91" t="n">
        <v>1</v>
      </c>
      <c r="H107" s="1274" t="n">
        <v>44082.68</v>
      </c>
      <c r="I107" s="367" t="n"/>
      <c r="J107" s="1275" t="n"/>
      <c r="K107" s="18" t="n"/>
      <c r="L107" s="19" t="n"/>
      <c r="M107" s="233" t="inlineStr">
        <is>
          <t>INSIGHT ENERGY</t>
        </is>
      </c>
      <c r="N107" s="234" t="n"/>
      <c r="O107" s="1276" t="n"/>
      <c r="P107" s="1277" t="n"/>
      <c r="Q107" s="1276" t="n"/>
      <c r="R107" s="1277" t="n"/>
      <c r="S107" s="1278" t="n"/>
      <c r="T107" s="1277" t="n"/>
      <c r="U107" s="1278" t="n"/>
      <c r="V107" s="1279">
        <f>G107*H107</f>
        <v/>
      </c>
    </row>
    <row r="108" ht="15" customFormat="1" customHeight="1" s="353">
      <c r="A108" s="341" t="n"/>
      <c r="B108" s="340" t="n"/>
      <c r="C108" s="340" t="inlineStr">
        <is>
          <t>.</t>
        </is>
      </c>
      <c r="D108" s="340" t="n"/>
      <c r="E108" s="342" t="n"/>
      <c r="F108" s="343" t="n"/>
      <c r="G108" s="344" t="n"/>
      <c r="H108" s="1267" t="n"/>
      <c r="I108" s="316" t="n"/>
      <c r="J108" s="1268" t="n"/>
      <c r="K108" s="345" t="n"/>
      <c r="L108" s="346" t="n"/>
      <c r="M108" s="347" t="n"/>
      <c r="N108" s="348" t="n"/>
      <c r="O108" s="1269" t="n"/>
      <c r="P108" s="1270" t="n"/>
      <c r="Q108" s="1269" t="n"/>
      <c r="R108" s="1270" t="n"/>
      <c r="S108" s="1271" t="n"/>
      <c r="T108" s="1270" t="n"/>
      <c r="U108" s="1271" t="n"/>
      <c r="V108" s="1272" t="n"/>
    </row>
    <row r="109" ht="15" customHeight="1">
      <c r="A109" s="93" t="inlineStr">
        <is>
          <t>2.04.05</t>
        </is>
      </c>
      <c r="B109" s="80" t="inlineStr">
        <is>
          <t>MATERIAL</t>
        </is>
      </c>
      <c r="C109" s="80" t="n"/>
      <c r="D109" s="80" t="inlineStr">
        <is>
          <t>contrafo</t>
        </is>
      </c>
      <c r="E109" s="81" t="inlineStr">
        <is>
          <t>Transformador de Serviços Auxiliares +T102/+T104</t>
        </is>
      </c>
      <c r="F109" s="83" t="inlineStr">
        <is>
          <t>CJ.</t>
        </is>
      </c>
      <c r="G109" s="83" t="n">
        <v>2</v>
      </c>
      <c r="H109" s="1274" t="n">
        <v>206760</v>
      </c>
      <c r="I109" s="367" t="n"/>
      <c r="J109" s="1275" t="n"/>
      <c r="K109" s="1278" t="n"/>
      <c r="L109" s="1277" t="n"/>
      <c r="M109" s="233" t="inlineStr">
        <is>
          <t>INSIGHT ENERGY</t>
        </is>
      </c>
      <c r="N109" s="234" t="n"/>
      <c r="O109" s="302" t="n"/>
      <c r="P109" s="309" t="n"/>
      <c r="Q109" s="310" t="n"/>
      <c r="R109" s="310" t="n"/>
      <c r="S109" s="311" t="n"/>
      <c r="T109" s="311" t="n"/>
      <c r="U109" s="309" t="n"/>
      <c r="V109" s="1279">
        <f>G109*H109</f>
        <v/>
      </c>
    </row>
    <row r="110" ht="15" customFormat="1" customHeight="1" s="353">
      <c r="A110" s="341" t="n"/>
      <c r="B110" s="340" t="n"/>
      <c r="C110" s="340" t="inlineStr">
        <is>
          <t>.</t>
        </is>
      </c>
      <c r="D110" s="340" t="n"/>
      <c r="E110" s="342" t="n"/>
      <c r="F110" s="343" t="n"/>
      <c r="G110" s="344" t="n"/>
      <c r="H110" s="1267" t="n"/>
      <c r="I110" s="316" t="n"/>
      <c r="J110" s="1268" t="n"/>
      <c r="K110" s="345" t="n"/>
      <c r="L110" s="346" t="n"/>
      <c r="M110" s="347" t="n"/>
      <c r="N110" s="348" t="n"/>
      <c r="O110" s="1269" t="n"/>
      <c r="P110" s="1270" t="n"/>
      <c r="Q110" s="1269" t="n"/>
      <c r="R110" s="1270" t="n"/>
      <c r="S110" s="1271" t="n"/>
      <c r="T110" s="1270" t="n"/>
      <c r="U110" s="1271" t="n"/>
      <c r="V110" s="1272" t="n"/>
    </row>
    <row r="111" ht="15" customHeight="1">
      <c r="A111" s="93" t="inlineStr">
        <is>
          <t>2.04.06</t>
        </is>
      </c>
      <c r="B111" s="80" t="inlineStr">
        <is>
          <t>MATERIAL</t>
        </is>
      </c>
      <c r="C111" s="80" t="n"/>
      <c r="D111" s="80" t="n"/>
      <c r="E111" s="81" t="inlineStr">
        <is>
          <t>Centros de distribuição de cargas +GA/+GB</t>
        </is>
      </c>
      <c r="F111" s="83" t="inlineStr">
        <is>
          <t>CJ.</t>
        </is>
      </c>
      <c r="G111" s="83" t="n">
        <v>2</v>
      </c>
      <c r="H111" s="1274">
        <f>287786.5/2</f>
        <v/>
      </c>
      <c r="I111" s="367" t="n"/>
      <c r="J111" s="1275" t="n"/>
      <c r="K111" s="1278" t="n"/>
      <c r="L111" s="1277" t="n"/>
      <c r="M111" s="233" t="inlineStr">
        <is>
          <t>INSIGHT ENERGYERZEG</t>
        </is>
      </c>
      <c r="N111" s="237" t="n"/>
      <c r="O111" s="302" t="n"/>
      <c r="P111" s="309" t="n"/>
      <c r="Q111" s="310" t="n"/>
      <c r="R111" s="310" t="n"/>
      <c r="S111" s="311" t="n"/>
      <c r="T111" s="311" t="n"/>
      <c r="U111" s="309" t="n"/>
      <c r="V111" s="1279">
        <f>G111*H111</f>
        <v/>
      </c>
    </row>
    <row r="112" ht="15" customFormat="1" customHeight="1" s="353">
      <c r="A112" s="341" t="n"/>
      <c r="B112" s="340" t="n"/>
      <c r="C112" s="340" t="inlineStr">
        <is>
          <t>.</t>
        </is>
      </c>
      <c r="D112" s="340" t="n"/>
      <c r="E112" s="342" t="n"/>
      <c r="F112" s="343" t="n"/>
      <c r="G112" s="344" t="n"/>
      <c r="H112" s="1267" t="n"/>
      <c r="I112" s="316" t="n"/>
      <c r="J112" s="1268" t="n"/>
      <c r="K112" s="345" t="n"/>
      <c r="L112" s="346" t="n"/>
      <c r="M112" s="347" t="n"/>
      <c r="N112" s="348" t="n"/>
      <c r="O112" s="1269" t="n"/>
      <c r="P112" s="1270" t="n"/>
      <c r="Q112" s="1269" t="n"/>
      <c r="R112" s="1270" t="n"/>
      <c r="S112" s="1271" t="n"/>
      <c r="T112" s="1270" t="n"/>
      <c r="U112" s="1271" t="n"/>
      <c r="V112" s="1272" t="n"/>
    </row>
    <row r="113" ht="27.6" customHeight="1">
      <c r="A113" s="93" t="inlineStr">
        <is>
          <t>2.04.07</t>
        </is>
      </c>
      <c r="B113" s="80" t="inlineStr">
        <is>
          <t>MATERIAL</t>
        </is>
      </c>
      <c r="C113" s="80" t="n"/>
      <c r="D113" s="80" t="n"/>
      <c r="E113" s="81" t="inlineStr">
        <is>
          <t>Centros de controle de motores para cargas das unidades geradoras +1/2CM / +3/4CM</t>
        </is>
      </c>
      <c r="F113" s="83" t="inlineStr">
        <is>
          <t>CJ.</t>
        </is>
      </c>
      <c r="G113" s="83" t="n">
        <v>2</v>
      </c>
      <c r="H113" s="1274" t="n">
        <v>839245.26</v>
      </c>
      <c r="I113" s="367" t="n"/>
      <c r="J113" s="1275" t="n"/>
      <c r="K113" s="1278" t="n"/>
      <c r="L113" s="1277" t="n"/>
      <c r="M113" s="233" t="inlineStr">
        <is>
          <t>INSIGHT ENERGYERZEG</t>
        </is>
      </c>
      <c r="N113" s="237" t="n"/>
      <c r="O113" s="302" t="n"/>
      <c r="P113" s="309" t="n"/>
      <c r="Q113" s="310" t="n"/>
      <c r="R113" s="310" t="n"/>
      <c r="S113" s="311" t="n"/>
      <c r="T113" s="311" t="n"/>
      <c r="U113" s="309" t="n"/>
      <c r="V113" s="1279">
        <f>G113*H113</f>
        <v/>
      </c>
    </row>
    <row r="114" ht="15" customFormat="1" customHeight="1" s="353">
      <c r="A114" s="341" t="n"/>
      <c r="B114" s="340" t="n"/>
      <c r="C114" s="340" t="inlineStr">
        <is>
          <t>.</t>
        </is>
      </c>
      <c r="D114" s="340" t="n"/>
      <c r="E114" s="342" t="n"/>
      <c r="F114" s="343" t="n"/>
      <c r="G114" s="344" t="n"/>
      <c r="H114" s="1267" t="n"/>
      <c r="I114" s="316" t="n"/>
      <c r="J114" s="1268" t="n"/>
      <c r="K114" s="345" t="n"/>
      <c r="L114" s="346" t="n"/>
      <c r="M114" s="347" t="n"/>
      <c r="N114" s="348" t="n"/>
      <c r="O114" s="1269" t="n"/>
      <c r="P114" s="1270" t="n"/>
      <c r="Q114" s="1269" t="n"/>
      <c r="R114" s="1270" t="n"/>
      <c r="S114" s="1271" t="n"/>
      <c r="T114" s="1270" t="n"/>
      <c r="U114" s="1271" t="n"/>
      <c r="V114" s="1272" t="n"/>
    </row>
    <row r="115" ht="15" customHeight="1">
      <c r="A115" s="93" t="inlineStr">
        <is>
          <t>2.04.08</t>
        </is>
      </c>
      <c r="B115" s="80" t="inlineStr">
        <is>
          <t>MATERIAL</t>
        </is>
      </c>
      <c r="C115" s="80" t="n"/>
      <c r="D115" s="80" t="n"/>
      <c r="E115" s="81" t="inlineStr">
        <is>
          <t>Centro de controle de motores para cargas gerais +5CM</t>
        </is>
      </c>
      <c r="F115" s="83" t="inlineStr">
        <is>
          <t>CJ.</t>
        </is>
      </c>
      <c r="G115" s="83" t="n">
        <v>1</v>
      </c>
      <c r="H115" s="1274" t="n">
        <v>985695.58</v>
      </c>
      <c r="I115" s="367" t="n"/>
      <c r="J115" s="1275" t="n"/>
      <c r="K115" s="1278" t="n"/>
      <c r="L115" s="1277" t="n"/>
      <c r="M115" s="233" t="inlineStr">
        <is>
          <t>INSIGHT ENERGYERZEG</t>
        </is>
      </c>
      <c r="N115" s="237" t="n"/>
      <c r="O115" s="302" t="n"/>
      <c r="P115" s="309" t="n"/>
      <c r="Q115" s="310" t="n"/>
      <c r="R115" s="310" t="n"/>
      <c r="S115" s="311" t="n"/>
      <c r="T115" s="311" t="n"/>
      <c r="U115" s="309" t="n"/>
      <c r="V115" s="1279">
        <f>G115*H115</f>
        <v/>
      </c>
    </row>
    <row r="116" ht="15" customFormat="1" customHeight="1" s="353">
      <c r="A116" s="341" t="n"/>
      <c r="B116" s="340" t="n"/>
      <c r="C116" s="340" t="inlineStr">
        <is>
          <t>.</t>
        </is>
      </c>
      <c r="D116" s="340" t="n"/>
      <c r="E116" s="342" t="n"/>
      <c r="F116" s="343" t="n"/>
      <c r="G116" s="344" t="n"/>
      <c r="H116" s="1267" t="n"/>
      <c r="I116" s="316" t="n"/>
      <c r="J116" s="1268" t="n"/>
      <c r="K116" s="345" t="n"/>
      <c r="L116" s="346" t="n"/>
      <c r="M116" s="347" t="n"/>
      <c r="N116" s="348" t="n"/>
      <c r="O116" s="1269" t="n"/>
      <c r="P116" s="1270" t="n"/>
      <c r="Q116" s="1269" t="n"/>
      <c r="R116" s="1270" t="n"/>
      <c r="S116" s="1271" t="n"/>
      <c r="T116" s="1270" t="n"/>
      <c r="U116" s="1271" t="n"/>
      <c r="V116" s="1272" t="n"/>
    </row>
    <row r="117" ht="15" customHeight="1">
      <c r="A117" s="93" t="inlineStr">
        <is>
          <t>2.04.09</t>
        </is>
      </c>
      <c r="B117" s="80" t="inlineStr">
        <is>
          <t>MATERIAL</t>
        </is>
      </c>
      <c r="C117" s="80" t="n"/>
      <c r="D117" s="80" t="n"/>
      <c r="E117" s="81" t="inlineStr">
        <is>
          <t>Centro de controle de motores para cargas na Chaminé de Equilíbrio +6CM</t>
        </is>
      </c>
      <c r="F117" s="83" t="inlineStr">
        <is>
          <t>CJ.</t>
        </is>
      </c>
      <c r="G117" s="83" t="n">
        <v>1</v>
      </c>
      <c r="H117" s="1274" t="n">
        <v>276000</v>
      </c>
      <c r="I117" s="367" t="n"/>
      <c r="J117" s="1275" t="n"/>
      <c r="K117" s="1278" t="n"/>
      <c r="L117" s="1277" t="n"/>
      <c r="M117" s="233" t="inlineStr">
        <is>
          <t>INSIGHT ENERGYERZEG</t>
        </is>
      </c>
      <c r="N117" s="237" t="n"/>
      <c r="O117" s="302" t="n"/>
      <c r="P117" s="309" t="n"/>
      <c r="Q117" s="310" t="n"/>
      <c r="R117" s="310" t="n"/>
      <c r="S117" s="311" t="n"/>
      <c r="T117" s="311" t="n"/>
      <c r="U117" s="309" t="n"/>
      <c r="V117" s="1279">
        <f>G117*H117</f>
        <v/>
      </c>
    </row>
    <row r="118" ht="15" customFormat="1" customHeight="1" s="353">
      <c r="A118" s="341" t="n"/>
      <c r="B118" s="340" t="n"/>
      <c r="C118" s="340" t="inlineStr">
        <is>
          <t>.</t>
        </is>
      </c>
      <c r="D118" s="340" t="n"/>
      <c r="E118" s="342" t="n"/>
      <c r="F118" s="343" t="n"/>
      <c r="G118" s="344" t="n"/>
      <c r="H118" s="1267" t="n"/>
      <c r="I118" s="316" t="n"/>
      <c r="J118" s="1268" t="n"/>
      <c r="K118" s="345" t="n"/>
      <c r="L118" s="346" t="n"/>
      <c r="M118" s="347" t="n"/>
      <c r="N118" s="348" t="n"/>
      <c r="O118" s="1269" t="n"/>
      <c r="P118" s="1270" t="n"/>
      <c r="Q118" s="1269" t="n"/>
      <c r="R118" s="1270" t="n"/>
      <c r="S118" s="1271" t="n"/>
      <c r="T118" s="1270" t="n"/>
      <c r="U118" s="1271" t="n"/>
      <c r="V118" s="1272" t="n"/>
    </row>
    <row r="119" ht="15" customHeight="1">
      <c r="A119" s="93" t="inlineStr">
        <is>
          <t>2.04.10</t>
        </is>
      </c>
      <c r="B119" s="80" t="inlineStr">
        <is>
          <t>MATERIAL</t>
        </is>
      </c>
      <c r="C119" s="80" t="n"/>
      <c r="D119" s="80" t="inlineStr">
        <is>
          <t>ms gerador</t>
        </is>
      </c>
      <c r="E119" s="81" t="inlineStr">
        <is>
          <t>Grupo Motor Diesel Gerador (GMG) casa de força</t>
        </is>
      </c>
      <c r="F119" s="83" t="inlineStr">
        <is>
          <t>CJ.</t>
        </is>
      </c>
      <c r="G119" s="83" t="n">
        <v>1</v>
      </c>
      <c r="H119" s="1274" t="n">
        <v>350000</v>
      </c>
      <c r="I119" s="367" t="n"/>
      <c r="J119" s="1275" t="n"/>
      <c r="K119" s="1278" t="n"/>
      <c r="L119" s="1277" t="n"/>
      <c r="M119" s="233" t="inlineStr">
        <is>
          <t>MS GERADORES</t>
        </is>
      </c>
      <c r="N119" s="237" t="n"/>
      <c r="O119" s="302" t="n"/>
      <c r="P119" s="309" t="n"/>
      <c r="Q119" s="310" t="n"/>
      <c r="R119" s="310" t="n"/>
      <c r="S119" s="311" t="n"/>
      <c r="T119" s="311" t="n"/>
      <c r="U119" s="309" t="n"/>
      <c r="V119" s="1279">
        <f>G119*H119</f>
        <v/>
      </c>
    </row>
    <row r="120" ht="15" customFormat="1" customHeight="1" s="353">
      <c r="A120" s="341" t="n"/>
      <c r="B120" s="340" t="n"/>
      <c r="C120" s="340" t="inlineStr">
        <is>
          <t>.</t>
        </is>
      </c>
      <c r="D120" s="340" t="n"/>
      <c r="E120" s="342" t="n"/>
      <c r="F120" s="343" t="n"/>
      <c r="G120" s="344" t="n"/>
      <c r="H120" s="1267" t="n"/>
      <c r="I120" s="316" t="n"/>
      <c r="J120" s="1268" t="n"/>
      <c r="K120" s="345" t="n"/>
      <c r="L120" s="346" t="n"/>
      <c r="M120" s="347" t="n"/>
      <c r="N120" s="348" t="n"/>
      <c r="O120" s="1269" t="n"/>
      <c r="P120" s="1270" t="n"/>
      <c r="Q120" s="1269" t="n"/>
      <c r="R120" s="1270" t="n"/>
      <c r="S120" s="1271" t="n"/>
      <c r="T120" s="1270" t="n"/>
      <c r="U120" s="1271" t="n"/>
      <c r="V120" s="1272" t="n"/>
    </row>
    <row r="121" ht="15" customHeight="1">
      <c r="A121" s="93" t="inlineStr">
        <is>
          <t>2.04.11</t>
        </is>
      </c>
      <c r="B121" s="80" t="inlineStr">
        <is>
          <t>MATERIAL</t>
        </is>
      </c>
      <c r="C121" s="80" t="n"/>
      <c r="D121" s="80" t="n"/>
      <c r="E121" s="81" t="inlineStr">
        <is>
          <t>Motor de elevação auxiliar da Ponte Rolante</t>
        </is>
      </c>
      <c r="F121" s="83" t="inlineStr">
        <is>
          <t>CJ.</t>
        </is>
      </c>
      <c r="G121" s="83" t="n">
        <v>1</v>
      </c>
      <c r="H121" s="1274" t="n">
        <v>10777.26</v>
      </c>
      <c r="I121" s="367" t="n"/>
      <c r="J121" s="1275" t="n"/>
      <c r="K121" s="1278" t="n"/>
      <c r="L121" s="1277" t="n"/>
      <c r="M121" s="233" t="inlineStr">
        <is>
          <t>INSIGHT ENERGY</t>
        </is>
      </c>
      <c r="N121" s="237" t="n"/>
      <c r="O121" s="302" t="n"/>
      <c r="P121" s="309" t="n"/>
      <c r="Q121" s="310" t="n"/>
      <c r="R121" s="310" t="n"/>
      <c r="S121" s="311" t="n"/>
      <c r="T121" s="311" t="n"/>
      <c r="U121" s="309" t="n"/>
      <c r="V121" s="1279">
        <f>G121*H121</f>
        <v/>
      </c>
    </row>
    <row r="122" ht="15.6" customFormat="1" customHeight="1" s="353" thickBot="1">
      <c r="A122" s="341" t="n"/>
      <c r="B122" s="340" t="n"/>
      <c r="C122" s="340" t="inlineStr">
        <is>
          <t>.</t>
        </is>
      </c>
      <c r="D122" s="340" t="n"/>
      <c r="E122" s="342" t="n"/>
      <c r="F122" s="343" t="n"/>
      <c r="G122" s="344" t="n"/>
      <c r="H122" s="1267" t="n"/>
      <c r="I122" s="316" t="n"/>
      <c r="J122" s="1268" t="n"/>
      <c r="K122" s="345" t="n"/>
      <c r="L122" s="346" t="n"/>
      <c r="M122" s="347" t="n"/>
      <c r="N122" s="348" t="n"/>
      <c r="O122" s="1269" t="n"/>
      <c r="P122" s="1270" t="n"/>
      <c r="Q122" s="1269" t="n"/>
      <c r="R122" s="1270" t="n"/>
      <c r="S122" s="1271" t="n"/>
      <c r="T122" s="1270" t="n"/>
      <c r="U122" s="1271" t="n"/>
      <c r="V122" s="1272" t="n"/>
    </row>
    <row r="123" ht="16.2" customHeight="1" thickBot="1">
      <c r="A123" s="379" t="inlineStr">
        <is>
          <t>2.05 - Serviços Auxiliares CC</t>
        </is>
      </c>
      <c r="B123" s="380" t="n"/>
      <c r="C123" s="380" t="n"/>
      <c r="D123" s="380" t="n"/>
      <c r="E123" s="380" t="n"/>
      <c r="F123" s="380" t="n"/>
      <c r="G123" s="380" t="n"/>
      <c r="H123" s="380" t="n"/>
      <c r="I123" s="381" t="n"/>
      <c r="J123" s="1258" t="n"/>
      <c r="K123" s="380" t="n"/>
      <c r="L123" s="380" t="n"/>
      <c r="M123" s="385" t="n"/>
      <c r="N123" s="380" t="n"/>
      <c r="O123" s="383" t="n"/>
      <c r="P123" s="380" t="n"/>
      <c r="Q123" s="383" t="n"/>
      <c r="R123" s="380" t="n"/>
      <c r="S123" s="380" t="n"/>
      <c r="T123" s="380" t="n"/>
      <c r="U123" s="384" t="n"/>
      <c r="V123" s="1259">
        <f>SUM(V124:V144)</f>
        <v/>
      </c>
      <c r="W123" s="1260" t="n"/>
    </row>
    <row r="124" ht="15" customHeight="1">
      <c r="A124" s="93" t="inlineStr">
        <is>
          <t>2.05.01</t>
        </is>
      </c>
      <c r="B124" s="90" t="inlineStr">
        <is>
          <t>SERVIÇO</t>
        </is>
      </c>
      <c r="C124" s="90" t="n"/>
      <c r="D124" s="90" t="n"/>
      <c r="E124" s="81" t="inlineStr">
        <is>
          <t>Engenharia e projeto executivo</t>
        </is>
      </c>
      <c r="F124" s="91" t="inlineStr">
        <is>
          <t>CJ.</t>
        </is>
      </c>
      <c r="G124" s="91" t="n">
        <v>1</v>
      </c>
      <c r="H124" s="1274" t="n">
        <v>210356.2</v>
      </c>
      <c r="I124" s="367" t="n"/>
      <c r="J124" s="1275" t="n"/>
      <c r="K124" s="18" t="n"/>
      <c r="L124" s="19" t="n"/>
      <c r="M124" s="233" t="inlineStr">
        <is>
          <t>INSIGHT ENERGYERZEG</t>
        </is>
      </c>
      <c r="N124" s="234" t="n"/>
      <c r="O124" s="1276" t="n"/>
      <c r="P124" s="1277" t="n"/>
      <c r="Q124" s="1276" t="n"/>
      <c r="R124" s="1277" t="n"/>
      <c r="S124" s="1278" t="n"/>
      <c r="T124" s="1277" t="n"/>
      <c r="U124" s="1278" t="n"/>
      <c r="V124" s="1279">
        <f>G124*H124</f>
        <v/>
      </c>
      <c r="W124" s="1260" t="n"/>
    </row>
    <row r="125" ht="15" customFormat="1" customHeight="1" s="353">
      <c r="A125" s="359" t="n"/>
      <c r="B125" s="360" t="n"/>
      <c r="C125" s="360" t="inlineStr">
        <is>
          <t>.</t>
        </is>
      </c>
      <c r="D125" s="360" t="n"/>
      <c r="E125" s="342" t="n"/>
      <c r="F125" s="361" t="n"/>
      <c r="G125" s="361" t="n"/>
      <c r="H125" s="1280" t="n"/>
      <c r="I125" s="322" t="n"/>
      <c r="J125" s="1281" t="n"/>
      <c r="K125" s="345" t="n"/>
      <c r="L125" s="346" t="n"/>
      <c r="M125" s="347" t="n"/>
      <c r="N125" s="348" t="n"/>
      <c r="O125" s="1282" t="n"/>
      <c r="P125" s="1283" t="n"/>
      <c r="Q125" s="1282" t="n"/>
      <c r="R125" s="1283" t="n"/>
      <c r="S125" s="1284" t="n"/>
      <c r="T125" s="1283" t="n"/>
      <c r="U125" s="1284" t="n"/>
      <c r="V125" s="1285" t="n"/>
    </row>
    <row r="126" ht="41.4" customHeight="1">
      <c r="A126" s="93" t="inlineStr">
        <is>
          <t>2.05.02</t>
        </is>
      </c>
      <c r="B126" s="90" t="inlineStr">
        <is>
          <t>SERVIÇO</t>
        </is>
      </c>
      <c r="C126" s="90" t="n"/>
      <c r="D126" s="90" t="n"/>
      <c r="E126" s="81" t="inlineStr">
        <is>
          <t>Desmontagem e adequação dos equipamentos e painéis dos auxiliares elétricos de CC existentes e respectiva infraestrutura de interligação, incluindo a execução de arranjos provisórios</t>
        </is>
      </c>
      <c r="F126" s="91" t="inlineStr">
        <is>
          <t>CJ.</t>
        </is>
      </c>
      <c r="G126" s="91" t="n">
        <v>1</v>
      </c>
      <c r="H126" s="1274" t="n">
        <v>139429.2</v>
      </c>
      <c r="I126" s="367" t="n"/>
      <c r="J126" s="1275" t="n"/>
      <c r="K126" s="18" t="n"/>
      <c r="L126" s="19" t="n"/>
      <c r="M126" s="233" t="inlineStr">
        <is>
          <t>INSIGHT ENERGY</t>
        </is>
      </c>
      <c r="N126" s="234" t="n"/>
      <c r="O126" s="1276" t="n"/>
      <c r="P126" s="1277" t="n"/>
      <c r="Q126" s="1276" t="n"/>
      <c r="R126" s="1277" t="n"/>
      <c r="S126" s="1278" t="n"/>
      <c r="T126" s="1277" t="n"/>
      <c r="U126" s="1278" t="n"/>
      <c r="V126" s="1279">
        <f>G126*H126</f>
        <v/>
      </c>
    </row>
    <row r="127" ht="15" customFormat="1" customHeight="1" s="353">
      <c r="A127" s="341" t="n"/>
      <c r="B127" s="340" t="n"/>
      <c r="C127" s="340" t="inlineStr">
        <is>
          <t>.</t>
        </is>
      </c>
      <c r="D127" s="340" t="n"/>
      <c r="E127" s="342" t="n"/>
      <c r="F127" s="343" t="n"/>
      <c r="G127" s="344" t="n"/>
      <c r="H127" s="1267" t="n"/>
      <c r="I127" s="316" t="n"/>
      <c r="J127" s="1268" t="n"/>
      <c r="K127" s="345" t="n"/>
      <c r="L127" s="346" t="n"/>
      <c r="M127" s="347" t="n"/>
      <c r="N127" s="348" t="n"/>
      <c r="O127" s="1269" t="n"/>
      <c r="P127" s="1270" t="n"/>
      <c r="Q127" s="1269" t="n"/>
      <c r="R127" s="1270" t="n"/>
      <c r="S127" s="1271" t="n"/>
      <c r="T127" s="1270" t="n"/>
      <c r="U127" s="1271" t="n"/>
      <c r="V127" s="1272" t="n"/>
    </row>
    <row r="128" ht="15" customHeight="1">
      <c r="A128" s="93" t="inlineStr">
        <is>
          <t>2.05.03</t>
        </is>
      </c>
      <c r="B128" s="90" t="inlineStr">
        <is>
          <t>SERVIÇO</t>
        </is>
      </c>
      <c r="C128" s="90" t="n"/>
      <c r="D128" s="90" t="n"/>
      <c r="E128" s="81" t="inlineStr">
        <is>
          <t>Montagem eletromecânica completa</t>
        </is>
      </c>
      <c r="F128" s="91" t="inlineStr">
        <is>
          <t>CJ.</t>
        </is>
      </c>
      <c r="G128" s="91" t="n">
        <v>1</v>
      </c>
      <c r="H128" s="1274" t="n">
        <v>139429.16</v>
      </c>
      <c r="I128" s="367" t="n"/>
      <c r="J128" s="1275" t="n"/>
      <c r="K128" s="18" t="n"/>
      <c r="L128" s="19" t="n"/>
      <c r="M128" s="233" t="inlineStr">
        <is>
          <t>INSIGHT ENERGY</t>
        </is>
      </c>
      <c r="N128" s="234" t="n"/>
      <c r="O128" s="1276" t="n"/>
      <c r="P128" s="1277" t="n"/>
      <c r="Q128" s="1276" t="n"/>
      <c r="R128" s="1277" t="n"/>
      <c r="S128" s="1278" t="n"/>
      <c r="T128" s="1277" t="n"/>
      <c r="U128" s="1278" t="n"/>
      <c r="V128" s="1279">
        <f>G128*H128</f>
        <v/>
      </c>
    </row>
    <row r="129" ht="15" customFormat="1" customHeight="1" s="353">
      <c r="A129" s="341" t="n"/>
      <c r="B129" s="340" t="n"/>
      <c r="C129" s="340" t="inlineStr">
        <is>
          <t>.</t>
        </is>
      </c>
      <c r="D129" s="340" t="n"/>
      <c r="E129" s="342" t="n"/>
      <c r="F129" s="343" t="n"/>
      <c r="G129" s="344" t="n"/>
      <c r="H129" s="1267" t="n"/>
      <c r="I129" s="316" t="n"/>
      <c r="J129" s="1268" t="n"/>
      <c r="K129" s="345" t="n"/>
      <c r="L129" s="346" t="n"/>
      <c r="M129" s="347" t="n"/>
      <c r="N129" s="348" t="n"/>
      <c r="O129" s="1269" t="n"/>
      <c r="P129" s="1270" t="n"/>
      <c r="Q129" s="1269" t="n"/>
      <c r="R129" s="1270" t="n"/>
      <c r="S129" s="1271" t="n"/>
      <c r="T129" s="1270" t="n"/>
      <c r="U129" s="1271" t="n"/>
      <c r="V129" s="1272" t="n"/>
    </row>
    <row r="130" ht="15" customHeight="1">
      <c r="A130" s="93" t="inlineStr">
        <is>
          <t>2.05.04</t>
        </is>
      </c>
      <c r="B130" s="90" t="inlineStr">
        <is>
          <t>SERVIÇO</t>
        </is>
      </c>
      <c r="C130" s="90" t="n"/>
      <c r="D130" s="90" t="n"/>
      <c r="E130" s="81" t="inlineStr">
        <is>
          <t>Supervisão, ensaios de campo e comissionamento</t>
        </is>
      </c>
      <c r="F130" s="91" t="inlineStr">
        <is>
          <t>CJ.</t>
        </is>
      </c>
      <c r="G130" s="91" t="n">
        <v>1</v>
      </c>
      <c r="H130" s="1274" t="n">
        <v>90652.72</v>
      </c>
      <c r="I130" s="367" t="n"/>
      <c r="J130" s="1275" t="n"/>
      <c r="K130" s="18" t="n"/>
      <c r="L130" s="19" t="n"/>
      <c r="M130" s="233" t="inlineStr">
        <is>
          <t>INSIGHT ENERGY</t>
        </is>
      </c>
      <c r="N130" s="234" t="n"/>
      <c r="O130" s="1276" t="n"/>
      <c r="P130" s="1277" t="n"/>
      <c r="Q130" s="1276" t="n"/>
      <c r="R130" s="1277" t="n"/>
      <c r="S130" s="1278" t="n"/>
      <c r="T130" s="1277" t="n"/>
      <c r="U130" s="1278" t="n"/>
      <c r="V130" s="1279">
        <f>G130*H130</f>
        <v/>
      </c>
    </row>
    <row r="131" ht="15" customFormat="1" customHeight="1" s="353">
      <c r="A131" s="341" t="n"/>
      <c r="B131" s="340" t="n"/>
      <c r="C131" s="340" t="inlineStr">
        <is>
          <t>.</t>
        </is>
      </c>
      <c r="D131" s="340" t="n"/>
      <c r="E131" s="342" t="n"/>
      <c r="F131" s="343" t="n"/>
      <c r="G131" s="344" t="n"/>
      <c r="H131" s="1267" t="n"/>
      <c r="I131" s="316" t="n"/>
      <c r="J131" s="1268" t="n"/>
      <c r="K131" s="345" t="n"/>
      <c r="L131" s="346" t="n"/>
      <c r="M131" s="347" t="n"/>
      <c r="N131" s="348" t="n"/>
      <c r="O131" s="1269" t="n"/>
      <c r="P131" s="1270" t="n"/>
      <c r="Q131" s="1269" t="n"/>
      <c r="R131" s="1270" t="n"/>
      <c r="S131" s="1271" t="n"/>
      <c r="T131" s="1270" t="n"/>
      <c r="U131" s="1271" t="n"/>
      <c r="V131" s="1272" t="n"/>
    </row>
    <row r="132" ht="15" customHeight="1">
      <c r="A132" s="93" t="inlineStr">
        <is>
          <t>2.05.05</t>
        </is>
      </c>
      <c r="B132" s="90" t="inlineStr">
        <is>
          <t>MATERIAL</t>
        </is>
      </c>
      <c r="C132" s="90" t="n"/>
      <c r="D132" s="90" t="n"/>
      <c r="E132" s="94" t="inlineStr">
        <is>
          <t>Centro de Distribuição de Cargas +CC</t>
        </is>
      </c>
      <c r="F132" s="91" t="inlineStr">
        <is>
          <t>CJ.</t>
        </is>
      </c>
      <c r="G132" s="91" t="n">
        <v>1</v>
      </c>
      <c r="H132" s="1274" t="n">
        <v>226446.6</v>
      </c>
      <c r="I132" s="367" t="n"/>
      <c r="J132" s="1275" t="n"/>
      <c r="K132" s="18" t="n"/>
      <c r="L132" s="19" t="n"/>
      <c r="M132" s="233" t="inlineStr">
        <is>
          <t>INSIGHT ENERGYERZEG</t>
        </is>
      </c>
      <c r="N132" s="234" t="n"/>
      <c r="O132" s="1276" t="n"/>
      <c r="P132" s="1277" t="n"/>
      <c r="Q132" s="1276" t="n"/>
      <c r="R132" s="1277" t="n"/>
      <c r="S132" s="1278" t="n"/>
      <c r="T132" s="1277" t="n"/>
      <c r="U132" s="1278" t="n"/>
      <c r="V132" s="1279">
        <f>G132*H132</f>
        <v/>
      </c>
    </row>
    <row r="133" ht="15" customFormat="1" customHeight="1" s="353">
      <c r="A133" s="341" t="n"/>
      <c r="B133" s="340" t="n"/>
      <c r="C133" s="340" t="inlineStr">
        <is>
          <t>.</t>
        </is>
      </c>
      <c r="D133" s="340" t="n"/>
      <c r="E133" s="342" t="n"/>
      <c r="F133" s="343" t="n"/>
      <c r="G133" s="344" t="n"/>
      <c r="H133" s="1267" t="n"/>
      <c r="I133" s="316" t="n"/>
      <c r="J133" s="1268" t="n"/>
      <c r="K133" s="345" t="n"/>
      <c r="L133" s="346" t="n"/>
      <c r="M133" s="347" t="n"/>
      <c r="N133" s="348" t="n"/>
      <c r="O133" s="1269" t="n"/>
      <c r="P133" s="1270" t="n"/>
      <c r="Q133" s="1269" t="n"/>
      <c r="R133" s="1270" t="n"/>
      <c r="S133" s="1271" t="n"/>
      <c r="T133" s="1270" t="n"/>
      <c r="U133" s="1271" t="n"/>
      <c r="V133" s="1272" t="n"/>
    </row>
    <row r="134" ht="15" customHeight="1">
      <c r="A134" s="93" t="inlineStr">
        <is>
          <t>2.05.06</t>
        </is>
      </c>
      <c r="B134" s="90" t="inlineStr">
        <is>
          <t>MATERIAL</t>
        </is>
      </c>
      <c r="C134" s="90" t="n"/>
      <c r="D134" s="90" t="n"/>
      <c r="E134" s="94" t="inlineStr">
        <is>
          <t>Centro de Distribuição de Cargas +# / #CU</t>
        </is>
      </c>
      <c r="F134" s="91" t="inlineStr">
        <is>
          <t>CJ.</t>
        </is>
      </c>
      <c r="G134" s="91" t="n">
        <v>2</v>
      </c>
      <c r="H134" s="1274" t="n">
        <v>220000</v>
      </c>
      <c r="I134" s="367" t="n"/>
      <c r="J134" s="1275" t="n"/>
      <c r="K134" s="1278" t="n"/>
      <c r="L134" s="1277" t="n"/>
      <c r="M134" s="233" t="inlineStr">
        <is>
          <t>INSIGHT ENERGYERZEG</t>
        </is>
      </c>
      <c r="N134" s="237" t="n"/>
      <c r="O134" s="302" t="n"/>
      <c r="P134" s="309" t="n"/>
      <c r="Q134" s="310" t="n"/>
      <c r="R134" s="310" t="n"/>
      <c r="S134" s="311" t="n"/>
      <c r="T134" s="311" t="n"/>
      <c r="U134" s="309" t="n"/>
      <c r="V134" s="1279">
        <f>G134*H134</f>
        <v/>
      </c>
    </row>
    <row r="135" ht="15" customFormat="1" customHeight="1" s="353">
      <c r="A135" s="341" t="n"/>
      <c r="B135" s="340" t="n"/>
      <c r="C135" s="340" t="inlineStr">
        <is>
          <t>.</t>
        </is>
      </c>
      <c r="D135" s="340" t="n"/>
      <c r="E135" s="342" t="n"/>
      <c r="F135" s="343" t="n"/>
      <c r="G135" s="344" t="n"/>
      <c r="H135" s="1267" t="n"/>
      <c r="I135" s="316" t="n"/>
      <c r="J135" s="1268" t="n"/>
      <c r="K135" s="345" t="n"/>
      <c r="L135" s="346" t="n"/>
      <c r="M135" s="347" t="n"/>
      <c r="N135" s="348" t="n"/>
      <c r="O135" s="1269" t="n"/>
      <c r="P135" s="1270" t="n"/>
      <c r="Q135" s="1269" t="n"/>
      <c r="R135" s="1270" t="n"/>
      <c r="S135" s="1271" t="n"/>
      <c r="T135" s="1270" t="n"/>
      <c r="U135" s="1271" t="n"/>
      <c r="V135" s="1272" t="n"/>
    </row>
    <row r="136" ht="15" customHeight="1">
      <c r="A136" s="93" t="inlineStr">
        <is>
          <t>2.05.07</t>
        </is>
      </c>
      <c r="B136" s="90" t="inlineStr">
        <is>
          <t>MATERIAL</t>
        </is>
      </c>
      <c r="C136" s="90" t="n"/>
      <c r="D136" s="90" t="n"/>
      <c r="E136" s="94" t="inlineStr">
        <is>
          <t>Centro de Distribuição de Cargas +5CU</t>
        </is>
      </c>
      <c r="F136" s="91" t="inlineStr">
        <is>
          <t>CJ.</t>
        </is>
      </c>
      <c r="G136" s="91" t="n">
        <v>1</v>
      </c>
      <c r="H136" s="1274" t="n">
        <v>182150.74</v>
      </c>
      <c r="I136" s="367" t="n"/>
      <c r="J136" s="1275" t="n"/>
      <c r="K136" s="1278" t="n"/>
      <c r="L136" s="1277" t="n"/>
      <c r="M136" s="233" t="inlineStr">
        <is>
          <t>INSIGHT ENERGYERZEG</t>
        </is>
      </c>
      <c r="N136" s="237" t="n"/>
      <c r="O136" s="302" t="n"/>
      <c r="P136" s="309" t="n"/>
      <c r="Q136" s="310" t="n"/>
      <c r="R136" s="310" t="n"/>
      <c r="S136" s="311" t="n"/>
      <c r="T136" s="311" t="n"/>
      <c r="U136" s="309" t="n"/>
      <c r="V136" s="1279">
        <f>G136*H136</f>
        <v/>
      </c>
    </row>
    <row r="137" ht="15" customFormat="1" customHeight="1" s="353">
      <c r="A137" s="341" t="n"/>
      <c r="B137" s="340" t="n"/>
      <c r="C137" s="340" t="inlineStr">
        <is>
          <t>.</t>
        </is>
      </c>
      <c r="D137" s="340" t="n"/>
      <c r="E137" s="342" t="n"/>
      <c r="F137" s="343" t="n"/>
      <c r="G137" s="344" t="n"/>
      <c r="H137" s="1267" t="n"/>
      <c r="I137" s="316" t="n"/>
      <c r="J137" s="1268" t="n"/>
      <c r="K137" s="345" t="n"/>
      <c r="L137" s="346" t="n"/>
      <c r="M137" s="347" t="n"/>
      <c r="N137" s="348" t="n"/>
      <c r="O137" s="1269" t="n"/>
      <c r="P137" s="1270" t="n"/>
      <c r="Q137" s="1269" t="n"/>
      <c r="R137" s="1270" t="n"/>
      <c r="S137" s="1271" t="n"/>
      <c r="T137" s="1270" t="n"/>
      <c r="U137" s="1271" t="n"/>
      <c r="V137" s="1272" t="n"/>
      <c r="W137" s="1290" t="n"/>
    </row>
    <row r="138" ht="15" customHeight="1">
      <c r="A138" s="93" t="inlineStr">
        <is>
          <t>2.05.08</t>
        </is>
      </c>
      <c r="B138" s="90" t="inlineStr">
        <is>
          <t>MATERIAL</t>
        </is>
      </c>
      <c r="C138" s="90" t="n"/>
      <c r="D138" s="90" t="n"/>
      <c r="E138" s="94" t="inlineStr">
        <is>
          <t>Banco de Baterias 125 Vcc</t>
        </is>
      </c>
      <c r="F138" s="91" t="inlineStr">
        <is>
          <t>CJ.</t>
        </is>
      </c>
      <c r="G138" s="91" t="n">
        <v>2</v>
      </c>
      <c r="H138" s="1274" t="n">
        <v>162578.37</v>
      </c>
      <c r="I138" s="367" t="n"/>
      <c r="J138" s="1275" t="n"/>
      <c r="K138" s="1278" t="n"/>
      <c r="L138" s="1277" t="n"/>
      <c r="M138" s="233" t="inlineStr">
        <is>
          <t>TEKSEA</t>
        </is>
      </c>
      <c r="N138" s="237" t="n"/>
      <c r="O138" s="302" t="n"/>
      <c r="P138" s="309" t="n"/>
      <c r="Q138" s="310" t="n"/>
      <c r="R138" s="310" t="n"/>
      <c r="S138" s="311" t="n"/>
      <c r="T138" s="311" t="n"/>
      <c r="U138" s="309" t="n"/>
      <c r="V138" s="1279">
        <f>G138*H138</f>
        <v/>
      </c>
    </row>
    <row r="139" ht="15" customFormat="1" customHeight="1" s="353">
      <c r="A139" s="341" t="n"/>
      <c r="B139" s="340" t="n"/>
      <c r="C139" s="340" t="inlineStr">
        <is>
          <t>.</t>
        </is>
      </c>
      <c r="D139" s="340" t="n"/>
      <c r="E139" s="342" t="n"/>
      <c r="F139" s="343" t="n"/>
      <c r="G139" s="344" t="n"/>
      <c r="H139" s="1267" t="n"/>
      <c r="I139" s="316" t="n"/>
      <c r="J139" s="1268" t="n"/>
      <c r="K139" s="345" t="n"/>
      <c r="L139" s="346" t="n"/>
      <c r="M139" s="347" t="n"/>
      <c r="N139" s="348" t="n"/>
      <c r="O139" s="1269" t="n"/>
      <c r="P139" s="1270" t="n"/>
      <c r="Q139" s="1269" t="n"/>
      <c r="R139" s="1270" t="n"/>
      <c r="S139" s="1271" t="n"/>
      <c r="T139" s="1270" t="n"/>
      <c r="U139" s="1271" t="n"/>
      <c r="V139" s="1272" t="n"/>
    </row>
    <row r="140" ht="15" customHeight="1">
      <c r="A140" s="93" t="inlineStr">
        <is>
          <t>2.05.09</t>
        </is>
      </c>
      <c r="B140" s="90" t="inlineStr">
        <is>
          <t>MATERIAL</t>
        </is>
      </c>
      <c r="C140" s="90" t="n"/>
      <c r="D140" s="90" t="n"/>
      <c r="E140" s="94" t="inlineStr">
        <is>
          <t>Conversor CA/CC</t>
        </is>
      </c>
      <c r="F140" s="91" t="inlineStr">
        <is>
          <t>CJ.</t>
        </is>
      </c>
      <c r="G140" s="91" t="n">
        <v>3</v>
      </c>
      <c r="H140" s="1274" t="n">
        <v>77581.71000000001</v>
      </c>
      <c r="I140" s="367" t="n"/>
      <c r="J140" s="1275" t="n"/>
      <c r="K140" s="1278" t="n"/>
      <c r="L140" s="1277" t="n"/>
      <c r="M140" s="233" t="inlineStr">
        <is>
          <t>TEKSEA</t>
        </is>
      </c>
      <c r="N140" s="237" t="n"/>
      <c r="O140" s="302" t="n"/>
      <c r="P140" s="309" t="n"/>
      <c r="Q140" s="310" t="n"/>
      <c r="R140" s="310" t="n"/>
      <c r="S140" s="311" t="n"/>
      <c r="T140" s="311" t="n"/>
      <c r="U140" s="309" t="n"/>
      <c r="V140" s="1279">
        <f>G140*H140</f>
        <v/>
      </c>
    </row>
    <row r="141" ht="15" customFormat="1" customHeight="1" s="353">
      <c r="A141" s="341" t="n"/>
      <c r="B141" s="340" t="n"/>
      <c r="C141" s="340" t="inlineStr">
        <is>
          <t>.</t>
        </is>
      </c>
      <c r="D141" s="340" t="n"/>
      <c r="E141" s="342" t="n"/>
      <c r="F141" s="343" t="n"/>
      <c r="G141" s="344" t="n"/>
      <c r="H141" s="1267" t="n"/>
      <c r="I141" s="316" t="n"/>
      <c r="J141" s="1268" t="n"/>
      <c r="K141" s="345" t="n"/>
      <c r="L141" s="346" t="n"/>
      <c r="M141" s="347" t="n"/>
      <c r="N141" s="348" t="n"/>
      <c r="O141" s="1269" t="n"/>
      <c r="P141" s="1270" t="n"/>
      <c r="Q141" s="1269" t="n"/>
      <c r="R141" s="1270" t="n"/>
      <c r="S141" s="1271" t="n"/>
      <c r="T141" s="1270" t="n"/>
      <c r="U141" s="1271" t="n"/>
      <c r="V141" s="1272" t="n"/>
    </row>
    <row r="142" ht="15" customHeight="1">
      <c r="A142" s="93" t="inlineStr">
        <is>
          <t>2.05.10</t>
        </is>
      </c>
      <c r="B142" s="90" t="inlineStr">
        <is>
          <t>MATERIAL</t>
        </is>
      </c>
      <c r="C142" s="90" t="n"/>
      <c r="D142" s="90" t="n"/>
      <c r="E142" s="94" t="inlineStr">
        <is>
          <t>Inversor de Tensão CA-CC/CA 380 Vca-125 Vcc/ 220 Vca</t>
        </is>
      </c>
      <c r="F142" s="91" t="inlineStr">
        <is>
          <t>CJ.</t>
        </is>
      </c>
      <c r="G142" s="91" t="n">
        <v>1</v>
      </c>
      <c r="H142" s="1274" t="n">
        <v>87708.09</v>
      </c>
      <c r="I142" s="367" t="n"/>
      <c r="J142" s="1275" t="n"/>
      <c r="K142" s="1278" t="n"/>
      <c r="L142" s="1277" t="n"/>
      <c r="M142" s="233" t="inlineStr">
        <is>
          <t>TEKSEA</t>
        </is>
      </c>
      <c r="N142" s="237" t="n"/>
      <c r="O142" s="302" t="n"/>
      <c r="P142" s="309" t="n"/>
      <c r="Q142" s="310" t="n"/>
      <c r="R142" s="310" t="n"/>
      <c r="S142" s="311" t="n"/>
      <c r="T142" s="311" t="n"/>
      <c r="U142" s="309" t="n"/>
      <c r="V142" s="1279">
        <f>G142*H142</f>
        <v/>
      </c>
    </row>
    <row r="143" ht="15" customFormat="1" customHeight="1" s="353">
      <c r="A143" s="341" t="n"/>
      <c r="B143" s="340" t="n"/>
      <c r="C143" s="340" t="inlineStr">
        <is>
          <t>.</t>
        </is>
      </c>
      <c r="D143" s="340" t="n"/>
      <c r="E143" s="342" t="n"/>
      <c r="F143" s="343" t="n"/>
      <c r="G143" s="344" t="n"/>
      <c r="H143" s="1267" t="n"/>
      <c r="I143" s="316" t="n"/>
      <c r="J143" s="1268" t="n"/>
      <c r="K143" s="345" t="n"/>
      <c r="L143" s="346" t="n"/>
      <c r="M143" s="347" t="n"/>
      <c r="N143" s="348" t="n"/>
      <c r="O143" s="1269" t="n"/>
      <c r="P143" s="1270" t="n"/>
      <c r="Q143" s="1269" t="n"/>
      <c r="R143" s="1270" t="n"/>
      <c r="S143" s="1271" t="n"/>
      <c r="T143" s="1270" t="n"/>
      <c r="U143" s="1271" t="n"/>
      <c r="V143" s="1272" t="n"/>
    </row>
    <row r="144" ht="15" customHeight="1">
      <c r="A144" s="93" t="inlineStr">
        <is>
          <t>2.05.11</t>
        </is>
      </c>
      <c r="B144" s="90" t="inlineStr">
        <is>
          <t>MATERIAL</t>
        </is>
      </c>
      <c r="C144" s="90" t="n"/>
      <c r="D144" s="90" t="n"/>
      <c r="E144" s="94" t="inlineStr">
        <is>
          <t>Condicionadores de Ar tipo “split system”</t>
        </is>
      </c>
      <c r="F144" s="91" t="inlineStr">
        <is>
          <t>CJ.</t>
        </is>
      </c>
      <c r="G144" s="91" t="n">
        <v>2</v>
      </c>
      <c r="H144" s="1274" t="n">
        <v>14381.27</v>
      </c>
      <c r="I144" s="367" t="n"/>
      <c r="J144" s="1275" t="n"/>
      <c r="K144" s="1278" t="n"/>
      <c r="L144" s="1277" t="n"/>
      <c r="M144" s="233" t="inlineStr">
        <is>
          <t>INSIGHT ENERGY</t>
        </is>
      </c>
      <c r="N144" s="237" t="n"/>
      <c r="O144" s="302" t="n"/>
      <c r="P144" s="309" t="n"/>
      <c r="Q144" s="310" t="n"/>
      <c r="R144" s="310" t="n"/>
      <c r="S144" s="311" t="n"/>
      <c r="T144" s="311" t="n"/>
      <c r="U144" s="309" t="n"/>
      <c r="V144" s="1279">
        <f>G144*H144</f>
        <v/>
      </c>
    </row>
    <row r="145" ht="15.6" customFormat="1" customHeight="1" s="353" thickBot="1">
      <c r="A145" s="341" t="n"/>
      <c r="B145" s="340" t="n"/>
      <c r="C145" s="340" t="inlineStr">
        <is>
          <t>.</t>
        </is>
      </c>
      <c r="D145" s="340" t="n"/>
      <c r="E145" s="342" t="n"/>
      <c r="F145" s="343" t="n"/>
      <c r="G145" s="344" t="n"/>
      <c r="H145" s="1267" t="n"/>
      <c r="I145" s="316" t="n"/>
      <c r="J145" s="1268" t="n"/>
      <c r="K145" s="345" t="n"/>
      <c r="L145" s="346" t="n"/>
      <c r="M145" s="347" t="n"/>
      <c r="N145" s="348" t="n"/>
      <c r="O145" s="1269" t="n"/>
      <c r="P145" s="1270" t="n"/>
      <c r="Q145" s="1269" t="n"/>
      <c r="R145" s="1270" t="n"/>
      <c r="S145" s="1271" t="n"/>
      <c r="T145" s="1270" t="n"/>
      <c r="U145" s="1271" t="n"/>
      <c r="V145" s="1272" t="n"/>
    </row>
    <row r="146" ht="16.2" customHeight="1" thickBot="1">
      <c r="A146" s="379" t="inlineStr">
        <is>
          <t>2.07 - Instrumentação</t>
        </is>
      </c>
      <c r="B146" s="380" t="n"/>
      <c r="C146" s="380" t="n"/>
      <c r="D146" s="380" t="n"/>
      <c r="E146" s="380" t="n"/>
      <c r="F146" s="380" t="n"/>
      <c r="G146" s="380" t="n"/>
      <c r="H146" s="380" t="n"/>
      <c r="I146" s="381" t="n"/>
      <c r="J146" s="1258" t="n"/>
      <c r="K146" s="380" t="n"/>
      <c r="L146" s="380" t="n"/>
      <c r="M146" s="385" t="n"/>
      <c r="N146" s="380" t="n"/>
      <c r="O146" s="383" t="n"/>
      <c r="P146" s="380" t="n"/>
      <c r="Q146" s="383" t="n"/>
      <c r="R146" s="380" t="n"/>
      <c r="S146" s="380" t="n"/>
      <c r="T146" s="380" t="n"/>
      <c r="U146" s="384" t="n"/>
      <c r="V146" s="1259">
        <f>SUM(V147:V165)</f>
        <v/>
      </c>
      <c r="W146" s="1260" t="n"/>
    </row>
    <row r="147" ht="15" customHeight="1">
      <c r="A147" s="89" t="inlineStr">
        <is>
          <t>2.07.01</t>
        </is>
      </c>
      <c r="B147" s="90" t="inlineStr">
        <is>
          <t>SERVIÇO</t>
        </is>
      </c>
      <c r="C147" s="90" t="n"/>
      <c r="D147" s="90" t="n"/>
      <c r="E147" s="81" t="inlineStr">
        <is>
          <t>Engenharia e projeto executivo</t>
        </is>
      </c>
      <c r="F147" s="91" t="inlineStr">
        <is>
          <t>VB.</t>
        </is>
      </c>
      <c r="G147" s="91" t="n">
        <v>1</v>
      </c>
      <c r="H147" s="1274" t="n">
        <v>456158.98</v>
      </c>
      <c r="I147" s="367" t="n"/>
      <c r="J147" s="1275" t="n"/>
      <c r="K147" s="9" t="n"/>
      <c r="L147" s="10" t="n"/>
      <c r="M147" s="238" t="inlineStr">
        <is>
          <t>INSIGHT ENERGY</t>
        </is>
      </c>
      <c r="N147" s="237" t="n"/>
      <c r="O147" s="1276" t="n"/>
      <c r="P147" s="1277" t="n"/>
      <c r="Q147" s="1276" t="n"/>
      <c r="R147" s="1277" t="n"/>
      <c r="S147" s="1278" t="n"/>
      <c r="T147" s="1277" t="n"/>
      <c r="U147" s="1278" t="n"/>
      <c r="V147" s="1279">
        <f>G147*H147</f>
        <v/>
      </c>
      <c r="W147" s="1260" t="n"/>
    </row>
    <row r="148" ht="15" customFormat="1" customHeight="1" s="353">
      <c r="A148" s="341" t="n"/>
      <c r="B148" s="340" t="n"/>
      <c r="C148" s="340" t="inlineStr">
        <is>
          <t>.</t>
        </is>
      </c>
      <c r="D148" s="340" t="n"/>
      <c r="E148" s="342" t="n"/>
      <c r="F148" s="343" t="n"/>
      <c r="G148" s="344" t="n"/>
      <c r="H148" s="1267" t="n"/>
      <c r="I148" s="316" t="n"/>
      <c r="J148" s="1268" t="n"/>
      <c r="K148" s="345" t="n"/>
      <c r="L148" s="346" t="n"/>
      <c r="M148" s="347" t="n"/>
      <c r="N148" s="348" t="n"/>
      <c r="O148" s="1269" t="n"/>
      <c r="P148" s="1270" t="n"/>
      <c r="Q148" s="1269" t="n"/>
      <c r="R148" s="1270" t="n"/>
      <c r="S148" s="1271" t="n"/>
      <c r="T148" s="1270" t="n"/>
      <c r="U148" s="1271" t="n"/>
      <c r="V148" s="1272" t="n"/>
    </row>
    <row r="149" ht="27.6" customHeight="1">
      <c r="A149" s="89" t="inlineStr">
        <is>
          <t>2.07.02</t>
        </is>
      </c>
      <c r="B149" s="90" t="inlineStr">
        <is>
          <t>SERVIÇO</t>
        </is>
      </c>
      <c r="C149" s="90" t="n"/>
      <c r="D149" s="90" t="n"/>
      <c r="E149" s="81" t="inlineStr">
        <is>
          <t>Desmontagem dos painéis, materiais e equipamentos da instrumentação existente e respectiva infraestrutura</t>
        </is>
      </c>
      <c r="F149" s="91" t="inlineStr">
        <is>
          <t>VB.</t>
        </is>
      </c>
      <c r="G149" s="91" t="n">
        <v>1</v>
      </c>
      <c r="H149" s="1274" t="n">
        <v>521565.3</v>
      </c>
      <c r="I149" s="367" t="n"/>
      <c r="J149" s="1275" t="n"/>
      <c r="K149" s="9" t="n"/>
      <c r="L149" s="10" t="n"/>
      <c r="M149" s="238" t="inlineStr">
        <is>
          <t>INSIGHT ENERGY</t>
        </is>
      </c>
      <c r="N149" s="237" t="n"/>
      <c r="O149" s="1276" t="n"/>
      <c r="P149" s="1277" t="n"/>
      <c r="Q149" s="1276" t="n"/>
      <c r="R149" s="1277" t="n"/>
      <c r="S149" s="1278" t="n"/>
      <c r="T149" s="1277" t="n"/>
      <c r="U149" s="1278" t="n"/>
      <c r="V149" s="1279">
        <f>G149*H149</f>
        <v/>
      </c>
    </row>
    <row r="150" ht="15" customFormat="1" customHeight="1" s="353">
      <c r="A150" s="341" t="n"/>
      <c r="B150" s="340" t="n"/>
      <c r="C150" s="340" t="inlineStr">
        <is>
          <t>.</t>
        </is>
      </c>
      <c r="D150" s="340" t="n"/>
      <c r="E150" s="342" t="n"/>
      <c r="F150" s="343" t="n"/>
      <c r="G150" s="344" t="n"/>
      <c r="H150" s="1267" t="n"/>
      <c r="I150" s="316" t="n"/>
      <c r="J150" s="1268" t="n"/>
      <c r="K150" s="345" t="n"/>
      <c r="L150" s="346" t="n"/>
      <c r="M150" s="347" t="n"/>
      <c r="N150" s="348" t="n"/>
      <c r="O150" s="1269" t="n"/>
      <c r="P150" s="1270" t="n"/>
      <c r="Q150" s="1269" t="n"/>
      <c r="R150" s="1270" t="n"/>
      <c r="S150" s="1271" t="n"/>
      <c r="T150" s="1270" t="n"/>
      <c r="U150" s="1271" t="n"/>
      <c r="V150" s="1272" t="n"/>
    </row>
    <row r="151" ht="15" customHeight="1">
      <c r="A151" s="89" t="inlineStr">
        <is>
          <t>2.07.03</t>
        </is>
      </c>
      <c r="B151" s="90" t="inlineStr">
        <is>
          <t>SERVIÇO</t>
        </is>
      </c>
      <c r="C151" s="90" t="n"/>
      <c r="D151" s="90" t="n"/>
      <c r="E151" s="81" t="inlineStr">
        <is>
          <t>Montagem eletromecânica completa</t>
        </is>
      </c>
      <c r="F151" s="91" t="inlineStr">
        <is>
          <t>VB.</t>
        </is>
      </c>
      <c r="G151" s="91" t="n">
        <v>1</v>
      </c>
      <c r="H151" s="1274" t="n">
        <v>720212.41</v>
      </c>
      <c r="I151" s="367" t="n"/>
      <c r="J151" s="1275" t="n"/>
      <c r="K151" s="9" t="n"/>
      <c r="L151" s="10" t="n"/>
      <c r="M151" s="238" t="inlineStr">
        <is>
          <t>INSIGHT ENERGY</t>
        </is>
      </c>
      <c r="N151" s="237" t="n"/>
      <c r="O151" s="1276" t="n"/>
      <c r="P151" s="1277" t="n"/>
      <c r="Q151" s="1276" t="n"/>
      <c r="R151" s="1277" t="n"/>
      <c r="S151" s="1278" t="n"/>
      <c r="T151" s="1277" t="n"/>
      <c r="U151" s="1278" t="n"/>
      <c r="V151" s="1279">
        <f>G151*H151</f>
        <v/>
      </c>
    </row>
    <row r="152" ht="15" customFormat="1" customHeight="1" s="353">
      <c r="A152" s="341" t="n"/>
      <c r="B152" s="340" t="n"/>
      <c r="C152" s="340" t="inlineStr">
        <is>
          <t>.</t>
        </is>
      </c>
      <c r="D152" s="340" t="n"/>
      <c r="E152" s="342" t="n"/>
      <c r="F152" s="343" t="n"/>
      <c r="G152" s="344" t="n"/>
      <c r="H152" s="1267" t="n"/>
      <c r="I152" s="316" t="n"/>
      <c r="J152" s="1268" t="n"/>
      <c r="K152" s="345" t="n"/>
      <c r="L152" s="346" t="n"/>
      <c r="M152" s="347" t="n"/>
      <c r="N152" s="348" t="n"/>
      <c r="O152" s="1269" t="n"/>
      <c r="P152" s="1270" t="n"/>
      <c r="Q152" s="1269" t="n"/>
      <c r="R152" s="1270" t="n"/>
      <c r="S152" s="1271" t="n"/>
      <c r="T152" s="1270" t="n"/>
      <c r="U152" s="1271" t="n"/>
      <c r="V152" s="1272" t="n"/>
    </row>
    <row r="153" ht="15" customHeight="1">
      <c r="A153" s="89" t="inlineStr">
        <is>
          <t>2.07.04</t>
        </is>
      </c>
      <c r="B153" s="90" t="inlineStr">
        <is>
          <t>SERVIÇO</t>
        </is>
      </c>
      <c r="C153" s="90" t="n"/>
      <c r="D153" s="90" t="n"/>
      <c r="E153" s="81" t="inlineStr">
        <is>
          <t>Supervisão, ensaios de campo e comissionamento</t>
        </is>
      </c>
      <c r="F153" s="91" t="inlineStr">
        <is>
          <t>VB.</t>
        </is>
      </c>
      <c r="G153" s="91" t="n">
        <v>1</v>
      </c>
      <c r="H153" s="1274" t="n">
        <v>312090.4</v>
      </c>
      <c r="I153" s="367" t="n"/>
      <c r="J153" s="1275" t="n"/>
      <c r="K153" s="9" t="n"/>
      <c r="L153" s="10" t="n"/>
      <c r="M153" s="238" t="inlineStr">
        <is>
          <t>INSIGHT ENERGY</t>
        </is>
      </c>
      <c r="N153" s="237" t="n"/>
      <c r="O153" s="1276" t="n"/>
      <c r="P153" s="1277" t="n"/>
      <c r="Q153" s="1276" t="n"/>
      <c r="R153" s="1277" t="n"/>
      <c r="S153" s="1278" t="n"/>
      <c r="T153" s="1277" t="n"/>
      <c r="U153" s="1278" t="n"/>
      <c r="V153" s="1279">
        <f>G153*H153</f>
        <v/>
      </c>
    </row>
    <row r="154" ht="15" customFormat="1" customHeight="1" s="353">
      <c r="A154" s="341" t="n"/>
      <c r="B154" s="340" t="n"/>
      <c r="C154" s="340" t="inlineStr">
        <is>
          <t>.</t>
        </is>
      </c>
      <c r="D154" s="340" t="n"/>
      <c r="E154" s="342" t="n"/>
      <c r="F154" s="343" t="n"/>
      <c r="G154" s="344" t="n"/>
      <c r="H154" s="1267" t="n"/>
      <c r="I154" s="316" t="n"/>
      <c r="J154" s="1268" t="n"/>
      <c r="K154" s="345" t="n"/>
      <c r="L154" s="346" t="n"/>
      <c r="M154" s="347" t="n"/>
      <c r="N154" s="348" t="n"/>
      <c r="O154" s="1269" t="n"/>
      <c r="P154" s="1270" t="n"/>
      <c r="Q154" s="1269" t="n"/>
      <c r="R154" s="1270" t="n"/>
      <c r="S154" s="1271" t="n"/>
      <c r="T154" s="1270" t="n"/>
      <c r="U154" s="1271" t="n"/>
      <c r="V154" s="1272" t="n"/>
    </row>
    <row r="155" ht="41.4" customHeight="1">
      <c r="A155" s="89" t="inlineStr">
        <is>
          <t>2.07.05</t>
        </is>
      </c>
      <c r="B155" s="90" t="inlineStr">
        <is>
          <t>MATERIAL</t>
        </is>
      </c>
      <c r="C155" s="90" t="n"/>
      <c r="D155" s="90" t="n"/>
      <c r="E155" s="81" t="inlineStr">
        <is>
          <t>Instrumentação completa da unidade geradora, incluindo painéis de instrumentos completos, CLPs, IHMs, instrumentos, sensores, transmissores, transdutores, indicadores, acessórios, cabos de sinais e alimentação, etc.</t>
        </is>
      </c>
      <c r="F155" s="91" t="inlineStr">
        <is>
          <t>CJ.</t>
        </is>
      </c>
      <c r="G155" s="91" t="n">
        <v>4</v>
      </c>
      <c r="H155" s="1274" t="n">
        <v>638187.8972054422</v>
      </c>
      <c r="I155" s="367" t="n"/>
      <c r="J155" s="1275" t="n"/>
      <c r="K155" s="1278" t="n"/>
      <c r="L155" s="1277" t="n"/>
      <c r="M155" s="238" t="inlineStr">
        <is>
          <t>INSIGHT ENERGY</t>
        </is>
      </c>
      <c r="N155" s="237" t="n"/>
      <c r="O155" s="302" t="n"/>
      <c r="P155" s="309" t="n"/>
      <c r="Q155" s="310" t="n"/>
      <c r="R155" s="310" t="n"/>
      <c r="S155" s="311" t="n"/>
      <c r="T155" s="311" t="n"/>
      <c r="U155" s="309" t="n"/>
      <c r="V155" s="1279">
        <f>G155*H155</f>
        <v/>
      </c>
    </row>
    <row r="156" ht="15" customFormat="1" customHeight="1" s="353">
      <c r="A156" s="341" t="n"/>
      <c r="B156" s="340" t="n"/>
      <c r="C156" s="340" t="inlineStr">
        <is>
          <t>.</t>
        </is>
      </c>
      <c r="D156" s="340" t="n"/>
      <c r="E156" s="342" t="n"/>
      <c r="F156" s="343" t="n"/>
      <c r="G156" s="344" t="n"/>
      <c r="H156" s="1267" t="n">
        <v>0</v>
      </c>
      <c r="I156" s="316" t="n"/>
      <c r="J156" s="1268" t="n"/>
      <c r="K156" s="345" t="n"/>
      <c r="L156" s="346" t="n"/>
      <c r="M156" s="347" t="n"/>
      <c r="N156" s="348" t="n"/>
      <c r="O156" s="1269" t="n"/>
      <c r="P156" s="1270" t="n"/>
      <c r="Q156" s="1269" t="n"/>
      <c r="R156" s="1270" t="n"/>
      <c r="S156" s="1271" t="n"/>
      <c r="T156" s="1270" t="n"/>
      <c r="U156" s="1271" t="n"/>
      <c r="V156" s="1272" t="n"/>
    </row>
    <row r="157" ht="27.6" customHeight="1">
      <c r="A157" s="89" t="inlineStr">
        <is>
          <t>2.07.06</t>
        </is>
      </c>
      <c r="B157" s="90" t="inlineStr">
        <is>
          <t>MATERIAL</t>
        </is>
      </c>
      <c r="C157" s="90" t="n"/>
      <c r="D157" s="90" t="n"/>
      <c r="E157" s="81" t="inlineStr">
        <is>
          <t>Transmissor, acessórios e cabos de sinais para monitoramento do nível de água de resfriamento da Vaska</t>
        </is>
      </c>
      <c r="F157" s="91" t="inlineStr">
        <is>
          <t>CJ.</t>
        </is>
      </c>
      <c r="G157" s="91" t="n">
        <v>1</v>
      </c>
      <c r="H157" s="1274" t="n">
        <v>349645.3254150304</v>
      </c>
      <c r="I157" s="367" t="n"/>
      <c r="J157" s="1275" t="n"/>
      <c r="K157" s="1278" t="n"/>
      <c r="L157" s="1277" t="n"/>
      <c r="M157" s="238" t="inlineStr">
        <is>
          <t>INSIGHT ENERGY</t>
        </is>
      </c>
      <c r="N157" s="237" t="n"/>
      <c r="O157" s="302" t="n"/>
      <c r="P157" s="309" t="n"/>
      <c r="Q157" s="310" t="n"/>
      <c r="R157" s="310" t="n"/>
      <c r="S157" s="311" t="n"/>
      <c r="T157" s="311" t="n"/>
      <c r="U157" s="309" t="n"/>
      <c r="V157" s="1279">
        <f>G157*H157</f>
        <v/>
      </c>
    </row>
    <row r="158" ht="15" customFormat="1" customHeight="1" s="353">
      <c r="A158" s="341" t="n"/>
      <c r="B158" s="340" t="n"/>
      <c r="C158" s="340" t="inlineStr">
        <is>
          <t>.</t>
        </is>
      </c>
      <c r="D158" s="340" t="n"/>
      <c r="E158" s="342" t="n"/>
      <c r="F158" s="343" t="n"/>
      <c r="G158" s="344" t="n"/>
      <c r="H158" s="1267" t="n">
        <v>0</v>
      </c>
      <c r="I158" s="316" t="n"/>
      <c r="J158" s="1268" t="n"/>
      <c r="K158" s="345" t="n"/>
      <c r="L158" s="346" t="n"/>
      <c r="M158" s="347" t="n"/>
      <c r="N158" s="348" t="n"/>
      <c r="O158" s="1269" t="n"/>
      <c r="P158" s="1270" t="n"/>
      <c r="Q158" s="1269" t="n"/>
      <c r="R158" s="1270" t="n"/>
      <c r="S158" s="1271" t="n"/>
      <c r="T158" s="1270" t="n"/>
      <c r="U158" s="1271" t="n"/>
      <c r="V158" s="1272" t="n"/>
    </row>
    <row r="159" ht="15" customHeight="1">
      <c r="A159" s="89" t="inlineStr">
        <is>
          <t>2.07.07</t>
        </is>
      </c>
      <c r="B159" s="90" t="inlineStr">
        <is>
          <t>MATERIAL</t>
        </is>
      </c>
      <c r="C159" s="90" t="n"/>
      <c r="D159" s="90" t="n"/>
      <c r="E159" s="81" t="inlineStr">
        <is>
          <t>Transmissor de nível do canal de fuga da Casa de Força</t>
        </is>
      </c>
      <c r="F159" s="91" t="inlineStr">
        <is>
          <t>CJ.</t>
        </is>
      </c>
      <c r="G159" s="91" t="n">
        <v>1</v>
      </c>
      <c r="H159" s="1274" t="n">
        <v>142865.8624822551</v>
      </c>
      <c r="I159" s="367" t="n"/>
      <c r="J159" s="1275" t="n"/>
      <c r="K159" s="1278" t="n"/>
      <c r="L159" s="1277" t="n"/>
      <c r="M159" s="238" t="inlineStr">
        <is>
          <t>INSIGHT ENERGY</t>
        </is>
      </c>
      <c r="N159" s="237" t="n"/>
      <c r="O159" s="302" t="n"/>
      <c r="P159" s="309" t="n"/>
      <c r="Q159" s="310" t="n"/>
      <c r="R159" s="310" t="n"/>
      <c r="S159" s="311" t="n"/>
      <c r="T159" s="311" t="n"/>
      <c r="U159" s="309" t="n"/>
      <c r="V159" s="1279">
        <f>G159*H159</f>
        <v/>
      </c>
    </row>
    <row r="160" ht="15" customFormat="1" customHeight="1" s="353">
      <c r="A160" s="341" t="n"/>
      <c r="B160" s="340" t="n"/>
      <c r="C160" s="340" t="inlineStr">
        <is>
          <t>.</t>
        </is>
      </c>
      <c r="D160" s="340" t="n"/>
      <c r="E160" s="342" t="n"/>
      <c r="F160" s="343" t="n"/>
      <c r="G160" s="344" t="n"/>
      <c r="H160" s="1267" t="n">
        <v>0</v>
      </c>
      <c r="I160" s="316" t="n"/>
      <c r="J160" s="1268" t="n"/>
      <c r="K160" s="345" t="n"/>
      <c r="L160" s="346" t="n"/>
      <c r="M160" s="347" t="n"/>
      <c r="N160" s="348" t="n"/>
      <c r="O160" s="1269" t="n"/>
      <c r="P160" s="1270" t="n"/>
      <c r="Q160" s="1269" t="n"/>
      <c r="R160" s="1270" t="n"/>
      <c r="S160" s="1271" t="n"/>
      <c r="T160" s="1270" t="n"/>
      <c r="U160" s="1271" t="n"/>
      <c r="V160" s="1272" t="n"/>
    </row>
    <row r="161" ht="15" customHeight="1">
      <c r="A161" s="89" t="inlineStr">
        <is>
          <t>2.07.08</t>
        </is>
      </c>
      <c r="B161" s="90" t="inlineStr">
        <is>
          <t>MATERIAL</t>
        </is>
      </c>
      <c r="C161" s="90" t="n"/>
      <c r="D161" s="90" t="n"/>
      <c r="E161" s="81" t="inlineStr">
        <is>
          <t>Sistema de controle do nível do Poço de Drenagem de Água Pluvial</t>
        </is>
      </c>
      <c r="F161" s="91" t="inlineStr">
        <is>
          <t>CJ.</t>
        </is>
      </c>
      <c r="G161" s="91" t="n">
        <v>1</v>
      </c>
      <c r="H161" s="1274" t="n">
        <v>253774.8642056635</v>
      </c>
      <c r="I161" s="367" t="n"/>
      <c r="J161" s="1275" t="n"/>
      <c r="K161" s="1278" t="n"/>
      <c r="L161" s="1277" t="n"/>
      <c r="M161" s="238" t="inlineStr">
        <is>
          <t>INSIGHT ENERGY</t>
        </is>
      </c>
      <c r="N161" s="237" t="n"/>
      <c r="O161" s="302" t="n"/>
      <c r="P161" s="309" t="n"/>
      <c r="Q161" s="310" t="n"/>
      <c r="R161" s="310" t="n"/>
      <c r="S161" s="311" t="n"/>
      <c r="T161" s="311" t="n"/>
      <c r="U161" s="309" t="n"/>
      <c r="V161" s="1279">
        <f>G161*H161</f>
        <v/>
      </c>
    </row>
    <row r="162" ht="15" customFormat="1" customHeight="1" s="353">
      <c r="A162" s="341" t="n"/>
      <c r="B162" s="340" t="n"/>
      <c r="C162" s="340" t="inlineStr">
        <is>
          <t>.</t>
        </is>
      </c>
      <c r="D162" s="340" t="n"/>
      <c r="E162" s="342" t="n"/>
      <c r="F162" s="343" t="n"/>
      <c r="G162" s="344" t="n"/>
      <c r="H162" s="1267" t="n">
        <v>0</v>
      </c>
      <c r="I162" s="316" t="n"/>
      <c r="J162" s="1268" t="n"/>
      <c r="K162" s="345" t="n"/>
      <c r="L162" s="346" t="n"/>
      <c r="M162" s="347" t="n"/>
      <c r="N162" s="348" t="n"/>
      <c r="O162" s="1269" t="n"/>
      <c r="P162" s="1270" t="n"/>
      <c r="Q162" s="1269" t="n"/>
      <c r="R162" s="1270" t="n"/>
      <c r="S162" s="1271" t="n"/>
      <c r="T162" s="1270" t="n"/>
      <c r="U162" s="1271" t="n"/>
      <c r="V162" s="1272" t="n"/>
    </row>
    <row r="163" ht="15" customHeight="1">
      <c r="A163" s="89" t="inlineStr">
        <is>
          <t>2.07.09</t>
        </is>
      </c>
      <c r="B163" s="90" t="inlineStr">
        <is>
          <t>MATERIAL</t>
        </is>
      </c>
      <c r="C163" s="90" t="n"/>
      <c r="D163" s="90" t="n"/>
      <c r="E163" s="81" t="inlineStr">
        <is>
          <t>Sistema de controle do nível do Poço Geral da Usina</t>
        </is>
      </c>
      <c r="F163" s="91" t="inlineStr">
        <is>
          <t>CJ.</t>
        </is>
      </c>
      <c r="G163" s="91" t="n">
        <v>1</v>
      </c>
      <c r="H163" s="1274" t="n">
        <v>253774.8642056635</v>
      </c>
      <c r="I163" s="367" t="n"/>
      <c r="J163" s="1275" t="n"/>
      <c r="K163" s="1278" t="n"/>
      <c r="L163" s="1277" t="n"/>
      <c r="M163" s="238" t="inlineStr">
        <is>
          <t>INSIGHT ENERGY</t>
        </is>
      </c>
      <c r="N163" s="237" t="n"/>
      <c r="O163" s="302" t="n"/>
      <c r="P163" s="309" t="n"/>
      <c r="Q163" s="310" t="n"/>
      <c r="R163" s="310" t="n"/>
      <c r="S163" s="311" t="n"/>
      <c r="T163" s="311" t="n"/>
      <c r="U163" s="309" t="n"/>
      <c r="V163" s="1279">
        <f>G163*H163</f>
        <v/>
      </c>
    </row>
    <row r="164" ht="15" customFormat="1" customHeight="1" s="353">
      <c r="A164" s="341" t="n"/>
      <c r="B164" s="340" t="n"/>
      <c r="C164" s="340" t="inlineStr">
        <is>
          <t>.</t>
        </is>
      </c>
      <c r="D164" s="340" t="n"/>
      <c r="E164" s="342" t="n"/>
      <c r="F164" s="343" t="n"/>
      <c r="G164" s="344" t="n"/>
      <c r="H164" s="1267" t="n">
        <v>0</v>
      </c>
      <c r="I164" s="316" t="n"/>
      <c r="J164" s="1268" t="n"/>
      <c r="K164" s="345" t="n"/>
      <c r="L164" s="346" t="n"/>
      <c r="M164" s="347" t="n"/>
      <c r="N164" s="348" t="n"/>
      <c r="O164" s="1269" t="n"/>
      <c r="P164" s="1270" t="n"/>
      <c r="Q164" s="1269" t="n"/>
      <c r="R164" s="1270" t="n"/>
      <c r="S164" s="1271" t="n"/>
      <c r="T164" s="1270" t="n"/>
      <c r="U164" s="1271" t="n"/>
      <c r="V164" s="1272" t="n"/>
    </row>
    <row r="165" ht="41.4" customHeight="1">
      <c r="A165" s="89" t="inlineStr">
        <is>
          <t>2.07.10</t>
        </is>
      </c>
      <c r="B165" s="90" t="inlineStr">
        <is>
          <t>MATERIAL</t>
        </is>
      </c>
      <c r="C165" s="90" t="n"/>
      <c r="D165" s="90" t="n"/>
      <c r="E165" s="81" t="inlineStr">
        <is>
          <t>Transmissores de fluxo, acessórios e cabos de sinais, a serem instalados a jusante de cada unidade de filtro tipo cesto automático para monitoramento da vazão de água industrial</t>
        </is>
      </c>
      <c r="F165" s="91" t="inlineStr">
        <is>
          <t>CJ.</t>
        </is>
      </c>
      <c r="G165" s="91" t="n">
        <v>3</v>
      </c>
      <c r="H165" s="1274" t="n">
        <v>330062.4982898729</v>
      </c>
      <c r="I165" s="367" t="n"/>
      <c r="J165" s="1275" t="n"/>
      <c r="K165" s="1278" t="n"/>
      <c r="L165" s="1277" t="n"/>
      <c r="M165" s="238" t="inlineStr">
        <is>
          <t>INSIGHT ENERGY</t>
        </is>
      </c>
      <c r="N165" s="237" t="n"/>
      <c r="O165" s="302" t="n"/>
      <c r="P165" s="309" t="n"/>
      <c r="Q165" s="310" t="n"/>
      <c r="R165" s="310" t="n"/>
      <c r="S165" s="311" t="n"/>
      <c r="T165" s="311" t="n"/>
      <c r="U165" s="309" t="n"/>
      <c r="V165" s="1279">
        <f>G165*H165</f>
        <v/>
      </c>
    </row>
    <row r="166" ht="15.6" customFormat="1" customHeight="1" s="353" thickBot="1">
      <c r="A166" s="341" t="n"/>
      <c r="B166" s="340" t="n"/>
      <c r="C166" s="340" t="inlineStr">
        <is>
          <t>.</t>
        </is>
      </c>
      <c r="D166" s="340" t="n"/>
      <c r="E166" s="342" t="n"/>
      <c r="F166" s="343" t="n"/>
      <c r="G166" s="344" t="n"/>
      <c r="H166" s="1267" t="n"/>
      <c r="I166" s="316" t="n"/>
      <c r="J166" s="1268" t="n"/>
      <c r="K166" s="345" t="n"/>
      <c r="L166" s="346" t="n"/>
      <c r="M166" s="347" t="n"/>
      <c r="N166" s="348" t="n"/>
      <c r="O166" s="1269" t="n"/>
      <c r="P166" s="1270" t="n"/>
      <c r="Q166" s="1269" t="n"/>
      <c r="R166" s="1270" t="n"/>
      <c r="S166" s="1271" t="n"/>
      <c r="T166" s="1270" t="n"/>
      <c r="U166" s="1271" t="n"/>
      <c r="V166" s="1272" t="n"/>
    </row>
    <row r="167" ht="16.2" customHeight="1" thickBot="1">
      <c r="A167" s="379" t="inlineStr">
        <is>
          <t>2.08 - Gerador</t>
        </is>
      </c>
      <c r="B167" s="380" t="n"/>
      <c r="C167" s="380" t="n"/>
      <c r="D167" s="380" t="n"/>
      <c r="E167" s="380" t="n"/>
      <c r="F167" s="380" t="n"/>
      <c r="G167" s="380" t="n"/>
      <c r="H167" s="380" t="n"/>
      <c r="I167" s="381" t="n"/>
      <c r="J167" s="1258" t="n"/>
      <c r="K167" s="380" t="n"/>
      <c r="L167" s="380" t="n"/>
      <c r="M167" s="385" t="n"/>
      <c r="N167" s="380" t="n"/>
      <c r="O167" s="383" t="n"/>
      <c r="P167" s="380" t="n"/>
      <c r="Q167" s="383" t="n"/>
      <c r="R167" s="380" t="n"/>
      <c r="S167" s="380" t="n"/>
      <c r="T167" s="380" t="n"/>
      <c r="U167" s="384" t="n"/>
      <c r="V167" s="1259">
        <f>SUM(V168:V239)</f>
        <v/>
      </c>
      <c r="W167" s="1260" t="n"/>
    </row>
    <row r="168" ht="15" customHeight="1">
      <c r="A168" s="95" t="inlineStr">
        <is>
          <t>2.08.01</t>
        </is>
      </c>
      <c r="B168" s="80" t="inlineStr">
        <is>
          <t>SERVIÇO</t>
        </is>
      </c>
      <c r="C168" s="80" t="n"/>
      <c r="D168" s="80" t="n"/>
      <c r="E168" s="81" t="inlineStr">
        <is>
          <t>Engenharia e projeto executivo</t>
        </is>
      </c>
      <c r="F168" s="83" t="inlineStr">
        <is>
          <t>VB.</t>
        </is>
      </c>
      <c r="G168" s="83" t="n">
        <v>1</v>
      </c>
      <c r="H168" s="1274" t="n">
        <v>2464675.11</v>
      </c>
      <c r="I168" s="367" t="n"/>
      <c r="J168" s="1275" t="n"/>
      <c r="K168" s="9" t="n"/>
      <c r="L168" s="10" t="n"/>
      <c r="M168" s="236" t="inlineStr">
        <is>
          <t>INSIGHT/AQTECH</t>
        </is>
      </c>
      <c r="N168" s="237" t="n"/>
      <c r="O168" s="1276" t="n"/>
      <c r="P168" s="1277" t="n"/>
      <c r="Q168" s="1276" t="n"/>
      <c r="R168" s="1277" t="n"/>
      <c r="S168" s="1278" t="n"/>
      <c r="T168" s="1277" t="n"/>
      <c r="U168" s="1278" t="n"/>
      <c r="V168" s="1279">
        <f>G168*H168</f>
        <v/>
      </c>
      <c r="W168" s="1260" t="n"/>
    </row>
    <row r="169" ht="15" customFormat="1" customHeight="1" s="353">
      <c r="A169" s="341" t="n"/>
      <c r="B169" s="340" t="n"/>
      <c r="C169" s="340" t="inlineStr">
        <is>
          <t>.</t>
        </is>
      </c>
      <c r="D169" s="340" t="n"/>
      <c r="E169" s="342" t="n"/>
      <c r="F169" s="343" t="n"/>
      <c r="G169" s="344" t="n"/>
      <c r="H169" s="1267" t="n"/>
      <c r="I169" s="316" t="n"/>
      <c r="J169" s="1268" t="n"/>
      <c r="K169" s="345" t="n"/>
      <c r="L169" s="346" t="n"/>
      <c r="M169" s="347" t="n"/>
      <c r="N169" s="348" t="n"/>
      <c r="O169" s="1269" t="n"/>
      <c r="P169" s="1270" t="n"/>
      <c r="Q169" s="1269" t="n"/>
      <c r="R169" s="1270" t="n"/>
      <c r="S169" s="1271" t="n"/>
      <c r="T169" s="1270" t="n"/>
      <c r="U169" s="1271" t="n"/>
      <c r="V169" s="1272" t="n"/>
    </row>
    <row r="170" ht="15" customHeight="1">
      <c r="A170" s="95" t="inlineStr">
        <is>
          <t>2.08.02</t>
        </is>
      </c>
      <c r="B170" s="80" t="inlineStr">
        <is>
          <t>SERVIÇO</t>
        </is>
      </c>
      <c r="C170" s="80" t="n"/>
      <c r="D170" s="80" t="n"/>
      <c r="E170" s="81" t="inlineStr">
        <is>
          <t>Supervisão, ensaios de campo e comissionamento</t>
        </is>
      </c>
      <c r="F170" s="83" t="inlineStr">
        <is>
          <t>VB.</t>
        </is>
      </c>
      <c r="G170" s="83" t="n">
        <v>1</v>
      </c>
      <c r="H170" s="1274" t="n">
        <v>1273455.08</v>
      </c>
      <c r="I170" s="367" t="n"/>
      <c r="J170" s="1275" t="n"/>
      <c r="K170" s="9" t="n"/>
      <c r="L170" s="10" t="n"/>
      <c r="M170" s="236" t="inlineStr">
        <is>
          <t>INSIGHT ENERGY</t>
        </is>
      </c>
      <c r="N170" s="237" t="n"/>
      <c r="O170" s="1276" t="n"/>
      <c r="P170" s="1277" t="n"/>
      <c r="Q170" s="1276" t="n"/>
      <c r="R170" s="1277" t="n"/>
      <c r="S170" s="1278" t="n"/>
      <c r="T170" s="1277" t="n"/>
      <c r="U170" s="1278" t="n"/>
      <c r="V170" s="1279">
        <f>G170*H170</f>
        <v/>
      </c>
    </row>
    <row r="171" ht="15" customFormat="1" customHeight="1" s="353">
      <c r="A171" s="341" t="n"/>
      <c r="B171" s="340" t="n"/>
      <c r="C171" s="340" t="inlineStr">
        <is>
          <t>.</t>
        </is>
      </c>
      <c r="D171" s="340" t="n"/>
      <c r="E171" s="342" t="n"/>
      <c r="F171" s="343" t="n"/>
      <c r="G171" s="344" t="n"/>
      <c r="H171" s="1267" t="n"/>
      <c r="I171" s="316" t="n"/>
      <c r="J171" s="1268" t="n"/>
      <c r="K171" s="345" t="n"/>
      <c r="L171" s="346" t="n"/>
      <c r="M171" s="347" t="n"/>
      <c r="N171" s="348" t="n"/>
      <c r="O171" s="1269" t="n"/>
      <c r="P171" s="1270" t="n"/>
      <c r="Q171" s="1269" t="n"/>
      <c r="R171" s="1270" t="n"/>
      <c r="S171" s="1271" t="n"/>
      <c r="T171" s="1270" t="n"/>
      <c r="U171" s="1271" t="n"/>
      <c r="V171" s="1272" t="n"/>
    </row>
    <row r="172" ht="27.6" customHeight="1">
      <c r="A172" s="95" t="inlineStr">
        <is>
          <t>2.08.03</t>
        </is>
      </c>
      <c r="B172" s="80" t="inlineStr">
        <is>
          <t>SERVIÇO</t>
        </is>
      </c>
      <c r="C172" s="80" t="n"/>
      <c r="D172" s="80" t="n"/>
      <c r="E172" s="81" t="inlineStr">
        <is>
          <t>Realização da medição prévia do entreferro e circularidade do rotor e estator do gerador - UG03/UG04</t>
        </is>
      </c>
      <c r="F172" s="83" t="inlineStr">
        <is>
          <t>VB.</t>
        </is>
      </c>
      <c r="G172" s="83" t="n">
        <v>2</v>
      </c>
      <c r="H172" s="1274" t="n">
        <v>357283.34</v>
      </c>
      <c r="I172" s="367" t="n"/>
      <c r="J172" s="1275" t="n"/>
      <c r="K172" s="9" t="n"/>
      <c r="L172" s="10" t="n"/>
      <c r="M172" s="236" t="inlineStr">
        <is>
          <t>INSIGHT ENERGY</t>
        </is>
      </c>
      <c r="N172" s="237" t="n"/>
      <c r="O172" s="1276" t="n"/>
      <c r="P172" s="1277" t="n"/>
      <c r="Q172" s="1276" t="n"/>
      <c r="R172" s="1277" t="n"/>
      <c r="S172" s="1278" t="n"/>
      <c r="T172" s="1277" t="n"/>
      <c r="U172" s="1278" t="n"/>
      <c r="V172" s="1279">
        <f>G172*H172</f>
        <v/>
      </c>
    </row>
    <row r="173" ht="15" customFormat="1" customHeight="1" s="353">
      <c r="A173" s="341" t="n"/>
      <c r="B173" s="340" t="n"/>
      <c r="C173" s="340" t="inlineStr">
        <is>
          <t>.</t>
        </is>
      </c>
      <c r="D173" s="340" t="n"/>
      <c r="E173" s="342" t="n"/>
      <c r="F173" s="343" t="n"/>
      <c r="G173" s="344" t="n"/>
      <c r="H173" s="1267" t="n"/>
      <c r="I173" s="316" t="n"/>
      <c r="J173" s="1268" t="n"/>
      <c r="K173" s="345" t="n"/>
      <c r="L173" s="346" t="n"/>
      <c r="M173" s="347" t="n"/>
      <c r="N173" s="348" t="n"/>
      <c r="O173" s="1269" t="n"/>
      <c r="P173" s="1270" t="n"/>
      <c r="Q173" s="1269" t="n"/>
      <c r="R173" s="1270" t="n"/>
      <c r="S173" s="1271" t="n"/>
      <c r="T173" s="1270" t="n"/>
      <c r="U173" s="1271" t="n"/>
      <c r="V173" s="1272" t="n"/>
    </row>
    <row r="174" ht="15" customHeight="1">
      <c r="A174" s="95" t="inlineStr">
        <is>
          <t>2.08.04</t>
        </is>
      </c>
      <c r="B174" s="80" t="inlineStr">
        <is>
          <t>SERVIÇO</t>
        </is>
      </c>
      <c r="C174" s="80" t="n"/>
      <c r="D174" s="80" t="n"/>
      <c r="E174" s="81" t="inlineStr">
        <is>
          <t>Transferência do rotor para a área de montagem da usina - UG03/UG04</t>
        </is>
      </c>
      <c r="F174" s="83" t="inlineStr">
        <is>
          <t>VB.</t>
        </is>
      </c>
      <c r="G174" s="83" t="n">
        <v>2</v>
      </c>
      <c r="H174" s="1274" t="n">
        <v>82407.47</v>
      </c>
      <c r="I174" s="367" t="n"/>
      <c r="J174" s="1275" t="n"/>
      <c r="K174" s="9" t="n"/>
      <c r="L174" s="10" t="n"/>
      <c r="M174" s="236" t="inlineStr">
        <is>
          <t>INSIGHT ENERGY</t>
        </is>
      </c>
      <c r="N174" s="237" t="n"/>
      <c r="O174" s="1276" t="n"/>
      <c r="P174" s="1277" t="n"/>
      <c r="Q174" s="1276" t="n"/>
      <c r="R174" s="1277" t="n"/>
      <c r="S174" s="1278" t="n"/>
      <c r="T174" s="1277" t="n"/>
      <c r="U174" s="1278" t="n"/>
      <c r="V174" s="1279">
        <f>G174*H174</f>
        <v/>
      </c>
    </row>
    <row r="175" ht="15" customFormat="1" customHeight="1" s="353">
      <c r="A175" s="341" t="n"/>
      <c r="B175" s="340" t="n"/>
      <c r="C175" s="340" t="inlineStr">
        <is>
          <t>.</t>
        </is>
      </c>
      <c r="D175" s="340" t="n"/>
      <c r="E175" s="342" t="n"/>
      <c r="F175" s="343" t="n"/>
      <c r="G175" s="344" t="n"/>
      <c r="H175" s="1267" t="n"/>
      <c r="I175" s="316" t="n"/>
      <c r="J175" s="1268" t="n"/>
      <c r="K175" s="345" t="n"/>
      <c r="L175" s="346" t="n"/>
      <c r="M175" s="347" t="n"/>
      <c r="N175" s="348" t="n"/>
      <c r="O175" s="1269" t="n"/>
      <c r="P175" s="1270" t="n"/>
      <c r="Q175" s="1269" t="n"/>
      <c r="R175" s="1270" t="n"/>
      <c r="S175" s="1271" t="n"/>
      <c r="T175" s="1270" t="n"/>
      <c r="U175" s="1271" t="n"/>
      <c r="V175" s="1272" t="n"/>
    </row>
    <row r="176" ht="27.6" customHeight="1">
      <c r="A176" s="95" t="inlineStr">
        <is>
          <t>2.08.05</t>
        </is>
      </c>
      <c r="B176" s="80" t="inlineStr">
        <is>
          <t>SERVIÇO</t>
        </is>
      </c>
      <c r="C176" s="80" t="n"/>
      <c r="D176" s="80" t="n"/>
      <c r="E176" s="81" t="inlineStr">
        <is>
          <t>Remoção do enrolamento estatórico e desmontagem do núcleo do estator - UG03/UG04</t>
        </is>
      </c>
      <c r="F176" s="83" t="inlineStr">
        <is>
          <t>VB.</t>
        </is>
      </c>
      <c r="G176" s="83" t="n">
        <v>2</v>
      </c>
      <c r="H176" s="1274" t="n">
        <v>1204624.04</v>
      </c>
      <c r="I176" s="367" t="n"/>
      <c r="J176" s="1275" t="n"/>
      <c r="K176" s="9" t="n"/>
      <c r="L176" s="10" t="n"/>
      <c r="M176" s="236" t="inlineStr">
        <is>
          <t>INSIGHT ENERGY</t>
        </is>
      </c>
      <c r="N176" s="237" t="n"/>
      <c r="O176" s="1276" t="n"/>
      <c r="P176" s="1277" t="n"/>
      <c r="Q176" s="1276" t="n"/>
      <c r="R176" s="1277" t="n"/>
      <c r="S176" s="1278" t="n"/>
      <c r="T176" s="1277" t="n"/>
      <c r="U176" s="1278" t="n"/>
      <c r="V176" s="1279">
        <f>G176*H176</f>
        <v/>
      </c>
    </row>
    <row r="177" ht="15" customFormat="1" customHeight="1" s="353">
      <c r="A177" s="341" t="n"/>
      <c r="B177" s="340" t="n"/>
      <c r="C177" s="340" t="inlineStr">
        <is>
          <t>.</t>
        </is>
      </c>
      <c r="D177" s="340" t="n"/>
      <c r="E177" s="342" t="n"/>
      <c r="F177" s="343" t="n"/>
      <c r="G177" s="344" t="n"/>
      <c r="H177" s="1267" t="n"/>
      <c r="I177" s="316" t="n"/>
      <c r="J177" s="1268" t="n"/>
      <c r="K177" s="345" t="n"/>
      <c r="L177" s="346" t="n"/>
      <c r="M177" s="347" t="n"/>
      <c r="N177" s="348" t="n"/>
      <c r="O177" s="1269" t="n"/>
      <c r="P177" s="1270" t="n"/>
      <c r="Q177" s="1269" t="n"/>
      <c r="R177" s="1270" t="n"/>
      <c r="S177" s="1271" t="n"/>
      <c r="T177" s="1270" t="n"/>
      <c r="U177" s="1271" t="n"/>
      <c r="V177" s="1272" t="n"/>
    </row>
    <row r="178" ht="27.6" customHeight="1">
      <c r="A178" s="95" t="inlineStr">
        <is>
          <t>2.08.06</t>
        </is>
      </c>
      <c r="B178" s="80" t="inlineStr">
        <is>
          <t>SERVIÇO</t>
        </is>
      </c>
      <c r="C178" s="80" t="n"/>
      <c r="D178" s="80" t="n"/>
      <c r="E178" s="81" t="inlineStr">
        <is>
          <t>Remoção dos polos do rotor, embalagem e o transporte para a fábrica - UG03/UG04</t>
        </is>
      </c>
      <c r="F178" s="83" t="inlineStr">
        <is>
          <t>VB.</t>
        </is>
      </c>
      <c r="G178" s="83" t="n">
        <v>2</v>
      </c>
      <c r="H178" s="1274" t="n">
        <v>174467.51</v>
      </c>
      <c r="I178" s="367" t="n"/>
      <c r="J178" s="1275" t="n"/>
      <c r="K178" s="9" t="n"/>
      <c r="L178" s="10" t="n"/>
      <c r="M178" s="236" t="inlineStr">
        <is>
          <t>INSIGHT ENERGY</t>
        </is>
      </c>
      <c r="N178" s="237" t="n"/>
      <c r="O178" s="1276" t="n"/>
      <c r="P178" s="1277" t="n"/>
      <c r="Q178" s="1276" t="n"/>
      <c r="R178" s="1277" t="n"/>
      <c r="S178" s="1278" t="n"/>
      <c r="T178" s="1277" t="n"/>
      <c r="U178" s="1278" t="n"/>
      <c r="V178" s="1279">
        <f>G178*H178</f>
        <v/>
      </c>
    </row>
    <row r="179" ht="15" customFormat="1" customHeight="1" s="353">
      <c r="A179" s="341" t="n"/>
      <c r="B179" s="340" t="n"/>
      <c r="C179" s="340" t="inlineStr">
        <is>
          <t>.</t>
        </is>
      </c>
      <c r="D179" s="340" t="n"/>
      <c r="E179" s="342" t="n"/>
      <c r="F179" s="343" t="n"/>
      <c r="G179" s="344" t="n"/>
      <c r="H179" s="1267" t="n"/>
      <c r="I179" s="316" t="n"/>
      <c r="J179" s="1268" t="n"/>
      <c r="K179" s="345" t="n"/>
      <c r="L179" s="346" t="n"/>
      <c r="M179" s="347" t="n"/>
      <c r="N179" s="348" t="n"/>
      <c r="O179" s="1269" t="n"/>
      <c r="P179" s="1270" t="n"/>
      <c r="Q179" s="1269" t="n"/>
      <c r="R179" s="1270" t="n"/>
      <c r="S179" s="1271" t="n"/>
      <c r="T179" s="1270" t="n"/>
      <c r="U179" s="1271" t="n"/>
      <c r="V179" s="1272" t="n"/>
    </row>
    <row r="180" ht="27.6" customHeight="1">
      <c r="A180" s="95" t="inlineStr">
        <is>
          <t>2.08.07</t>
        </is>
      </c>
      <c r="B180" s="80" t="inlineStr">
        <is>
          <t>SERVIÇO</t>
        </is>
      </c>
      <c r="C180" s="80" t="n"/>
      <c r="D180" s="80" t="n"/>
      <c r="E180" s="81" t="inlineStr">
        <is>
          <t>Análise estrutural da carcaça do gerador a partir de ensaios não destrutivos de forma a certificar sua integridade - UG03/UG04</t>
        </is>
      </c>
      <c r="F180" s="83" t="inlineStr">
        <is>
          <t>VB.</t>
        </is>
      </c>
      <c r="G180" s="83" t="n">
        <v>2</v>
      </c>
      <c r="H180" s="1274" t="n">
        <v>2040489.04</v>
      </c>
      <c r="I180" s="367" t="n"/>
      <c r="J180" s="1275" t="n"/>
      <c r="K180" s="9" t="n"/>
      <c r="L180" s="10" t="n"/>
      <c r="M180" s="236" t="inlineStr">
        <is>
          <t>INSIGHT ENERGY</t>
        </is>
      </c>
      <c r="N180" s="237" t="n"/>
      <c r="O180" s="1276" t="n"/>
      <c r="P180" s="1277" t="n"/>
      <c r="Q180" s="1276" t="n"/>
      <c r="R180" s="1277" t="n"/>
      <c r="S180" s="1278" t="n"/>
      <c r="T180" s="1277" t="n"/>
      <c r="U180" s="1278" t="n"/>
      <c r="V180" s="1279">
        <f>G180*H180</f>
        <v/>
      </c>
    </row>
    <row r="181" ht="15" customFormat="1" customHeight="1" s="353">
      <c r="A181" s="341" t="n"/>
      <c r="B181" s="340" t="n"/>
      <c r="C181" s="340" t="inlineStr">
        <is>
          <t>.</t>
        </is>
      </c>
      <c r="D181" s="340" t="n"/>
      <c r="E181" s="342" t="n"/>
      <c r="F181" s="343" t="n"/>
      <c r="G181" s="344" t="n"/>
      <c r="H181" s="1267" t="n"/>
      <c r="I181" s="316" t="n"/>
      <c r="J181" s="1268" t="n"/>
      <c r="K181" s="345" t="n"/>
      <c r="L181" s="346" t="n"/>
      <c r="M181" s="347" t="n"/>
      <c r="N181" s="348" t="n"/>
      <c r="O181" s="1269" t="n"/>
      <c r="P181" s="1270" t="n"/>
      <c r="Q181" s="1269" t="n"/>
      <c r="R181" s="1270" t="n"/>
      <c r="S181" s="1271" t="n"/>
      <c r="T181" s="1270" t="n"/>
      <c r="U181" s="1271" t="n"/>
      <c r="V181" s="1272" t="n"/>
    </row>
    <row r="182" ht="27.6" customHeight="1">
      <c r="A182" s="95" t="inlineStr">
        <is>
          <t>2.08.08</t>
        </is>
      </c>
      <c r="B182" s="80" t="inlineStr">
        <is>
          <t>SERVIÇO</t>
        </is>
      </c>
      <c r="C182" s="80" t="n"/>
      <c r="D182" s="80" t="n"/>
      <c r="E182" s="81" t="inlineStr">
        <is>
          <t>Reisolamento do enrolamento dos pólos com materiais de classe F ou superior - UG03/UG04</t>
        </is>
      </c>
      <c r="F182" s="83" t="inlineStr">
        <is>
          <t>VB.</t>
        </is>
      </c>
      <c r="G182" s="83" t="n">
        <v>2</v>
      </c>
      <c r="H182" s="1274" t="n">
        <v>3118509.55</v>
      </c>
      <c r="I182" s="367" t="n"/>
      <c r="J182" s="1275" t="n"/>
      <c r="K182" s="9" t="n"/>
      <c r="L182" s="10" t="n"/>
      <c r="M182" s="236" t="inlineStr">
        <is>
          <t>INSIGHT ENERGY</t>
        </is>
      </c>
      <c r="N182" s="237" t="n"/>
      <c r="O182" s="1276" t="n"/>
      <c r="P182" s="1277" t="n"/>
      <c r="Q182" s="1276" t="n"/>
      <c r="R182" s="1277" t="n"/>
      <c r="S182" s="1278" t="n"/>
      <c r="T182" s="1277" t="n"/>
      <c r="U182" s="1278" t="n"/>
      <c r="V182" s="1279">
        <f>G182*H182</f>
        <v/>
      </c>
    </row>
    <row r="183" ht="15" customFormat="1" customHeight="1" s="353">
      <c r="A183" s="341" t="n"/>
      <c r="B183" s="340" t="n"/>
      <c r="C183" s="340" t="inlineStr">
        <is>
          <t>.</t>
        </is>
      </c>
      <c r="D183" s="340" t="n"/>
      <c r="E183" s="342" t="n"/>
      <c r="F183" s="343" t="n"/>
      <c r="G183" s="344" t="n"/>
      <c r="H183" s="1267" t="n"/>
      <c r="I183" s="316" t="n"/>
      <c r="J183" s="1268" t="n"/>
      <c r="K183" s="345" t="n"/>
      <c r="L183" s="346" t="n"/>
      <c r="M183" s="347" t="n"/>
      <c r="N183" s="348" t="n"/>
      <c r="O183" s="1269" t="n"/>
      <c r="P183" s="1270" t="n"/>
      <c r="Q183" s="1269" t="n"/>
      <c r="R183" s="1270" t="n"/>
      <c r="S183" s="1271" t="n"/>
      <c r="T183" s="1270" t="n"/>
      <c r="U183" s="1271" t="n"/>
      <c r="V183" s="1272" t="n"/>
    </row>
    <row r="184" ht="27.6" customHeight="1">
      <c r="A184" s="95" t="inlineStr">
        <is>
          <t>2.08.09</t>
        </is>
      </c>
      <c r="B184" s="80" t="inlineStr">
        <is>
          <t>SERVIÇO</t>
        </is>
      </c>
      <c r="C184" s="80" t="n"/>
      <c r="D184" s="80" t="n"/>
      <c r="E184" s="81" t="inlineStr">
        <is>
          <t>Empilhamento do núcleo e preparação do núcleo para o enrolamento novo - UG03/UG04</t>
        </is>
      </c>
      <c r="F184" s="83" t="inlineStr">
        <is>
          <t>VB.</t>
        </is>
      </c>
      <c r="G184" s="83" t="n">
        <v>2</v>
      </c>
      <c r="H184" s="1274" t="n">
        <v>391632.34</v>
      </c>
      <c r="I184" s="367" t="n"/>
      <c r="J184" s="1275" t="n"/>
      <c r="K184" s="9" t="n"/>
      <c r="L184" s="10" t="n"/>
      <c r="M184" s="236" t="inlineStr">
        <is>
          <t>INSIGHT ENERGY</t>
        </is>
      </c>
      <c r="N184" s="237" t="n"/>
      <c r="O184" s="1276" t="n"/>
      <c r="P184" s="1277" t="n"/>
      <c r="Q184" s="1276" t="n"/>
      <c r="R184" s="1277" t="n"/>
      <c r="S184" s="1278" t="n"/>
      <c r="T184" s="1277" t="n"/>
      <c r="U184" s="1278" t="n"/>
      <c r="V184" s="1279">
        <f>G184*H184</f>
        <v/>
      </c>
    </row>
    <row r="185" ht="15" customFormat="1" customHeight="1" s="353">
      <c r="A185" s="341" t="n"/>
      <c r="B185" s="340" t="n"/>
      <c r="C185" s="340" t="inlineStr">
        <is>
          <t>.</t>
        </is>
      </c>
      <c r="D185" s="340" t="n"/>
      <c r="E185" s="342" t="n"/>
      <c r="F185" s="343" t="n"/>
      <c r="G185" s="344" t="n"/>
      <c r="H185" s="1267" t="n"/>
      <c r="I185" s="316" t="n"/>
      <c r="J185" s="1268" t="n"/>
      <c r="K185" s="345" t="n"/>
      <c r="L185" s="346" t="n"/>
      <c r="M185" s="347" t="n"/>
      <c r="N185" s="348" t="n"/>
      <c r="O185" s="1269" t="n"/>
      <c r="P185" s="1270" t="n"/>
      <c r="Q185" s="1269" t="n"/>
      <c r="R185" s="1270" t="n"/>
      <c r="S185" s="1271" t="n"/>
      <c r="T185" s="1270" t="n"/>
      <c r="U185" s="1271" t="n"/>
      <c r="V185" s="1272" t="n"/>
    </row>
    <row r="186" ht="15" customHeight="1">
      <c r="A186" s="95" t="inlineStr">
        <is>
          <t>2.08.10</t>
        </is>
      </c>
      <c r="B186" s="80" t="inlineStr">
        <is>
          <t>SERVIÇO</t>
        </is>
      </c>
      <c r="C186" s="80" t="n"/>
      <c r="D186" s="80" t="n"/>
      <c r="E186" s="81" t="inlineStr">
        <is>
          <t>Montagem do novo enrolamento estatórico - UG03/UG04</t>
        </is>
      </c>
      <c r="F186" s="83" t="inlineStr">
        <is>
          <t>VB.</t>
        </is>
      </c>
      <c r="G186" s="83" t="n">
        <v>2</v>
      </c>
      <c r="H186" s="1274" t="n">
        <v>1872617.97</v>
      </c>
      <c r="I186" s="367" t="n"/>
      <c r="J186" s="1275" t="n"/>
      <c r="K186" s="9" t="n"/>
      <c r="L186" s="10" t="n"/>
      <c r="M186" s="236" t="inlineStr">
        <is>
          <t>INSIGHT ENERGY</t>
        </is>
      </c>
      <c r="N186" s="237" t="n"/>
      <c r="O186" s="1276" t="n"/>
      <c r="P186" s="1277" t="n"/>
      <c r="Q186" s="1276" t="n"/>
      <c r="R186" s="1277" t="n"/>
      <c r="S186" s="1278" t="n"/>
      <c r="T186" s="1277" t="n"/>
      <c r="U186" s="1278" t="n"/>
      <c r="V186" s="1279">
        <f>G186*H186</f>
        <v/>
      </c>
    </row>
    <row r="187" ht="15" customFormat="1" customHeight="1" s="353">
      <c r="A187" s="341" t="n"/>
      <c r="B187" s="340" t="n"/>
      <c r="C187" s="340" t="inlineStr">
        <is>
          <t>.</t>
        </is>
      </c>
      <c r="D187" s="340" t="n"/>
      <c r="E187" s="342" t="n"/>
      <c r="F187" s="343" t="n"/>
      <c r="G187" s="344" t="n"/>
      <c r="H187" s="1267" t="n"/>
      <c r="I187" s="316" t="n"/>
      <c r="J187" s="1268" t="n"/>
      <c r="K187" s="345" t="n"/>
      <c r="L187" s="346" t="n"/>
      <c r="M187" s="347" t="n"/>
      <c r="N187" s="348" t="n"/>
      <c r="O187" s="1269" t="n"/>
      <c r="P187" s="1270" t="n"/>
      <c r="Q187" s="1269" t="n"/>
      <c r="R187" s="1270" t="n"/>
      <c r="S187" s="1271" t="n"/>
      <c r="T187" s="1270" t="n"/>
      <c r="U187" s="1271" t="n"/>
      <c r="V187" s="1272" t="n"/>
    </row>
    <row r="188" ht="15" customHeight="1">
      <c r="A188" s="95" t="inlineStr">
        <is>
          <t>2.08.11</t>
        </is>
      </c>
      <c r="B188" s="80" t="inlineStr">
        <is>
          <t>SERVIÇO</t>
        </is>
      </c>
      <c r="C188" s="80" t="n"/>
      <c r="D188" s="80" t="n"/>
      <c r="E188" s="81" t="inlineStr">
        <is>
          <t>Remontagem dos pólos no rotor - UG03/UG04</t>
        </is>
      </c>
      <c r="F188" s="83" t="inlineStr">
        <is>
          <t>VB.</t>
        </is>
      </c>
      <c r="G188" s="83" t="n">
        <v>2</v>
      </c>
      <c r="H188" s="1274" t="n">
        <v>174467.5122272244</v>
      </c>
      <c r="I188" s="367" t="n"/>
      <c r="J188" s="1275" t="n"/>
      <c r="K188" s="9" t="n"/>
      <c r="L188" s="10" t="n"/>
      <c r="M188" s="236" t="inlineStr">
        <is>
          <t>INSIGHT ENERGY</t>
        </is>
      </c>
      <c r="N188" s="237" t="n"/>
      <c r="O188" s="1276" t="n"/>
      <c r="P188" s="1277" t="n"/>
      <c r="Q188" s="1276" t="n"/>
      <c r="R188" s="1277" t="n"/>
      <c r="S188" s="1278" t="n"/>
      <c r="T188" s="1277" t="n"/>
      <c r="U188" s="1278" t="n"/>
      <c r="V188" s="1279">
        <f>G188*H188</f>
        <v/>
      </c>
    </row>
    <row r="189" ht="15" customFormat="1" customHeight="1" s="353">
      <c r="A189" s="341" t="n"/>
      <c r="B189" s="340" t="n"/>
      <c r="C189" s="340" t="inlineStr">
        <is>
          <t>.</t>
        </is>
      </c>
      <c r="D189" s="340" t="n"/>
      <c r="E189" s="342" t="n"/>
      <c r="F189" s="343" t="n"/>
      <c r="G189" s="344" t="n"/>
      <c r="H189" s="1267" t="n"/>
      <c r="I189" s="316" t="n"/>
      <c r="J189" s="1268" t="n"/>
      <c r="K189" s="345" t="n"/>
      <c r="L189" s="346" t="n"/>
      <c r="M189" s="347" t="n"/>
      <c r="N189" s="348" t="n"/>
      <c r="O189" s="1269" t="n"/>
      <c r="P189" s="1270" t="n"/>
      <c r="Q189" s="1269" t="n"/>
      <c r="R189" s="1270" t="n"/>
      <c r="S189" s="1271" t="n"/>
      <c r="T189" s="1270" t="n"/>
      <c r="U189" s="1271" t="n"/>
      <c r="V189" s="1272" t="n"/>
    </row>
    <row r="190" ht="27.6" customHeight="1">
      <c r="A190" s="95" t="inlineStr">
        <is>
          <t>2.08.12</t>
        </is>
      </c>
      <c r="B190" s="80" t="inlineStr">
        <is>
          <t>SERVIÇO</t>
        </is>
      </c>
      <c r="C190" s="80" t="n"/>
      <c r="D190" s="80" t="n"/>
      <c r="E190" s="81" t="inlineStr">
        <is>
          <t>Transferência do rotor para o poço do gerador, verificação e conferência da circularidade e concentricidade do estator e medição de entreferro - UG03/UG04</t>
        </is>
      </c>
      <c r="F190" s="83" t="inlineStr">
        <is>
          <t>VB.</t>
        </is>
      </c>
      <c r="G190" s="83" t="n">
        <v>2</v>
      </c>
      <c r="H190" s="1274" t="n">
        <v>268118.46</v>
      </c>
      <c r="I190" s="367" t="n"/>
      <c r="J190" s="1275" t="n"/>
      <c r="K190" s="9" t="n"/>
      <c r="L190" s="10" t="n"/>
      <c r="M190" s="236" t="inlineStr">
        <is>
          <t>INSIGHT ENERGY</t>
        </is>
      </c>
      <c r="N190" s="237" t="n"/>
      <c r="O190" s="1276" t="n"/>
      <c r="P190" s="1277" t="n"/>
      <c r="Q190" s="1276" t="n"/>
      <c r="R190" s="1277" t="n"/>
      <c r="S190" s="1278" t="n"/>
      <c r="T190" s="1277" t="n"/>
      <c r="U190" s="1278" t="n"/>
      <c r="V190" s="1279">
        <f>G190*H190</f>
        <v/>
      </c>
    </row>
    <row r="191" ht="15" customFormat="1" customHeight="1" s="353">
      <c r="A191" s="341" t="n"/>
      <c r="B191" s="340" t="n"/>
      <c r="C191" s="340" t="inlineStr">
        <is>
          <t>.</t>
        </is>
      </c>
      <c r="D191" s="340" t="n"/>
      <c r="E191" s="342" t="n"/>
      <c r="F191" s="343" t="n"/>
      <c r="G191" s="344" t="n"/>
      <c r="H191" s="1267" t="n"/>
      <c r="I191" s="316" t="n"/>
      <c r="J191" s="1268" t="n"/>
      <c r="K191" s="345" t="n"/>
      <c r="L191" s="346" t="n"/>
      <c r="M191" s="347" t="n"/>
      <c r="N191" s="348" t="n"/>
      <c r="O191" s="1269" t="n"/>
      <c r="P191" s="1270" t="n"/>
      <c r="Q191" s="1269" t="n"/>
      <c r="R191" s="1270" t="n"/>
      <c r="S191" s="1271" t="n"/>
      <c r="T191" s="1270" t="n"/>
      <c r="U191" s="1271" t="n"/>
      <c r="V191" s="1272" t="n"/>
    </row>
    <row r="192" ht="27.6" customHeight="1">
      <c r="A192" s="95" t="inlineStr">
        <is>
          <t>2.08.13</t>
        </is>
      </c>
      <c r="B192" s="80" t="inlineStr">
        <is>
          <t>SERVIÇO</t>
        </is>
      </c>
      <c r="C192" s="80" t="n"/>
      <c r="D192" s="80" t="n"/>
      <c r="E192" s="81" t="inlineStr">
        <is>
          <t>Montagem do sistema de iluminação interna do barril e do sistema de aquecimento de máquina parada do gerador - UG03/UG04</t>
        </is>
      </c>
      <c r="F192" s="83" t="inlineStr">
        <is>
          <t>VB.</t>
        </is>
      </c>
      <c r="G192" s="83" t="n">
        <v>2</v>
      </c>
      <c r="H192" s="1274" t="n">
        <v>159087.9</v>
      </c>
      <c r="I192" s="367" t="n"/>
      <c r="J192" s="1275" t="n"/>
      <c r="K192" s="9" t="n"/>
      <c r="L192" s="10" t="n"/>
      <c r="M192" s="236" t="inlineStr">
        <is>
          <t>INSIGHT ENERGY</t>
        </is>
      </c>
      <c r="N192" s="237" t="n"/>
      <c r="O192" s="1276" t="n"/>
      <c r="P192" s="1277" t="n"/>
      <c r="Q192" s="1276" t="n"/>
      <c r="R192" s="1277" t="n"/>
      <c r="S192" s="1278" t="n"/>
      <c r="T192" s="1277" t="n"/>
      <c r="U192" s="1278" t="n"/>
      <c r="V192" s="1279">
        <f>G192*H192</f>
        <v/>
      </c>
    </row>
    <row r="193" ht="15" customFormat="1" customHeight="1" s="353">
      <c r="A193" s="341" t="n"/>
      <c r="B193" s="340" t="n"/>
      <c r="C193" s="340" t="inlineStr">
        <is>
          <t>.</t>
        </is>
      </c>
      <c r="D193" s="340" t="n"/>
      <c r="E193" s="342" t="n"/>
      <c r="F193" s="343" t="n"/>
      <c r="G193" s="344" t="n"/>
      <c r="H193" s="1267" t="n"/>
      <c r="I193" s="316" t="n"/>
      <c r="J193" s="1268" t="n"/>
      <c r="K193" s="345" t="n"/>
      <c r="L193" s="346" t="n"/>
      <c r="M193" s="347" t="n"/>
      <c r="N193" s="348" t="n"/>
      <c r="O193" s="1269" t="n"/>
      <c r="P193" s="1270" t="n"/>
      <c r="Q193" s="1269" t="n"/>
      <c r="R193" s="1270" t="n"/>
      <c r="S193" s="1271" t="n"/>
      <c r="T193" s="1270" t="n"/>
      <c r="U193" s="1271" t="n"/>
      <c r="V193" s="1272" t="n"/>
    </row>
    <row r="194" ht="27.6" customHeight="1">
      <c r="A194" s="95" t="inlineStr">
        <is>
          <t>2.08.14</t>
        </is>
      </c>
      <c r="B194" s="80" t="inlineStr">
        <is>
          <t>SERVIÇO</t>
        </is>
      </c>
      <c r="C194" s="80" t="n"/>
      <c r="D194" s="80" t="n"/>
      <c r="E194" s="81" t="inlineStr">
        <is>
          <t>Verificação do alinhamento da unidade, execução dos ajustes necessários e testes de “run-out” nas partes rotativas - UG03/UG04</t>
        </is>
      </c>
      <c r="F194" s="83" t="inlineStr">
        <is>
          <t>VB.</t>
        </is>
      </c>
      <c r="G194" s="83" t="n">
        <v>2</v>
      </c>
      <c r="H194" s="1274" t="n">
        <v>194368.4397886099</v>
      </c>
      <c r="I194" s="367" t="n"/>
      <c r="J194" s="1275" t="n"/>
      <c r="K194" s="9" t="n"/>
      <c r="L194" s="10" t="n"/>
      <c r="M194" s="236" t="inlineStr">
        <is>
          <t>INSIGHT ENERGY</t>
        </is>
      </c>
      <c r="N194" s="237" t="n"/>
      <c r="O194" s="1276" t="n"/>
      <c r="P194" s="1277" t="n"/>
      <c r="Q194" s="1276" t="n"/>
      <c r="R194" s="1277" t="n"/>
      <c r="S194" s="1278" t="n"/>
      <c r="T194" s="1277" t="n"/>
      <c r="U194" s="1278" t="n"/>
      <c r="V194" s="1279">
        <f>G194*H194</f>
        <v/>
      </c>
    </row>
    <row r="195" ht="15" customFormat="1" customHeight="1" s="353">
      <c r="A195" s="341" t="n"/>
      <c r="B195" s="340" t="n"/>
      <c r="C195" s="340" t="inlineStr">
        <is>
          <t>.</t>
        </is>
      </c>
      <c r="D195" s="340" t="n"/>
      <c r="E195" s="342" t="n"/>
      <c r="F195" s="343" t="n"/>
      <c r="G195" s="344" t="n"/>
      <c r="H195" s="1267" t="n"/>
      <c r="I195" s="316" t="n"/>
      <c r="J195" s="1268" t="n"/>
      <c r="K195" s="345" t="n"/>
      <c r="L195" s="346" t="n"/>
      <c r="M195" s="347" t="n"/>
      <c r="N195" s="348" t="n"/>
      <c r="O195" s="1269" t="n"/>
      <c r="P195" s="1270" t="n"/>
      <c r="Q195" s="1269" t="n"/>
      <c r="R195" s="1270" t="n"/>
      <c r="S195" s="1271" t="n"/>
      <c r="T195" s="1270" t="n"/>
      <c r="U195" s="1271" t="n"/>
      <c r="V195" s="1272" t="n"/>
    </row>
    <row r="196" ht="41.4" customHeight="1">
      <c r="A196" s="95" t="inlineStr">
        <is>
          <t>2.08.15</t>
        </is>
      </c>
      <c r="B196" s="80" t="inlineStr">
        <is>
          <t>SERVIÇO</t>
        </is>
      </c>
      <c r="C196" s="80" t="n"/>
      <c r="D196" s="80" t="n"/>
      <c r="E196" s="81" t="inlineStr">
        <is>
          <t>Montagem da unidade (incluindo-se cruzeta superior, mancal de escora, guias de ar, tampas, anel coletor e porta escovas, acoplamento turbina e gerador, macacos de freio, radiadores, dentre outros) - UG03/UG04</t>
        </is>
      </c>
      <c r="F196" s="83" t="inlineStr">
        <is>
          <t>VB.</t>
        </is>
      </c>
      <c r="G196" s="83" t="n">
        <v>2</v>
      </c>
      <c r="H196" s="1274" t="n">
        <v>1320389.53</v>
      </c>
      <c r="I196" s="367" t="n"/>
      <c r="J196" s="1275" t="n"/>
      <c r="K196" s="9" t="n"/>
      <c r="L196" s="10" t="n"/>
      <c r="M196" s="236" t="inlineStr">
        <is>
          <t>INSIGHT ENERGY</t>
        </is>
      </c>
      <c r="N196" s="237" t="n"/>
      <c r="O196" s="1276" t="n"/>
      <c r="P196" s="1277" t="n"/>
      <c r="Q196" s="1276" t="n"/>
      <c r="R196" s="1277" t="n"/>
      <c r="S196" s="1278" t="n"/>
      <c r="T196" s="1277" t="n"/>
      <c r="U196" s="1278" t="n"/>
      <c r="V196" s="1279">
        <f>G196*H196</f>
        <v/>
      </c>
    </row>
    <row r="197" ht="15" customFormat="1" customHeight="1" s="353">
      <c r="A197" s="341" t="n"/>
      <c r="B197" s="340" t="n"/>
      <c r="C197" s="340" t="inlineStr">
        <is>
          <t>.</t>
        </is>
      </c>
      <c r="D197" s="340" t="n"/>
      <c r="E197" s="342" t="n"/>
      <c r="F197" s="343" t="n"/>
      <c r="G197" s="344" t="n"/>
      <c r="H197" s="1267" t="n"/>
      <c r="I197" s="316" t="n"/>
      <c r="J197" s="1268" t="n"/>
      <c r="K197" s="345" t="n"/>
      <c r="L197" s="346" t="n"/>
      <c r="M197" s="347" t="n"/>
      <c r="N197" s="348" t="n"/>
      <c r="O197" s="1269" t="n"/>
      <c r="P197" s="1270" t="n"/>
      <c r="Q197" s="1269" t="n"/>
      <c r="R197" s="1270" t="n"/>
      <c r="S197" s="1271" t="n"/>
      <c r="T197" s="1270" t="n"/>
      <c r="U197" s="1271" t="n"/>
      <c r="V197" s="1272" t="n"/>
    </row>
    <row r="198" ht="15" customHeight="1">
      <c r="A198" s="95" t="inlineStr">
        <is>
          <t>2.08.16</t>
        </is>
      </c>
      <c r="B198" s="80" t="inlineStr">
        <is>
          <t>SERVIÇO</t>
        </is>
      </c>
      <c r="C198" s="80" t="n"/>
      <c r="D198" s="80" t="n"/>
      <c r="E198" s="81" t="inlineStr">
        <is>
          <t>Manutenção geral do anel coletor e porta-escovas - UG03/UG04</t>
        </is>
      </c>
      <c r="F198" s="83" t="inlineStr">
        <is>
          <t>VB.</t>
        </is>
      </c>
      <c r="G198" s="83" t="n">
        <v>2</v>
      </c>
      <c r="H198" s="1274" t="n">
        <v>348935.02</v>
      </c>
      <c r="I198" s="367" t="n"/>
      <c r="J198" s="1275" t="n"/>
      <c r="K198" s="9" t="n"/>
      <c r="L198" s="10" t="n"/>
      <c r="M198" s="236" t="inlineStr">
        <is>
          <t>INSIGHT ENERGY</t>
        </is>
      </c>
      <c r="N198" s="237" t="n"/>
      <c r="O198" s="1276" t="n"/>
      <c r="P198" s="1277" t="n"/>
      <c r="Q198" s="1276" t="n"/>
      <c r="R198" s="1277" t="n"/>
      <c r="S198" s="1278" t="n"/>
      <c r="T198" s="1277" t="n"/>
      <c r="U198" s="1278" t="n"/>
      <c r="V198" s="1279">
        <f>G198*H198</f>
        <v/>
      </c>
    </row>
    <row r="199" ht="15" customFormat="1" customHeight="1" s="353">
      <c r="A199" s="341" t="n"/>
      <c r="B199" s="340" t="n"/>
      <c r="C199" s="340" t="inlineStr">
        <is>
          <t>.</t>
        </is>
      </c>
      <c r="D199" s="340" t="n"/>
      <c r="E199" s="342" t="n"/>
      <c r="F199" s="343" t="n"/>
      <c r="G199" s="344" t="n"/>
      <c r="H199" s="1267" t="n"/>
      <c r="I199" s="316" t="n"/>
      <c r="J199" s="1268" t="n"/>
      <c r="K199" s="345" t="n"/>
      <c r="L199" s="346" t="n"/>
      <c r="M199" s="347" t="n"/>
      <c r="N199" s="348" t="n"/>
      <c r="O199" s="1269" t="n"/>
      <c r="P199" s="1270" t="n"/>
      <c r="Q199" s="1269" t="n"/>
      <c r="R199" s="1270" t="n"/>
      <c r="S199" s="1271" t="n"/>
      <c r="T199" s="1270" t="n"/>
      <c r="U199" s="1271" t="n"/>
      <c r="V199" s="1272" t="n"/>
    </row>
    <row r="200" ht="27.6" customHeight="1">
      <c r="A200" s="95" t="inlineStr">
        <is>
          <t>2.08.17</t>
        </is>
      </c>
      <c r="B200" s="80" t="inlineStr">
        <is>
          <t>SERVIÇO</t>
        </is>
      </c>
      <c r="C200" s="80" t="n"/>
      <c r="D200" s="80" t="n"/>
      <c r="E200" s="81" t="inlineStr">
        <is>
          <t>Reforma do sistema de frenagem e levantamento das unidades - UG01/UG02/UG03/UG04</t>
        </is>
      </c>
      <c r="F200" s="83" t="inlineStr">
        <is>
          <t>VB.</t>
        </is>
      </c>
      <c r="G200" s="83" t="n">
        <v>4</v>
      </c>
      <c r="H200" s="1274" t="n">
        <v>455941.77</v>
      </c>
      <c r="I200" s="367" t="n"/>
      <c r="J200" s="1275" t="n"/>
      <c r="K200" s="9" t="n"/>
      <c r="L200" s="10" t="n"/>
      <c r="M200" s="236" t="inlineStr">
        <is>
          <t>INSIGHT ENERGY</t>
        </is>
      </c>
      <c r="N200" s="237" t="n"/>
      <c r="O200" s="1276" t="n"/>
      <c r="P200" s="1277" t="n"/>
      <c r="Q200" s="1276" t="n"/>
      <c r="R200" s="1277" t="n"/>
      <c r="S200" s="1278" t="n"/>
      <c r="T200" s="1277" t="n"/>
      <c r="U200" s="1278" t="n"/>
      <c r="V200" s="1279">
        <f>G200*H200</f>
        <v/>
      </c>
    </row>
    <row r="201" ht="15" customFormat="1" customHeight="1" s="353">
      <c r="A201" s="341" t="n"/>
      <c r="B201" s="340" t="n"/>
      <c r="C201" s="340" t="inlineStr">
        <is>
          <t>.</t>
        </is>
      </c>
      <c r="D201" s="340" t="n"/>
      <c r="E201" s="342" t="n"/>
      <c r="F201" s="343" t="n"/>
      <c r="G201" s="344" t="n"/>
      <c r="H201" s="1267" t="n"/>
      <c r="I201" s="316" t="n"/>
      <c r="J201" s="1268" t="n"/>
      <c r="K201" s="345" t="n"/>
      <c r="L201" s="346" t="n"/>
      <c r="M201" s="347" t="n"/>
      <c r="N201" s="348" t="n"/>
      <c r="O201" s="1269" t="n"/>
      <c r="P201" s="1270" t="n"/>
      <c r="Q201" s="1269" t="n"/>
      <c r="R201" s="1270" t="n"/>
      <c r="S201" s="1271" t="n"/>
      <c r="T201" s="1270" t="n"/>
      <c r="U201" s="1271" t="n"/>
      <c r="V201" s="1272" t="n"/>
    </row>
    <row r="202" ht="41.4" customHeight="1">
      <c r="A202" s="95" t="inlineStr">
        <is>
          <t>2.08.18</t>
        </is>
      </c>
      <c r="B202" s="80" t="inlineStr">
        <is>
          <t>SERVIÇO</t>
        </is>
      </c>
      <c r="C202" s="80" t="n"/>
      <c r="D202" s="80" t="n"/>
      <c r="E202" s="81" t="inlineStr">
        <is>
          <t>Reforma dos mancais do gerador. Adaptação ou fornecimento das sapatas de escora do mancal combinado para a implantação do sistema de injeção de óleo sob pressão - UG03/UG04</t>
        </is>
      </c>
      <c r="F202" s="83" t="inlineStr">
        <is>
          <t>VB.</t>
        </is>
      </c>
      <c r="G202" s="83" t="n">
        <v>2</v>
      </c>
      <c r="H202" s="1274" t="n">
        <v>204708.55</v>
      </c>
      <c r="I202" s="367" t="n"/>
      <c r="J202" s="1275" t="n"/>
      <c r="K202" s="9" t="n"/>
      <c r="L202" s="10" t="n"/>
      <c r="M202" s="236" t="inlineStr">
        <is>
          <t>INSIGHT ENERGY</t>
        </is>
      </c>
      <c r="N202" s="237" t="n"/>
      <c r="O202" s="1276" t="n"/>
      <c r="P202" s="1277" t="n"/>
      <c r="Q202" s="1276" t="n"/>
      <c r="R202" s="1277" t="n"/>
      <c r="S202" s="1278" t="n"/>
      <c r="T202" s="1277" t="n"/>
      <c r="U202" s="1278" t="n"/>
      <c r="V202" s="1279">
        <f>G202*H202</f>
        <v/>
      </c>
    </row>
    <row r="203" ht="15" customFormat="1" customHeight="1" s="353">
      <c r="A203" s="341" t="n"/>
      <c r="B203" s="340" t="n"/>
      <c r="C203" s="340" t="inlineStr">
        <is>
          <t>.</t>
        </is>
      </c>
      <c r="D203" s="340" t="n"/>
      <c r="E203" s="342" t="n"/>
      <c r="F203" s="343" t="n"/>
      <c r="G203" s="344" t="n"/>
      <c r="H203" s="1267" t="n"/>
      <c r="I203" s="316" t="n"/>
      <c r="J203" s="1268" t="n"/>
      <c r="K203" s="345" t="n"/>
      <c r="L203" s="346" t="n"/>
      <c r="M203" s="347" t="n"/>
      <c r="N203" s="348" t="n"/>
      <c r="O203" s="1269" t="n"/>
      <c r="P203" s="1270" t="n"/>
      <c r="Q203" s="1269" t="n"/>
      <c r="R203" s="1270" t="n"/>
      <c r="S203" s="1271" t="n"/>
      <c r="T203" s="1270" t="n"/>
      <c r="U203" s="1271" t="n"/>
      <c r="V203" s="1272" t="n"/>
    </row>
    <row r="204" ht="27.6" customHeight="1">
      <c r="A204" s="95" t="inlineStr">
        <is>
          <t>2.08.19</t>
        </is>
      </c>
      <c r="B204" s="80" t="inlineStr">
        <is>
          <t>SERVIÇO</t>
        </is>
      </c>
      <c r="C204" s="80" t="n"/>
      <c r="D204" s="80" t="n"/>
      <c r="E204" s="81" t="inlineStr">
        <is>
          <t>Adaptação ou fornecimento das sapatas de escora do mancal combinado para a implantação do sistema de injeção de óleo sob pressão - UG01/UG02</t>
        </is>
      </c>
      <c r="F204" s="83" t="inlineStr">
        <is>
          <t>VB.</t>
        </is>
      </c>
      <c r="G204" s="83" t="n">
        <v>2</v>
      </c>
      <c r="H204" s="1274" t="n">
        <v>204708.55</v>
      </c>
      <c r="I204" s="367" t="n"/>
      <c r="J204" s="1275" t="n"/>
      <c r="K204" s="9" t="n"/>
      <c r="L204" s="10" t="n"/>
      <c r="M204" s="236" t="inlineStr">
        <is>
          <t>INSIGHT ENERGY</t>
        </is>
      </c>
      <c r="N204" s="237" t="n"/>
      <c r="O204" s="1276" t="n"/>
      <c r="P204" s="1277" t="n"/>
      <c r="Q204" s="1276" t="n"/>
      <c r="R204" s="1277" t="n"/>
      <c r="S204" s="1278" t="n"/>
      <c r="T204" s="1277" t="n"/>
      <c r="U204" s="1278" t="n"/>
      <c r="V204" s="1279">
        <f>G204*H204</f>
        <v/>
      </c>
    </row>
    <row r="205" ht="15" customFormat="1" customHeight="1" s="353">
      <c r="A205" s="341" t="n"/>
      <c r="B205" s="340" t="n"/>
      <c r="C205" s="340" t="inlineStr">
        <is>
          <t>.</t>
        </is>
      </c>
      <c r="D205" s="340" t="n"/>
      <c r="E205" s="342" t="n"/>
      <c r="F205" s="343" t="n"/>
      <c r="G205" s="344" t="n"/>
      <c r="H205" s="1267" t="n"/>
      <c r="I205" s="316" t="n"/>
      <c r="J205" s="1268" t="n"/>
      <c r="K205" s="345" t="n"/>
      <c r="L205" s="346" t="n"/>
      <c r="M205" s="347" t="n"/>
      <c r="N205" s="348" t="n"/>
      <c r="O205" s="1269" t="n"/>
      <c r="P205" s="1270" t="n"/>
      <c r="Q205" s="1269" t="n"/>
      <c r="R205" s="1270" t="n"/>
      <c r="S205" s="1271" t="n"/>
      <c r="T205" s="1270" t="n"/>
      <c r="U205" s="1271" t="n"/>
      <c r="V205" s="1272" t="n"/>
    </row>
    <row r="206" ht="27.6" customHeight="1">
      <c r="A206" s="95" t="inlineStr">
        <is>
          <t>2.08.20</t>
        </is>
      </c>
      <c r="B206" s="80" t="inlineStr">
        <is>
          <t>SERVIÇO</t>
        </is>
      </c>
      <c r="C206" s="80" t="n"/>
      <c r="D206" s="80" t="n"/>
      <c r="E206" s="81" t="inlineStr">
        <is>
          <t>Implantação do sistema de injeção de óleo sob pressão - UG01/UG02/UG03/UG04</t>
        </is>
      </c>
      <c r="F206" s="83" t="inlineStr">
        <is>
          <t>VB.</t>
        </is>
      </c>
      <c r="G206" s="83" t="n">
        <v>4</v>
      </c>
      <c r="H206" s="1274" t="n">
        <v>465246.69</v>
      </c>
      <c r="I206" s="367" t="n"/>
      <c r="J206" s="1275" t="n"/>
      <c r="K206" s="9" t="n"/>
      <c r="L206" s="10" t="n"/>
      <c r="M206" s="236" t="inlineStr">
        <is>
          <t>INSIGHT ENERGY</t>
        </is>
      </c>
      <c r="N206" s="237" t="n"/>
      <c r="O206" s="1276" t="n"/>
      <c r="P206" s="1277" t="n"/>
      <c r="Q206" s="1276" t="n"/>
      <c r="R206" s="1277" t="n"/>
      <c r="S206" s="1278" t="n"/>
      <c r="T206" s="1277" t="n"/>
      <c r="U206" s="1278" t="n"/>
      <c r="V206" s="1279">
        <f>G206*H206</f>
        <v/>
      </c>
    </row>
    <row r="207" ht="15" customFormat="1" customHeight="1" s="353">
      <c r="A207" s="341" t="n"/>
      <c r="B207" s="340" t="n"/>
      <c r="C207" s="340" t="inlineStr">
        <is>
          <t>.</t>
        </is>
      </c>
      <c r="D207" s="340" t="n"/>
      <c r="E207" s="342" t="n"/>
      <c r="F207" s="343" t="n"/>
      <c r="G207" s="344" t="n"/>
      <c r="H207" s="1267" t="n"/>
      <c r="I207" s="316" t="n"/>
      <c r="J207" s="1268" t="n"/>
      <c r="K207" s="345" t="n"/>
      <c r="L207" s="346" t="n"/>
      <c r="M207" s="347" t="n"/>
      <c r="N207" s="348" t="n"/>
      <c r="O207" s="1269" t="n"/>
      <c r="P207" s="1270" t="n"/>
      <c r="Q207" s="1269" t="n"/>
      <c r="R207" s="1270" t="n"/>
      <c r="S207" s="1271" t="n"/>
      <c r="T207" s="1270" t="n"/>
      <c r="U207" s="1271" t="n"/>
      <c r="V207" s="1272" t="n"/>
    </row>
    <row r="208" ht="27.6" customHeight="1">
      <c r="A208" s="95" t="inlineStr">
        <is>
          <t>2.08.21</t>
        </is>
      </c>
      <c r="B208" s="80" t="inlineStr">
        <is>
          <t>SERVIÇO</t>
        </is>
      </c>
      <c r="C208" s="80" t="n"/>
      <c r="D208" s="80" t="n"/>
      <c r="E208" s="81" t="inlineStr">
        <is>
          <t>Substituição das caixas terminais e barramentos de interligação dos terminais de fase e neutro do gerador - UG01/UG02/UG03/UG04</t>
        </is>
      </c>
      <c r="F208" s="83" t="inlineStr">
        <is>
          <t>VB.</t>
        </is>
      </c>
      <c r="G208" s="83" t="n">
        <v>4</v>
      </c>
      <c r="H208" s="1274" t="n">
        <v>76765.71000000001</v>
      </c>
      <c r="I208" s="367" t="n"/>
      <c r="J208" s="1275" t="n"/>
      <c r="K208" s="9" t="n"/>
      <c r="L208" s="10" t="n"/>
      <c r="M208" s="236" t="inlineStr">
        <is>
          <t>INSIGHT ENERGY</t>
        </is>
      </c>
      <c r="N208" s="237" t="n"/>
      <c r="O208" s="1276" t="n"/>
      <c r="P208" s="1277" t="n"/>
      <c r="Q208" s="1276" t="n"/>
      <c r="R208" s="1277" t="n"/>
      <c r="S208" s="1278" t="n"/>
      <c r="T208" s="1277" t="n"/>
      <c r="U208" s="1278" t="n"/>
      <c r="V208" s="1279">
        <f>G208*H208</f>
        <v/>
      </c>
    </row>
    <row r="209" ht="15" customFormat="1" customHeight="1" s="353">
      <c r="A209" s="341" t="n"/>
      <c r="B209" s="340" t="n"/>
      <c r="C209" s="340" t="inlineStr">
        <is>
          <t>.</t>
        </is>
      </c>
      <c r="D209" s="340" t="n"/>
      <c r="E209" s="342" t="n"/>
      <c r="F209" s="343" t="n"/>
      <c r="G209" s="344" t="n"/>
      <c r="H209" s="1267" t="n"/>
      <c r="I209" s="316" t="n"/>
      <c r="J209" s="1268" t="n"/>
      <c r="K209" s="345" t="n"/>
      <c r="L209" s="346" t="n"/>
      <c r="M209" s="347" t="n"/>
      <c r="N209" s="348" t="n"/>
      <c r="O209" s="1269" t="n"/>
      <c r="P209" s="1270" t="n"/>
      <c r="Q209" s="1269" t="n"/>
      <c r="R209" s="1270" t="n"/>
      <c r="S209" s="1271" t="n"/>
      <c r="T209" s="1270" t="n"/>
      <c r="U209" s="1271" t="n"/>
      <c r="V209" s="1272" t="n"/>
    </row>
    <row r="210" ht="27.6" customHeight="1">
      <c r="A210" s="95" t="inlineStr">
        <is>
          <t>2.08.22</t>
        </is>
      </c>
      <c r="B210" s="80" t="inlineStr">
        <is>
          <t>SERVIÇO</t>
        </is>
      </c>
      <c r="C210" s="80" t="n"/>
      <c r="D210" s="80" t="n"/>
      <c r="E210" s="81" t="inlineStr">
        <is>
          <t>Desmontagem, retirada, acondicionamento e descarte de todo o sistema de proteção contra incêndio (CO2) dos geradores - UG01/UG02/UG03/UG04</t>
        </is>
      </c>
      <c r="F210" s="83" t="inlineStr">
        <is>
          <t>VB.</t>
        </is>
      </c>
      <c r="G210" s="83" t="n">
        <v>4</v>
      </c>
      <c r="H210" s="1274" t="n">
        <v>200056.08</v>
      </c>
      <c r="I210" s="367" t="n"/>
      <c r="J210" s="1275" t="n"/>
      <c r="K210" s="9" t="n"/>
      <c r="L210" s="10" t="n"/>
      <c r="M210" s="236" t="inlineStr">
        <is>
          <t>INSIGHT ENERGY</t>
        </is>
      </c>
      <c r="N210" s="237" t="n"/>
      <c r="O210" s="1276" t="n"/>
      <c r="P210" s="1277" t="n"/>
      <c r="Q210" s="1276" t="n"/>
      <c r="R210" s="1277" t="n"/>
      <c r="S210" s="1278" t="n"/>
      <c r="T210" s="1277" t="n"/>
      <c r="U210" s="1278" t="n"/>
      <c r="V210" s="1279">
        <f>G210*H210</f>
        <v/>
      </c>
    </row>
    <row r="211" ht="15" customFormat="1" customHeight="1" s="353">
      <c r="A211" s="341" t="n"/>
      <c r="B211" s="340" t="n"/>
      <c r="C211" s="340" t="inlineStr">
        <is>
          <t>.</t>
        </is>
      </c>
      <c r="D211" s="340" t="n"/>
      <c r="E211" s="342" t="n"/>
      <c r="F211" s="343" t="n"/>
      <c r="G211" s="344" t="n"/>
      <c r="H211" s="1267" t="n"/>
      <c r="I211" s="316" t="n"/>
      <c r="J211" s="1268" t="n"/>
      <c r="K211" s="345" t="n"/>
      <c r="L211" s="346" t="n"/>
      <c r="M211" s="347" t="n"/>
      <c r="N211" s="348" t="n"/>
      <c r="O211" s="1269" t="n"/>
      <c r="P211" s="1270" t="n"/>
      <c r="Q211" s="1269" t="n"/>
      <c r="R211" s="1270" t="n"/>
      <c r="S211" s="1271" t="n"/>
      <c r="T211" s="1270" t="n"/>
      <c r="U211" s="1271" t="n"/>
      <c r="V211" s="1272" t="n"/>
    </row>
    <row r="212" ht="41.4" customHeight="1">
      <c r="A212" s="95" t="inlineStr">
        <is>
          <t>2.08.23</t>
        </is>
      </c>
      <c r="B212" s="80" t="inlineStr">
        <is>
          <t>SERVIÇO</t>
        </is>
      </c>
      <c r="C212" s="80" t="n"/>
      <c r="D212" s="80" t="n"/>
      <c r="E212" s="81" t="inlineStr">
        <is>
          <t>Desativação da excitatriz rotativa e equipamentos associados (desmontagem de cabos, escovas, porta escovas, etc., porém, o rotor e estator da excitatriz não serão desmontados) - UG01/UG02/UG03/UG04</t>
        </is>
      </c>
      <c r="F212" s="83" t="inlineStr">
        <is>
          <t>VB.</t>
        </is>
      </c>
      <c r="G212" s="83" t="n">
        <v>4</v>
      </c>
      <c r="H212" s="1274" t="n">
        <v>197729.8471908544</v>
      </c>
      <c r="I212" s="367" t="n"/>
      <c r="J212" s="1275" t="n"/>
      <c r="K212" s="9" t="n"/>
      <c r="L212" s="10" t="n"/>
      <c r="M212" s="236" t="inlineStr">
        <is>
          <t>INSIGHT ENERGY</t>
        </is>
      </c>
      <c r="N212" s="237" t="n"/>
      <c r="O212" s="1276" t="n"/>
      <c r="P212" s="1277" t="n"/>
      <c r="Q212" s="1276" t="n"/>
      <c r="R212" s="1277" t="n"/>
      <c r="S212" s="1278" t="n"/>
      <c r="T212" s="1277" t="n"/>
      <c r="U212" s="1278" t="n"/>
      <c r="V212" s="1279">
        <f>G212*H212</f>
        <v/>
      </c>
    </row>
    <row r="213" ht="15" customFormat="1" customHeight="1" s="353">
      <c r="A213" s="341" t="n"/>
      <c r="B213" s="340" t="n"/>
      <c r="C213" s="340" t="inlineStr">
        <is>
          <t>.</t>
        </is>
      </c>
      <c r="D213" s="340" t="n"/>
      <c r="E213" s="342" t="n"/>
      <c r="F213" s="343" t="n"/>
      <c r="G213" s="344" t="n"/>
      <c r="H213" s="1267" t="n"/>
      <c r="I213" s="316" t="n"/>
      <c r="J213" s="1268" t="n"/>
      <c r="K213" s="345" t="n"/>
      <c r="L213" s="346" t="n"/>
      <c r="M213" s="347" t="n"/>
      <c r="N213" s="348" t="n"/>
      <c r="O213" s="1269" t="n"/>
      <c r="P213" s="1270" t="n"/>
      <c r="Q213" s="1269" t="n"/>
      <c r="R213" s="1270" t="n"/>
      <c r="S213" s="1271" t="n"/>
      <c r="T213" s="1270" t="n"/>
      <c r="U213" s="1271" t="n"/>
      <c r="V213" s="1272" t="n"/>
    </row>
    <row r="214" ht="15" customHeight="1">
      <c r="A214" s="95" t="inlineStr">
        <is>
          <t>2.08.24</t>
        </is>
      </c>
      <c r="B214" s="80" t="inlineStr">
        <is>
          <t>MATERIAL</t>
        </is>
      </c>
      <c r="C214" s="80" t="n"/>
      <c r="D214" s="80" t="n"/>
      <c r="E214" s="81" t="inlineStr">
        <is>
          <t>Núcleo do estator e acessórios - UG03/UG04</t>
        </is>
      </c>
      <c r="F214" s="83" t="inlineStr">
        <is>
          <t>CJ.</t>
        </is>
      </c>
      <c r="G214" s="83" t="n">
        <v>2</v>
      </c>
      <c r="H214" s="1274" t="n">
        <v>864650.92</v>
      </c>
      <c r="I214" s="367" t="n"/>
      <c r="J214" s="1275" t="n"/>
      <c r="K214" s="9" t="n"/>
      <c r="L214" s="1277" t="n"/>
      <c r="M214" s="236" t="inlineStr">
        <is>
          <t>INSIGHT ENERGY</t>
        </is>
      </c>
      <c r="N214" s="290" t="n"/>
      <c r="O214" s="302" t="n"/>
      <c r="P214" s="309" t="n"/>
      <c r="Q214" s="310" t="n"/>
      <c r="R214" s="310" t="n"/>
      <c r="S214" s="311" t="n"/>
      <c r="T214" s="311" t="n"/>
      <c r="U214" s="309" t="n"/>
      <c r="V214" s="1279">
        <f>G214*H214</f>
        <v/>
      </c>
    </row>
    <row r="215" ht="15" customFormat="1" customHeight="1" s="353">
      <c r="A215" s="341" t="n"/>
      <c r="B215" s="340" t="n"/>
      <c r="C215" s="340" t="inlineStr">
        <is>
          <t>.</t>
        </is>
      </c>
      <c r="D215" s="340" t="n"/>
      <c r="E215" s="342" t="n"/>
      <c r="F215" s="343" t="n"/>
      <c r="G215" s="344" t="n"/>
      <c r="H215" s="1267" t="n"/>
      <c r="I215" s="316" t="n"/>
      <c r="J215" s="1268" t="n"/>
      <c r="K215" s="345" t="n"/>
      <c r="L215" s="346" t="n"/>
      <c r="M215" s="347" t="n"/>
      <c r="N215" s="348" t="n"/>
      <c r="O215" s="1269" t="n"/>
      <c r="P215" s="1270" t="n"/>
      <c r="Q215" s="1269" t="n"/>
      <c r="R215" s="1270" t="n"/>
      <c r="S215" s="1271" t="n"/>
      <c r="T215" s="1270" t="n"/>
      <c r="U215" s="1271" t="n"/>
      <c r="V215" s="1272" t="n"/>
    </row>
    <row r="216" ht="15" customHeight="1">
      <c r="A216" s="95" t="inlineStr">
        <is>
          <t>2.08.25</t>
        </is>
      </c>
      <c r="B216" s="80" t="inlineStr">
        <is>
          <t>MATERIAL</t>
        </is>
      </c>
      <c r="C216" s="80" t="n"/>
      <c r="D216" s="80" t="n"/>
      <c r="E216" s="81" t="inlineStr">
        <is>
          <t>Bobinas do Estator - UG03/UG04</t>
        </is>
      </c>
      <c r="F216" s="83" t="inlineStr">
        <is>
          <t>CJ.</t>
        </is>
      </c>
      <c r="G216" s="83" t="n">
        <v>2</v>
      </c>
      <c r="H216" s="1274" t="n">
        <v>383185.84</v>
      </c>
      <c r="I216" s="367" t="n"/>
      <c r="J216" s="1275" t="n"/>
      <c r="K216" s="9" t="n"/>
      <c r="L216" s="1277" t="n"/>
      <c r="M216" s="236" t="inlineStr">
        <is>
          <t>INSIGHT ENERGY</t>
        </is>
      </c>
      <c r="N216" s="237" t="n"/>
      <c r="O216" s="302" t="n"/>
      <c r="P216" s="309" t="n"/>
      <c r="Q216" s="310" t="n"/>
      <c r="R216" s="310" t="n"/>
      <c r="S216" s="311" t="n"/>
      <c r="T216" s="311" t="n"/>
      <c r="U216" s="309" t="n"/>
      <c r="V216" s="1279">
        <f>G216*H216</f>
        <v/>
      </c>
    </row>
    <row r="217" ht="15" customFormat="1" customHeight="1" s="353">
      <c r="A217" s="341" t="n"/>
      <c r="B217" s="340" t="n"/>
      <c r="C217" s="340" t="inlineStr">
        <is>
          <t>.</t>
        </is>
      </c>
      <c r="D217" s="340" t="n"/>
      <c r="E217" s="342" t="n"/>
      <c r="F217" s="343" t="n"/>
      <c r="G217" s="344" t="n"/>
      <c r="H217" s="1267" t="n"/>
      <c r="I217" s="316" t="n"/>
      <c r="J217" s="1268" t="n"/>
      <c r="K217" s="345" t="n"/>
      <c r="L217" s="346" t="n"/>
      <c r="M217" s="347" t="n"/>
      <c r="N217" s="348" t="n"/>
      <c r="O217" s="1269" t="n"/>
      <c r="P217" s="1270" t="n"/>
      <c r="Q217" s="1269" t="n"/>
      <c r="R217" s="1270" t="n"/>
      <c r="S217" s="1271" t="n"/>
      <c r="T217" s="1270" t="n"/>
      <c r="U217" s="1271" t="n"/>
      <c r="V217" s="1272" t="n"/>
    </row>
    <row r="218" ht="15" customHeight="1">
      <c r="A218" s="95" t="inlineStr">
        <is>
          <t>2.08.26</t>
        </is>
      </c>
      <c r="B218" s="80" t="inlineStr">
        <is>
          <t>MATERIAL</t>
        </is>
      </c>
      <c r="C218" s="80" t="n"/>
      <c r="D218" s="80" t="n"/>
      <c r="E218" s="81" t="inlineStr">
        <is>
          <t>Porta escovas do gerador - UG03/UG04</t>
        </is>
      </c>
      <c r="F218" s="83" t="inlineStr">
        <is>
          <t>CJ.</t>
        </is>
      </c>
      <c r="G218" s="83" t="n">
        <v>2</v>
      </c>
      <c r="H218" s="1274" t="n">
        <v>74439.47188361577</v>
      </c>
      <c r="I218" s="367" t="n"/>
      <c r="J218" s="1275" t="n"/>
      <c r="K218" s="9" t="n"/>
      <c r="L218" s="1277" t="n"/>
      <c r="M218" s="236" t="inlineStr">
        <is>
          <t>INSIGHT ENERGY</t>
        </is>
      </c>
      <c r="N218" s="237" t="n"/>
      <c r="O218" s="302" t="n"/>
      <c r="P218" s="309" t="n"/>
      <c r="Q218" s="310" t="n"/>
      <c r="R218" s="310" t="n"/>
      <c r="S218" s="311" t="n"/>
      <c r="T218" s="311" t="n"/>
      <c r="U218" s="309" t="n"/>
      <c r="V218" s="1279">
        <f>G218*H218</f>
        <v/>
      </c>
    </row>
    <row r="219" ht="15" customFormat="1" customHeight="1" s="353">
      <c r="A219" s="341" t="n"/>
      <c r="B219" s="340" t="n"/>
      <c r="C219" s="340" t="inlineStr">
        <is>
          <t>.</t>
        </is>
      </c>
      <c r="D219" s="340" t="n"/>
      <c r="E219" s="342" t="n"/>
      <c r="F219" s="343" t="n"/>
      <c r="G219" s="344" t="n"/>
      <c r="H219" s="1267" t="n"/>
      <c r="I219" s="316" t="n"/>
      <c r="J219" s="1268" t="n"/>
      <c r="K219" s="345" t="n"/>
      <c r="L219" s="346" t="n"/>
      <c r="M219" s="347" t="n"/>
      <c r="N219" s="348" t="n"/>
      <c r="O219" s="1269" t="n"/>
      <c r="P219" s="1270" t="n"/>
      <c r="Q219" s="1269" t="n"/>
      <c r="R219" s="1270" t="n"/>
      <c r="S219" s="1271" t="n"/>
      <c r="T219" s="1270" t="n"/>
      <c r="U219" s="1271" t="n"/>
      <c r="V219" s="1272" t="n"/>
    </row>
    <row r="220" ht="15" customHeight="1">
      <c r="A220" s="95" t="inlineStr">
        <is>
          <t>2.08.27</t>
        </is>
      </c>
      <c r="B220" s="80" t="inlineStr">
        <is>
          <t>MATERIAL</t>
        </is>
      </c>
      <c r="C220" s="80" t="n"/>
      <c r="D220" s="80" t="n"/>
      <c r="E220" s="81" t="inlineStr">
        <is>
          <t>Sensores de PT 100 do núcleo e enrolamento - UG03/UG04</t>
        </is>
      </c>
      <c r="F220" s="83" t="inlineStr">
        <is>
          <t>CJ.</t>
        </is>
      </c>
      <c r="G220" s="83" t="n">
        <v>2</v>
      </c>
      <c r="H220" s="1274" t="n">
        <v>25588.56845999292</v>
      </c>
      <c r="I220" s="367" t="n"/>
      <c r="J220" s="1275" t="n"/>
      <c r="K220" s="9" t="n"/>
      <c r="L220" s="1277" t="n"/>
      <c r="M220" s="236" t="inlineStr">
        <is>
          <t>INSIGHT ENERGY</t>
        </is>
      </c>
      <c r="N220" s="237" t="n"/>
      <c r="O220" s="302" t="n"/>
      <c r="P220" s="309" t="n"/>
      <c r="Q220" s="310" t="n"/>
      <c r="R220" s="310" t="n"/>
      <c r="S220" s="311" t="n"/>
      <c r="T220" s="311" t="n"/>
      <c r="U220" s="309" t="n"/>
      <c r="V220" s="1279">
        <f>G220*H220</f>
        <v/>
      </c>
    </row>
    <row r="221" ht="15" customFormat="1" customHeight="1" s="353">
      <c r="A221" s="341" t="n"/>
      <c r="B221" s="340" t="n"/>
      <c r="C221" s="340" t="inlineStr">
        <is>
          <t>.</t>
        </is>
      </c>
      <c r="D221" s="340" t="n"/>
      <c r="E221" s="342" t="n"/>
      <c r="F221" s="343" t="n"/>
      <c r="G221" s="344" t="n"/>
      <c r="H221" s="1267" t="n"/>
      <c r="I221" s="316" t="n"/>
      <c r="J221" s="1268" t="n"/>
      <c r="K221" s="345" t="n"/>
      <c r="L221" s="346" t="n"/>
      <c r="M221" s="347" t="n"/>
      <c r="N221" s="348" t="n"/>
      <c r="O221" s="1269" t="n"/>
      <c r="P221" s="1270" t="n"/>
      <c r="Q221" s="1269" t="n"/>
      <c r="R221" s="1270" t="n"/>
      <c r="S221" s="1271" t="n"/>
      <c r="T221" s="1270" t="n"/>
      <c r="U221" s="1271" t="n"/>
      <c r="V221" s="1272" t="n"/>
    </row>
    <row r="222" ht="27.6" customHeight="1">
      <c r="A222" s="95" t="inlineStr">
        <is>
          <t>2.08.28</t>
        </is>
      </c>
      <c r="B222" s="80" t="inlineStr">
        <is>
          <t>MATERIAL</t>
        </is>
      </c>
      <c r="C222" s="80" t="n"/>
      <c r="D222" s="80" t="n"/>
      <c r="E222" s="81" t="inlineStr">
        <is>
          <t>Sistema de aquecimento de máquina parada e Sistema de Iluminação Interna do Barril - UG03/UG04</t>
        </is>
      </c>
      <c r="F222" s="83" t="inlineStr">
        <is>
          <t>CJ.</t>
        </is>
      </c>
      <c r="G222" s="83" t="n">
        <v>2</v>
      </c>
      <c r="H222" s="1274" t="n">
        <v>18609.86797090394</v>
      </c>
      <c r="I222" s="367" t="n"/>
      <c r="J222" s="1275" t="n"/>
      <c r="K222" s="9" t="n"/>
      <c r="L222" s="1277" t="n"/>
      <c r="M222" s="236" t="inlineStr">
        <is>
          <t>INSIGHT ENERGY</t>
        </is>
      </c>
      <c r="N222" s="237" t="n"/>
      <c r="O222" s="302" t="n"/>
      <c r="P222" s="309" t="n"/>
      <c r="Q222" s="310" t="n"/>
      <c r="R222" s="310" t="n"/>
      <c r="S222" s="311" t="n"/>
      <c r="T222" s="311" t="n"/>
      <c r="U222" s="309" t="n"/>
      <c r="V222" s="1279">
        <f>G222*H222</f>
        <v/>
      </c>
    </row>
    <row r="223" ht="15" customFormat="1" customHeight="1" s="353">
      <c r="A223" s="341" t="n"/>
      <c r="B223" s="340" t="n"/>
      <c r="C223" s="340" t="inlineStr">
        <is>
          <t>.</t>
        </is>
      </c>
      <c r="D223" s="340" t="n"/>
      <c r="E223" s="342" t="n"/>
      <c r="F223" s="343" t="n"/>
      <c r="G223" s="344" t="n"/>
      <c r="H223" s="1267" t="n"/>
      <c r="I223" s="316" t="n"/>
      <c r="J223" s="1268" t="n"/>
      <c r="K223" s="345" t="n"/>
      <c r="L223" s="346" t="n"/>
      <c r="M223" s="347" t="n"/>
      <c r="N223" s="348" t="n"/>
      <c r="O223" s="1269" t="n"/>
      <c r="P223" s="1270" t="n"/>
      <c r="Q223" s="1269" t="n"/>
      <c r="R223" s="1270" t="n"/>
      <c r="S223" s="1271" t="n"/>
      <c r="T223" s="1270" t="n"/>
      <c r="U223" s="1271" t="n"/>
      <c r="V223" s="1272" t="n"/>
    </row>
    <row r="224" ht="27.6" customHeight="1">
      <c r="A224" s="95" t="inlineStr">
        <is>
          <t>2.08.29</t>
        </is>
      </c>
      <c r="B224" s="80" t="inlineStr">
        <is>
          <t>MATERIAL</t>
        </is>
      </c>
      <c r="C224" s="80" t="n"/>
      <c r="D224" s="80" t="n"/>
      <c r="E224" s="81" t="inlineStr">
        <is>
          <t>Acopladores para o Sistema de Medição de Descargas Parciais - UG01/UG02/UG03/UG04</t>
        </is>
      </c>
      <c r="F224" s="83" t="inlineStr">
        <is>
          <t>CJ.</t>
        </is>
      </c>
      <c r="G224" s="83" t="n">
        <v>4</v>
      </c>
      <c r="H224" s="1274" t="n">
        <v>609404.4</v>
      </c>
      <c r="I224" s="367" t="n"/>
      <c r="J224" s="1275" t="n"/>
      <c r="K224" s="9" t="n"/>
      <c r="L224" s="1277" t="n"/>
      <c r="M224" s="236" t="inlineStr">
        <is>
          <t>INSIGHT ENERGY</t>
        </is>
      </c>
      <c r="N224" s="237" t="n"/>
      <c r="O224" s="302" t="n"/>
      <c r="P224" s="309" t="n"/>
      <c r="Q224" s="310" t="n"/>
      <c r="R224" s="310" t="n"/>
      <c r="S224" s="311" t="n"/>
      <c r="T224" s="311" t="n"/>
      <c r="U224" s="309" t="n"/>
      <c r="V224" s="1279">
        <f>G224*H224</f>
        <v/>
      </c>
    </row>
    <row r="225" ht="15" customFormat="1" customHeight="1" s="353">
      <c r="A225" s="341" t="n"/>
      <c r="B225" s="340" t="n"/>
      <c r="C225" s="340" t="inlineStr">
        <is>
          <t>.</t>
        </is>
      </c>
      <c r="D225" s="340" t="n"/>
      <c r="E225" s="342" t="n"/>
      <c r="F225" s="343" t="n"/>
      <c r="G225" s="344" t="n"/>
      <c r="H225" s="1267" t="n"/>
      <c r="I225" s="316" t="n"/>
      <c r="J225" s="1268" t="n"/>
      <c r="K225" s="345" t="n"/>
      <c r="L225" s="346" t="n"/>
      <c r="M225" s="347" t="n"/>
      <c r="N225" s="348" t="n"/>
      <c r="O225" s="1269" t="n"/>
      <c r="P225" s="1270" t="n"/>
      <c r="Q225" s="1269" t="n"/>
      <c r="R225" s="1270" t="n"/>
      <c r="S225" s="1271" t="n"/>
      <c r="T225" s="1270" t="n"/>
      <c r="U225" s="1271" t="n"/>
      <c r="V225" s="1272" t="n"/>
    </row>
    <row r="226" ht="15" customHeight="1">
      <c r="A226" s="95" t="inlineStr">
        <is>
          <t>2.08.30</t>
        </is>
      </c>
      <c r="B226" s="80" t="inlineStr">
        <is>
          <t>MATERIAL</t>
        </is>
      </c>
      <c r="C226" s="80" t="n"/>
      <c r="D226" s="80" t="n"/>
      <c r="E226" s="81" t="inlineStr">
        <is>
          <t>Transformadores de Corrente (TCs) de neutro - UG01/UG02/UG03/UG04</t>
        </is>
      </c>
      <c r="F226" s="83" t="inlineStr">
        <is>
          <t>CJ.</t>
        </is>
      </c>
      <c r="G226" s="83" t="n">
        <v>12</v>
      </c>
      <c r="H226" s="1274" t="n">
        <v>107702.5033333333</v>
      </c>
      <c r="I226" s="367" t="n"/>
      <c r="J226" s="1275" t="n"/>
      <c r="K226" s="9" t="n"/>
      <c r="L226" s="1277" t="n"/>
      <c r="M226" s="236" t="inlineStr">
        <is>
          <t>INSIGHT ENERGY</t>
        </is>
      </c>
      <c r="N226" s="237" t="n"/>
      <c r="O226" s="302" t="n"/>
      <c r="P226" s="309" t="n"/>
      <c r="Q226" s="310" t="n"/>
      <c r="R226" s="310" t="n"/>
      <c r="S226" s="311" t="n"/>
      <c r="T226" s="311" t="n"/>
      <c r="U226" s="309" t="n"/>
      <c r="V226" s="1279">
        <f>G226*H226</f>
        <v/>
      </c>
    </row>
    <row r="227" ht="15" customFormat="1" customHeight="1" s="353">
      <c r="A227" s="341" t="n"/>
      <c r="B227" s="340" t="n"/>
      <c r="C227" s="340" t="inlineStr">
        <is>
          <t>.</t>
        </is>
      </c>
      <c r="D227" s="340" t="n"/>
      <c r="E227" s="342" t="n"/>
      <c r="F227" s="343" t="n"/>
      <c r="G227" s="344" t="n"/>
      <c r="H227" s="1267" t="n"/>
      <c r="I227" s="316" t="n"/>
      <c r="J227" s="1268" t="n"/>
      <c r="K227" s="345" t="n"/>
      <c r="L227" s="346" t="n"/>
      <c r="M227" s="347" t="n"/>
      <c r="N227" s="348" t="n"/>
      <c r="O227" s="1269" t="n"/>
      <c r="P227" s="1270" t="n"/>
      <c r="Q227" s="1269" t="n"/>
      <c r="R227" s="1270" t="n"/>
      <c r="S227" s="1271" t="n"/>
      <c r="T227" s="1270" t="n"/>
      <c r="U227" s="1271" t="n"/>
      <c r="V227" s="1272" t="n"/>
    </row>
    <row r="228" ht="28.2" customHeight="1">
      <c r="A228" s="95" t="inlineStr">
        <is>
          <t>2.08.31</t>
        </is>
      </c>
      <c r="B228" s="80" t="inlineStr">
        <is>
          <t>MATERIAL</t>
        </is>
      </c>
      <c r="C228" s="80" t="n"/>
      <c r="D228" s="80" t="n"/>
      <c r="E228" s="81" t="inlineStr">
        <is>
          <t>Transformadores de Corrente (TCs) de fase dividida Split Phase - UG01/UG02/UG03/UG04</t>
        </is>
      </c>
      <c r="F228" s="83" t="inlineStr">
        <is>
          <t>CJ.</t>
        </is>
      </c>
      <c r="G228" s="83" t="n">
        <v>4</v>
      </c>
      <c r="H228" s="1274" t="n">
        <v>255157.55</v>
      </c>
      <c r="I228" s="367" t="n"/>
      <c r="J228" s="1275" t="n"/>
      <c r="K228" s="9" t="n"/>
      <c r="L228" s="1277" t="n"/>
      <c r="M228" s="236" t="inlineStr">
        <is>
          <t>INSIGHT ENERGY</t>
        </is>
      </c>
      <c r="N228" s="237" t="n"/>
      <c r="O228" s="302" t="n"/>
      <c r="P228" s="309" t="n"/>
      <c r="Q228" s="310" t="n"/>
      <c r="R228" s="310" t="n"/>
      <c r="S228" s="311" t="n"/>
      <c r="T228" s="311" t="n"/>
      <c r="U228" s="309" t="n"/>
      <c r="V228" s="1279">
        <f>G228*H228</f>
        <v/>
      </c>
    </row>
    <row r="229" ht="15" customFormat="1" customHeight="1" s="353">
      <c r="A229" s="341" t="n"/>
      <c r="B229" s="340" t="n"/>
      <c r="C229" s="340" t="inlineStr">
        <is>
          <t>.</t>
        </is>
      </c>
      <c r="D229" s="340" t="n"/>
      <c r="E229" s="342" t="n"/>
      <c r="F229" s="343" t="n"/>
      <c r="G229" s="344" t="n"/>
      <c r="H229" s="1267" t="n"/>
      <c r="I229" s="316" t="n"/>
      <c r="J229" s="1268" t="n"/>
      <c r="K229" s="345" t="n"/>
      <c r="L229" s="346" t="n"/>
      <c r="M229" s="347" t="n"/>
      <c r="N229" s="348" t="n"/>
      <c r="O229" s="1269" t="n"/>
      <c r="P229" s="1270" t="n"/>
      <c r="Q229" s="1269" t="n"/>
      <c r="R229" s="1270" t="n"/>
      <c r="S229" s="1271" t="n"/>
      <c r="T229" s="1270" t="n"/>
      <c r="U229" s="1271" t="n"/>
      <c r="V229" s="1272" t="n"/>
    </row>
    <row r="230" ht="27.6" customHeight="1">
      <c r="A230" s="95" t="inlineStr">
        <is>
          <t>2.08.32</t>
        </is>
      </c>
      <c r="B230" s="80" t="inlineStr">
        <is>
          <t>MATERIAL</t>
        </is>
      </c>
      <c r="C230" s="80" t="n"/>
      <c r="D230" s="80" t="n"/>
      <c r="E230" s="81" t="inlineStr">
        <is>
          <t>Cabos de Média Tensão e suportes entre os terminais do geradores e os transformadores elevadores - UG01/UG02/UG03/UG04</t>
        </is>
      </c>
      <c r="F230" s="83" t="inlineStr">
        <is>
          <t>CJ.</t>
        </is>
      </c>
      <c r="G230" s="83" t="n">
        <v>4</v>
      </c>
      <c r="H230" s="1274" t="n">
        <v>630334.64</v>
      </c>
      <c r="I230" s="367" t="n"/>
      <c r="J230" s="1275" t="n"/>
      <c r="K230" s="9" t="n"/>
      <c r="L230" s="1277" t="n"/>
      <c r="M230" s="236" t="inlineStr">
        <is>
          <t>INSIGHT ENERGY</t>
        </is>
      </c>
      <c r="N230" s="237" t="n"/>
      <c r="O230" s="302" t="n"/>
      <c r="P230" s="309" t="n"/>
      <c r="Q230" s="310" t="n"/>
      <c r="R230" s="310" t="n"/>
      <c r="S230" s="311" t="n"/>
      <c r="T230" s="311" t="n"/>
      <c r="U230" s="309" t="n"/>
      <c r="V230" s="1279">
        <f>G230*H230</f>
        <v/>
      </c>
    </row>
    <row r="231" ht="15" customFormat="1" customHeight="1" s="353">
      <c r="A231" s="341" t="n"/>
      <c r="B231" s="340" t="n"/>
      <c r="C231" s="340" t="inlineStr">
        <is>
          <t>.</t>
        </is>
      </c>
      <c r="D231" s="340" t="n"/>
      <c r="E231" s="342" t="n"/>
      <c r="F231" s="343" t="n"/>
      <c r="G231" s="344" t="n"/>
      <c r="H231" s="1267" t="n"/>
      <c r="I231" s="316" t="n"/>
      <c r="J231" s="1268" t="n"/>
      <c r="K231" s="345" t="n"/>
      <c r="L231" s="346" t="n"/>
      <c r="M231" s="347" t="n"/>
      <c r="N231" s="348" t="n"/>
      <c r="O231" s="1269" t="n"/>
      <c r="P231" s="1270" t="n"/>
      <c r="Q231" s="1269" t="n"/>
      <c r="R231" s="1270" t="n"/>
      <c r="S231" s="1271" t="n"/>
      <c r="T231" s="1270" t="n"/>
      <c r="U231" s="1271" t="n"/>
      <c r="V231" s="1272" t="n"/>
    </row>
    <row r="232" ht="15" customHeight="1">
      <c r="A232" s="95" t="inlineStr">
        <is>
          <t>2.08.33</t>
        </is>
      </c>
      <c r="B232" s="80" t="inlineStr">
        <is>
          <t>MATERIAL</t>
        </is>
      </c>
      <c r="C232" s="80" t="n"/>
      <c r="D232" s="80" t="n"/>
      <c r="E232" s="81" t="inlineStr">
        <is>
          <t>Sistema de injeção de óleo sob pressão - UG01/UG02/UG03/UG04</t>
        </is>
      </c>
      <c r="F232" s="83" t="inlineStr">
        <is>
          <t>CJ.</t>
        </is>
      </c>
      <c r="G232" s="83" t="n">
        <v>4</v>
      </c>
      <c r="H232" s="1274" t="n">
        <v>351345.38</v>
      </c>
      <c r="I232" s="367" t="n"/>
      <c r="J232" s="1275" t="n"/>
      <c r="K232" s="9" t="n"/>
      <c r="L232" s="1277" t="n"/>
      <c r="M232" s="236" t="inlineStr">
        <is>
          <t>INSIGHT ENERGY</t>
        </is>
      </c>
      <c r="N232" s="237" t="n"/>
      <c r="O232" s="302" t="n"/>
      <c r="P232" s="309" t="n"/>
      <c r="Q232" s="310" t="n"/>
      <c r="R232" s="310" t="n"/>
      <c r="S232" s="311" t="n"/>
      <c r="T232" s="311" t="n"/>
      <c r="U232" s="309" t="n"/>
      <c r="V232" s="1279">
        <f>G232*H232</f>
        <v/>
      </c>
    </row>
    <row r="233" ht="15" customFormat="1" customHeight="1" s="353">
      <c r="A233" s="341" t="n"/>
      <c r="B233" s="340" t="n"/>
      <c r="C233" s="340" t="inlineStr">
        <is>
          <t>.</t>
        </is>
      </c>
      <c r="D233" s="340" t="n"/>
      <c r="E233" s="342" t="n"/>
      <c r="F233" s="343" t="n"/>
      <c r="G233" s="344" t="n"/>
      <c r="H233" s="1267" t="n"/>
      <c r="I233" s="316" t="n"/>
      <c r="J233" s="1268" t="n"/>
      <c r="K233" s="345" t="n"/>
      <c r="L233" s="346" t="n"/>
      <c r="M233" s="347" t="n"/>
      <c r="N233" s="348" t="n"/>
      <c r="O233" s="1269" t="n"/>
      <c r="P233" s="1270" t="n"/>
      <c r="Q233" s="1269" t="n"/>
      <c r="R233" s="1270" t="n"/>
      <c r="S233" s="1271" t="n"/>
      <c r="T233" s="1270" t="n"/>
      <c r="U233" s="1271" t="n"/>
      <c r="V233" s="1272" t="n"/>
    </row>
    <row r="234" ht="15" customHeight="1">
      <c r="A234" s="95" t="inlineStr">
        <is>
          <t>2.08.34</t>
        </is>
      </c>
      <c r="B234" s="80" t="inlineStr">
        <is>
          <t>MATERIAL</t>
        </is>
      </c>
      <c r="C234" s="80" t="n"/>
      <c r="D234" s="80" t="n"/>
      <c r="E234" s="81" t="inlineStr">
        <is>
          <t>Sapatas de escora - UG01/UG02/UG03/UG04</t>
        </is>
      </c>
      <c r="F234" s="83" t="inlineStr">
        <is>
          <t>CJ.</t>
        </is>
      </c>
      <c r="G234" s="83" t="n">
        <v>4</v>
      </c>
      <c r="H234" s="1274" t="n">
        <v>90958.98</v>
      </c>
      <c r="I234" s="367" t="n"/>
      <c r="J234" s="1275" t="n"/>
      <c r="K234" s="9" t="n"/>
      <c r="L234" s="1277" t="n"/>
      <c r="M234" s="236" t="inlineStr">
        <is>
          <t>INSIGHT ENERGY</t>
        </is>
      </c>
      <c r="N234" s="237" t="n"/>
      <c r="O234" s="302" t="n"/>
      <c r="P234" s="309" t="n"/>
      <c r="Q234" s="310" t="n"/>
      <c r="R234" s="310" t="n"/>
      <c r="S234" s="311" t="n"/>
      <c r="T234" s="311" t="n"/>
      <c r="U234" s="309" t="n"/>
      <c r="V234" s="1279">
        <f>G234*H234</f>
        <v/>
      </c>
    </row>
    <row r="235" ht="15" customFormat="1" customHeight="1" s="353">
      <c r="A235" s="341" t="n"/>
      <c r="B235" s="340" t="n"/>
      <c r="C235" s="340" t="inlineStr">
        <is>
          <t>.</t>
        </is>
      </c>
      <c r="D235" s="340" t="n"/>
      <c r="E235" s="342" t="n"/>
      <c r="F235" s="343" t="n"/>
      <c r="G235" s="344" t="n"/>
      <c r="H235" s="1267" t="n"/>
      <c r="I235" s="316" t="n"/>
      <c r="J235" s="1268" t="n"/>
      <c r="K235" s="345" t="n"/>
      <c r="L235" s="346" t="n"/>
      <c r="M235" s="347" t="n"/>
      <c r="N235" s="348" t="n"/>
      <c r="O235" s="1269" t="n"/>
      <c r="P235" s="1270" t="n"/>
      <c r="Q235" s="1269" t="n"/>
      <c r="R235" s="1270" t="n"/>
      <c r="S235" s="1271" t="n"/>
      <c r="T235" s="1270" t="n"/>
      <c r="U235" s="1271" t="n"/>
      <c r="V235" s="1272" t="n"/>
    </row>
    <row r="236" ht="15" customHeight="1">
      <c r="A236" s="95" t="inlineStr">
        <is>
          <t>2.08.35</t>
        </is>
      </c>
      <c r="B236" s="80" t="inlineStr">
        <is>
          <t>MATERIAL</t>
        </is>
      </c>
      <c r="C236" s="80" t="n"/>
      <c r="D236" s="80" t="n"/>
      <c r="E236" s="81" t="inlineStr">
        <is>
          <t>Sistema de monitoramento e vibração - UG01/UG02/UG03/UG04</t>
        </is>
      </c>
      <c r="F236" s="83" t="inlineStr">
        <is>
          <t>CJ.</t>
        </is>
      </c>
      <c r="G236" s="83" t="n">
        <v>4</v>
      </c>
      <c r="H236" s="1274" t="n">
        <v>249000</v>
      </c>
      <c r="I236" s="367" t="n"/>
      <c r="J236" s="1275" t="n"/>
      <c r="K236" s="9" t="n"/>
      <c r="L236" s="1277" t="n"/>
      <c r="M236" s="236" t="inlineStr">
        <is>
          <t>AQTECH</t>
        </is>
      </c>
      <c r="N236" s="237" t="n"/>
      <c r="O236" s="302" t="n"/>
      <c r="P236" s="309" t="n"/>
      <c r="Q236" s="310" t="n"/>
      <c r="R236" s="310" t="n"/>
      <c r="S236" s="311" t="n"/>
      <c r="T236" s="311" t="n"/>
      <c r="U236" s="309" t="n"/>
      <c r="V236" s="1279">
        <f>G236*H236</f>
        <v/>
      </c>
    </row>
    <row r="237" ht="15" customFormat="1" customHeight="1" s="353">
      <c r="A237" s="341" t="n"/>
      <c r="B237" s="340" t="n"/>
      <c r="C237" s="340" t="inlineStr">
        <is>
          <t>.</t>
        </is>
      </c>
      <c r="D237" s="340" t="n"/>
      <c r="E237" s="342" t="n"/>
      <c r="F237" s="343" t="n"/>
      <c r="G237" s="344" t="n"/>
      <c r="H237" s="1267" t="n"/>
      <c r="I237" s="316" t="n"/>
      <c r="J237" s="1268" t="n"/>
      <c r="K237" s="345" t="n"/>
      <c r="L237" s="346" t="n"/>
      <c r="M237" s="347" t="n"/>
      <c r="N237" s="348" t="n"/>
      <c r="O237" s="1269" t="n"/>
      <c r="P237" s="1270" t="n"/>
      <c r="Q237" s="1269" t="n"/>
      <c r="R237" s="1270" t="n"/>
      <c r="S237" s="1271" t="n"/>
      <c r="T237" s="1270" t="n"/>
      <c r="U237" s="1271" t="n"/>
      <c r="V237" s="1272" t="n"/>
    </row>
    <row r="238" ht="15" customFormat="1" customHeight="1" s="353">
      <c r="A238" s="95" t="inlineStr">
        <is>
          <t>2.08.36</t>
        </is>
      </c>
      <c r="B238" s="80" t="inlineStr">
        <is>
          <t>MATERIAL</t>
        </is>
      </c>
      <c r="C238" s="80" t="n"/>
      <c r="D238" s="80" t="n"/>
      <c r="E238" s="81" t="inlineStr">
        <is>
          <t>Trocadores de calor e serpentina</t>
        </is>
      </c>
      <c r="F238" s="83" t="inlineStr">
        <is>
          <t>CJ</t>
        </is>
      </c>
      <c r="G238" s="83" t="n">
        <v>4</v>
      </c>
      <c r="H238" s="1274">
        <f>1171937/4</f>
        <v/>
      </c>
      <c r="I238" s="367" t="n"/>
      <c r="J238" s="1275" t="n"/>
      <c r="K238" s="9" t="n"/>
      <c r="L238" s="1277" t="n"/>
      <c r="M238" s="236" t="inlineStr">
        <is>
          <t>TUBAL</t>
        </is>
      </c>
      <c r="N238" s="237" t="n"/>
      <c r="O238" s="302" t="n"/>
      <c r="P238" s="309" t="n"/>
      <c r="Q238" s="310" t="n"/>
      <c r="R238" s="310" t="n"/>
      <c r="S238" s="311" t="n"/>
      <c r="T238" s="311" t="n"/>
      <c r="U238" s="309" t="n"/>
      <c r="V238" s="1279">
        <f>G238*H238</f>
        <v/>
      </c>
    </row>
    <row r="239" ht="15.6" customFormat="1" customHeight="1" s="353" thickBot="1">
      <c r="A239" s="341" t="n"/>
      <c r="B239" s="340" t="n"/>
      <c r="C239" s="340" t="n"/>
      <c r="D239" s="340" t="n"/>
      <c r="E239" s="342" t="n"/>
      <c r="F239" s="343" t="n"/>
      <c r="G239" s="344" t="n"/>
      <c r="H239" s="1267" t="n"/>
      <c r="I239" s="316" t="n"/>
      <c r="J239" s="1268" t="n"/>
      <c r="K239" s="345" t="n"/>
      <c r="L239" s="346" t="n"/>
      <c r="M239" s="347" t="n"/>
      <c r="N239" s="348" t="n"/>
      <c r="O239" s="1269" t="n"/>
      <c r="P239" s="1270" t="n"/>
      <c r="Q239" s="1269" t="n"/>
      <c r="R239" s="1270" t="n"/>
      <c r="S239" s="1271" t="n"/>
      <c r="T239" s="1270" t="n"/>
      <c r="U239" s="1271" t="n"/>
      <c r="V239" s="1272" t="n"/>
    </row>
    <row r="240" ht="16.2" customHeight="1" thickBot="1">
      <c r="A240" s="379" t="inlineStr">
        <is>
          <t>2.09 - Turbina e Auxiliares</t>
        </is>
      </c>
      <c r="B240" s="380" t="n"/>
      <c r="C240" s="380" t="n"/>
      <c r="D240" s="380" t="n"/>
      <c r="E240" s="380" t="n"/>
      <c r="F240" s="380" t="n"/>
      <c r="G240" s="380" t="n"/>
      <c r="H240" s="380" t="n"/>
      <c r="I240" s="381" t="n"/>
      <c r="J240" s="1258" t="n"/>
      <c r="K240" s="380" t="n"/>
      <c r="L240" s="380" t="n"/>
      <c r="M240" s="385" t="n"/>
      <c r="N240" s="380" t="n"/>
      <c r="O240" s="383" t="n"/>
      <c r="P240" s="380" t="n"/>
      <c r="Q240" s="383" t="n"/>
      <c r="R240" s="380" t="n"/>
      <c r="S240" s="380" t="n"/>
      <c r="T240" s="380" t="n"/>
      <c r="U240" s="384" t="n"/>
      <c r="V240" s="1259">
        <f>SUM(V241:V275)</f>
        <v/>
      </c>
      <c r="W240" s="1260" t="n"/>
    </row>
    <row r="241" ht="15" customHeight="1">
      <c r="A241" s="89" t="inlineStr">
        <is>
          <t>2.09.01</t>
        </is>
      </c>
      <c r="B241" s="90" t="inlineStr">
        <is>
          <t>SERVIÇO</t>
        </is>
      </c>
      <c r="C241" s="90" t="n"/>
      <c r="D241" s="90" t="n"/>
      <c r="E241" s="81" t="inlineStr">
        <is>
          <t>Engenharia e projeto executivo</t>
        </is>
      </c>
      <c r="F241" s="91" t="inlineStr">
        <is>
          <t>VB.</t>
        </is>
      </c>
      <c r="G241" s="83" t="n">
        <v>1</v>
      </c>
      <c r="H241" s="1274" t="n">
        <v>1962578.786</v>
      </c>
      <c r="I241" s="367" t="n"/>
      <c r="J241" s="1275" t="n"/>
      <c r="K241" s="9" t="n"/>
      <c r="L241" s="10" t="n"/>
      <c r="M241" s="238" t="inlineStr">
        <is>
          <t>INSIGHT ENERGY</t>
        </is>
      </c>
      <c r="N241" s="237" t="n"/>
      <c r="O241" s="1276" t="n"/>
      <c r="P241" s="1277" t="n"/>
      <c r="Q241" s="1276" t="n"/>
      <c r="R241" s="1277" t="n"/>
      <c r="S241" s="1278" t="n"/>
      <c r="T241" s="1277" t="n"/>
      <c r="U241" s="1278" t="n"/>
      <c r="V241" s="1279">
        <f>G241*H241</f>
        <v/>
      </c>
      <c r="W241" s="1260" t="n"/>
    </row>
    <row r="242" ht="15" customFormat="1" customHeight="1" s="353">
      <c r="A242" s="341" t="n"/>
      <c r="B242" s="340" t="n"/>
      <c r="C242" s="340" t="inlineStr">
        <is>
          <t>.</t>
        </is>
      </c>
      <c r="D242" s="340" t="n"/>
      <c r="E242" s="342" t="n"/>
      <c r="F242" s="343" t="n"/>
      <c r="G242" s="344" t="n"/>
      <c r="H242" s="1267" t="n"/>
      <c r="I242" s="316" t="n"/>
      <c r="J242" s="1268" t="n"/>
      <c r="K242" s="345" t="n"/>
      <c r="L242" s="346" t="n"/>
      <c r="M242" s="347" t="n"/>
      <c r="N242" s="348" t="n"/>
      <c r="O242" s="1269" t="n"/>
      <c r="P242" s="1270" t="n"/>
      <c r="Q242" s="1269" t="n"/>
      <c r="R242" s="1270" t="n"/>
      <c r="S242" s="1271" t="n"/>
      <c r="T242" s="1270" t="n"/>
      <c r="U242" s="1271" t="n"/>
      <c r="V242" s="1272" t="n"/>
    </row>
    <row r="243" ht="15" customHeight="1">
      <c r="A243" s="89" t="inlineStr">
        <is>
          <t>2.09.02</t>
        </is>
      </c>
      <c r="B243" s="90" t="inlineStr">
        <is>
          <t>SERVIÇO</t>
        </is>
      </c>
      <c r="C243" s="90" t="n"/>
      <c r="D243" s="90" t="n"/>
      <c r="E243" s="81" t="inlineStr">
        <is>
          <t>Serviços de desmontagem em nível suficiente para a execução dos serviços</t>
        </is>
      </c>
      <c r="F243" s="91" t="inlineStr">
        <is>
          <t>VB.</t>
        </is>
      </c>
      <c r="G243" s="83" t="n">
        <v>4</v>
      </c>
      <c r="H243" s="1274" t="n">
        <v>2098431.99</v>
      </c>
      <c r="I243" s="367" t="n"/>
      <c r="J243" s="1275" t="n"/>
      <c r="K243" s="9" t="n"/>
      <c r="L243" s="10" t="n"/>
      <c r="M243" s="238" t="inlineStr">
        <is>
          <t>INSIGHT ENERGY</t>
        </is>
      </c>
      <c r="N243" s="237" t="n"/>
      <c r="O243" s="1276" t="n"/>
      <c r="P243" s="1277" t="n"/>
      <c r="Q243" s="1276" t="n"/>
      <c r="R243" s="1277" t="n"/>
      <c r="S243" s="1278" t="n"/>
      <c r="T243" s="1277" t="n"/>
      <c r="U243" s="1278" t="n"/>
      <c r="V243" s="1279">
        <f>G243*H243</f>
        <v/>
      </c>
    </row>
    <row r="244" ht="15" customFormat="1" customHeight="1" s="353">
      <c r="A244" s="341" t="n"/>
      <c r="B244" s="340" t="n"/>
      <c r="C244" s="340" t="inlineStr">
        <is>
          <t>.</t>
        </is>
      </c>
      <c r="D244" s="340" t="n"/>
      <c r="E244" s="342" t="n"/>
      <c r="F244" s="343" t="n"/>
      <c r="G244" s="344" t="n"/>
      <c r="H244" s="1267" t="n"/>
      <c r="I244" s="316" t="n"/>
      <c r="J244" s="1268" t="n"/>
      <c r="K244" s="345" t="n"/>
      <c r="L244" s="346" t="n"/>
      <c r="M244" s="347" t="n"/>
      <c r="N244" s="348" t="n"/>
      <c r="O244" s="1269" t="n"/>
      <c r="P244" s="1270" t="n"/>
      <c r="Q244" s="1269" t="n"/>
      <c r="R244" s="1270" t="n"/>
      <c r="S244" s="1271" t="n"/>
      <c r="T244" s="1270" t="n"/>
      <c r="U244" s="1271" t="n"/>
      <c r="V244" s="1272" t="n"/>
    </row>
    <row r="245" ht="15" customHeight="1">
      <c r="A245" s="89" t="inlineStr">
        <is>
          <t>2.09.03</t>
        </is>
      </c>
      <c r="B245" s="90" t="inlineStr">
        <is>
          <t>SERVIÇO</t>
        </is>
      </c>
      <c r="C245" s="90" t="n"/>
      <c r="D245" s="90" t="n"/>
      <c r="E245" s="81" t="inlineStr">
        <is>
          <t>Supervisão, ensaios de campo e comissionamento</t>
        </is>
      </c>
      <c r="F245" s="91" t="inlineStr">
        <is>
          <t>VB.</t>
        </is>
      </c>
      <c r="G245" s="83" t="n">
        <v>4</v>
      </c>
      <c r="H245" s="1274" t="n">
        <v>826445.25</v>
      </c>
      <c r="I245" s="367" t="n"/>
      <c r="J245" s="1275" t="n"/>
      <c r="K245" s="9" t="n"/>
      <c r="L245" s="10" t="n"/>
      <c r="M245" s="238" t="inlineStr">
        <is>
          <t>INSIGHT ENERGY</t>
        </is>
      </c>
      <c r="N245" s="237" t="n"/>
      <c r="O245" s="1276" t="n"/>
      <c r="P245" s="1277" t="n"/>
      <c r="Q245" s="1276" t="n"/>
      <c r="R245" s="1277" t="n"/>
      <c r="S245" s="1278" t="n"/>
      <c r="T245" s="1277" t="n"/>
      <c r="U245" s="1278" t="n"/>
      <c r="V245" s="1279">
        <f>G245*H245</f>
        <v/>
      </c>
    </row>
    <row r="246" ht="15" customFormat="1" customHeight="1" s="353">
      <c r="A246" s="341" t="n"/>
      <c r="B246" s="340" t="n"/>
      <c r="C246" s="340" t="inlineStr">
        <is>
          <t>.</t>
        </is>
      </c>
      <c r="D246" s="340" t="n"/>
      <c r="E246" s="342" t="n"/>
      <c r="F246" s="343" t="n"/>
      <c r="G246" s="344" t="n"/>
      <c r="H246" s="1267" t="n"/>
      <c r="I246" s="316" t="n"/>
      <c r="J246" s="1268" t="n"/>
      <c r="K246" s="345" t="n"/>
      <c r="L246" s="346" t="n"/>
      <c r="M246" s="347" t="n"/>
      <c r="N246" s="348" t="n"/>
      <c r="O246" s="1269" t="n"/>
      <c r="P246" s="1270" t="n"/>
      <c r="Q246" s="1269" t="n"/>
      <c r="R246" s="1270" t="n"/>
      <c r="S246" s="1271" t="n"/>
      <c r="T246" s="1270" t="n"/>
      <c r="U246" s="1271" t="n"/>
      <c r="V246" s="1272" t="n"/>
    </row>
    <row r="247" ht="15" customHeight="1">
      <c r="A247" s="89" t="inlineStr">
        <is>
          <t>2.09.04</t>
        </is>
      </c>
      <c r="B247" s="90" t="inlineStr">
        <is>
          <t>SERVIÇO</t>
        </is>
      </c>
      <c r="C247" s="90" t="n"/>
      <c r="D247" s="90" t="n"/>
      <c r="E247" s="81" t="inlineStr">
        <is>
          <t>Reforma das caixas espirais, curvas e tubos de sucção</t>
        </is>
      </c>
      <c r="F247" s="91" t="inlineStr">
        <is>
          <t>VB.</t>
        </is>
      </c>
      <c r="G247" s="83" t="n">
        <v>4</v>
      </c>
      <c r="H247" s="1274" t="n">
        <v>943258.9</v>
      </c>
      <c r="I247" s="367" t="n"/>
      <c r="J247" s="1275" t="n"/>
      <c r="K247" s="9" t="n"/>
      <c r="L247" s="10" t="n"/>
      <c r="M247" s="238" t="inlineStr">
        <is>
          <t>INSIGHT ENERGY</t>
        </is>
      </c>
      <c r="N247" s="237" t="n"/>
      <c r="O247" s="1276" t="n"/>
      <c r="P247" s="1277" t="n"/>
      <c r="Q247" s="1276" t="n"/>
      <c r="R247" s="1277" t="n"/>
      <c r="S247" s="1278" t="n"/>
      <c r="T247" s="1277" t="n"/>
      <c r="U247" s="1278" t="n"/>
      <c r="V247" s="1279">
        <f>G247*H247</f>
        <v/>
      </c>
    </row>
    <row r="248" ht="15" customFormat="1" customHeight="1" s="353">
      <c r="A248" s="341" t="n"/>
      <c r="B248" s="340" t="n"/>
      <c r="C248" s="340" t="inlineStr">
        <is>
          <t>.</t>
        </is>
      </c>
      <c r="D248" s="340" t="n"/>
      <c r="E248" s="342" t="n"/>
      <c r="F248" s="343" t="n"/>
      <c r="G248" s="344" t="n"/>
      <c r="H248" s="1267" t="n"/>
      <c r="I248" s="316" t="n"/>
      <c r="J248" s="1268" t="n"/>
      <c r="K248" s="345" t="n"/>
      <c r="L248" s="346" t="n"/>
      <c r="M248" s="347" t="n"/>
      <c r="N248" s="348" t="n"/>
      <c r="O248" s="1269" t="n"/>
      <c r="P248" s="1270" t="n"/>
      <c r="Q248" s="1269" t="n"/>
      <c r="R248" s="1270" t="n"/>
      <c r="S248" s="1271" t="n"/>
      <c r="T248" s="1270" t="n"/>
      <c r="U248" s="1271" t="n"/>
      <c r="V248" s="1272" t="n"/>
    </row>
    <row r="249" ht="15" customHeight="1">
      <c r="A249" s="89" t="inlineStr">
        <is>
          <t>2.09.05</t>
        </is>
      </c>
      <c r="B249" s="90" t="inlineStr">
        <is>
          <t>SERVIÇO</t>
        </is>
      </c>
      <c r="C249" s="90" t="n"/>
      <c r="D249" s="90" t="n"/>
      <c r="E249" s="81" t="inlineStr">
        <is>
          <t>Braço de Interligação Servomotor / Aro de Regulação</t>
        </is>
      </c>
      <c r="F249" s="91" t="inlineStr">
        <is>
          <t>VB.</t>
        </is>
      </c>
      <c r="G249" s="83" t="n">
        <v>4</v>
      </c>
      <c r="H249" s="1274" t="n">
        <v>131183.3</v>
      </c>
      <c r="I249" s="367" t="n"/>
      <c r="J249" s="1275" t="n"/>
      <c r="K249" s="9" t="n"/>
      <c r="L249" s="10" t="n"/>
      <c r="M249" s="238" t="inlineStr">
        <is>
          <t>INSIGHT ENERGY</t>
        </is>
      </c>
      <c r="N249" s="237" t="n"/>
      <c r="O249" s="1276" t="n"/>
      <c r="P249" s="1277" t="n"/>
      <c r="Q249" s="1276" t="n"/>
      <c r="R249" s="1277" t="n"/>
      <c r="S249" s="1278" t="n"/>
      <c r="T249" s="1277" t="n"/>
      <c r="U249" s="1278" t="n"/>
      <c r="V249" s="1279">
        <f>G249*H249</f>
        <v/>
      </c>
    </row>
    <row r="250" ht="15" customFormat="1" customHeight="1" s="353">
      <c r="A250" s="341" t="n"/>
      <c r="B250" s="340" t="n"/>
      <c r="C250" s="340" t="inlineStr">
        <is>
          <t>.</t>
        </is>
      </c>
      <c r="D250" s="340" t="n"/>
      <c r="E250" s="342" t="n"/>
      <c r="F250" s="343" t="n"/>
      <c r="G250" s="344" t="n"/>
      <c r="H250" s="1267" t="n"/>
      <c r="I250" s="316" t="n"/>
      <c r="J250" s="1268" t="n"/>
      <c r="K250" s="345" t="n"/>
      <c r="L250" s="346" t="n"/>
      <c r="M250" s="347" t="n"/>
      <c r="N250" s="348" t="n"/>
      <c r="O250" s="1269" t="n"/>
      <c r="P250" s="1270" t="n"/>
      <c r="Q250" s="1269" t="n"/>
      <c r="R250" s="1270" t="n"/>
      <c r="S250" s="1271" t="n"/>
      <c r="T250" s="1270" t="n"/>
      <c r="U250" s="1271" t="n"/>
      <c r="V250" s="1272" t="n"/>
    </row>
    <row r="251" ht="15" customHeight="1">
      <c r="A251" s="89" t="inlineStr">
        <is>
          <t>2.09.06</t>
        </is>
      </c>
      <c r="B251" s="90" t="inlineStr">
        <is>
          <t>SERVIÇO</t>
        </is>
      </c>
      <c r="C251" s="90" t="n"/>
      <c r="D251" s="90" t="n"/>
      <c r="E251" s="81" t="inlineStr">
        <is>
          <t xml:space="preserve">Reforma das Palhetas Diretrizes </t>
        </is>
      </c>
      <c r="F251" s="91" t="inlineStr">
        <is>
          <t>VB.</t>
        </is>
      </c>
      <c r="G251" s="83" t="n">
        <v>4</v>
      </c>
      <c r="H251" s="1274" t="n">
        <v>295386.23</v>
      </c>
      <c r="I251" s="367" t="n"/>
      <c r="J251" s="1275" t="n"/>
      <c r="K251" s="9" t="n"/>
      <c r="L251" s="10" t="n"/>
      <c r="M251" s="238" t="inlineStr">
        <is>
          <t>INSIGHT ENERGY</t>
        </is>
      </c>
      <c r="N251" s="237" t="n"/>
      <c r="O251" s="1276" t="n"/>
      <c r="P251" s="1277" t="n"/>
      <c r="Q251" s="1276" t="n"/>
      <c r="R251" s="1277" t="n"/>
      <c r="S251" s="1278" t="n"/>
      <c r="T251" s="1277" t="n"/>
      <c r="U251" s="1278" t="n"/>
      <c r="V251" s="1279">
        <f>G251*H251</f>
        <v/>
      </c>
    </row>
    <row r="252" ht="15" customFormat="1" customHeight="1" s="353">
      <c r="A252" s="341" t="n"/>
      <c r="B252" s="340" t="n"/>
      <c r="C252" s="340" t="inlineStr">
        <is>
          <t>.</t>
        </is>
      </c>
      <c r="D252" s="340" t="n"/>
      <c r="E252" s="342" t="n"/>
      <c r="F252" s="343" t="n"/>
      <c r="G252" s="344" t="n"/>
      <c r="H252" s="1267" t="n"/>
      <c r="I252" s="316" t="n"/>
      <c r="J252" s="1268" t="n"/>
      <c r="K252" s="345" t="n"/>
      <c r="L252" s="346" t="n"/>
      <c r="M252" s="347" t="n"/>
      <c r="N252" s="348" t="n"/>
      <c r="O252" s="1269" t="n"/>
      <c r="P252" s="1270" t="n"/>
      <c r="Q252" s="1269" t="n"/>
      <c r="R252" s="1270" t="n"/>
      <c r="S252" s="1271" t="n"/>
      <c r="T252" s="1270" t="n"/>
      <c r="U252" s="1271" t="n"/>
      <c r="V252" s="1272" t="n"/>
    </row>
    <row r="253" ht="15" customHeight="1">
      <c r="A253" s="89" t="inlineStr">
        <is>
          <t>2.09.07</t>
        </is>
      </c>
      <c r="B253" s="90" t="inlineStr">
        <is>
          <t>SERVIÇO</t>
        </is>
      </c>
      <c r="C253" s="90" t="n"/>
      <c r="D253" s="90" t="n"/>
      <c r="E253" s="81" t="inlineStr">
        <is>
          <t>Reforma das Tampas e anéis da turbina</t>
        </is>
      </c>
      <c r="F253" s="91" t="inlineStr">
        <is>
          <t>VB.</t>
        </is>
      </c>
      <c r="G253" s="83" t="n">
        <v>4</v>
      </c>
      <c r="H253" s="1274" t="n">
        <v>164260.53</v>
      </c>
      <c r="I253" s="367" t="n"/>
      <c r="J253" s="1275" t="n"/>
      <c r="K253" s="9" t="n"/>
      <c r="L253" s="10" t="n"/>
      <c r="M253" s="238" t="inlineStr">
        <is>
          <t>INSIGHT ENERGY</t>
        </is>
      </c>
      <c r="N253" s="237" t="n"/>
      <c r="O253" s="1276" t="n"/>
      <c r="P253" s="1277" t="n"/>
      <c r="Q253" s="1276" t="n"/>
      <c r="R253" s="1277" t="n"/>
      <c r="S253" s="1278" t="n"/>
      <c r="T253" s="1277" t="n"/>
      <c r="U253" s="1278" t="n"/>
      <c r="V253" s="1279">
        <f>G253*H253</f>
        <v/>
      </c>
    </row>
    <row r="254" ht="15" customFormat="1" customHeight="1" s="353">
      <c r="A254" s="341" t="n"/>
      <c r="B254" s="340" t="n"/>
      <c r="C254" s="340" t="inlineStr">
        <is>
          <t>.</t>
        </is>
      </c>
      <c r="D254" s="340" t="n"/>
      <c r="E254" s="342" t="n"/>
      <c r="F254" s="343" t="n"/>
      <c r="G254" s="344" t="n"/>
      <c r="H254" s="1267" t="n"/>
      <c r="I254" s="316" t="n"/>
      <c r="J254" s="1268" t="n"/>
      <c r="K254" s="345" t="n"/>
      <c r="L254" s="346" t="n"/>
      <c r="M254" s="347" t="n"/>
      <c r="N254" s="348" t="n"/>
      <c r="O254" s="1269" t="n"/>
      <c r="P254" s="1270" t="n"/>
      <c r="Q254" s="1269" t="n"/>
      <c r="R254" s="1270" t="n"/>
      <c r="S254" s="1271" t="n"/>
      <c r="T254" s="1270" t="n"/>
      <c r="U254" s="1271" t="n"/>
      <c r="V254" s="1272" t="n"/>
    </row>
    <row r="255" ht="15" customHeight="1">
      <c r="A255" s="89" t="inlineStr">
        <is>
          <t>2.09.08</t>
        </is>
      </c>
      <c r="B255" s="90" t="inlineStr">
        <is>
          <t>SERVIÇO</t>
        </is>
      </c>
      <c r="C255" s="90" t="n"/>
      <c r="D255" s="90" t="n"/>
      <c r="E255" s="81" t="inlineStr">
        <is>
          <t>Reforma dos Mecanismos do Distribuidor</t>
        </is>
      </c>
      <c r="F255" s="91" t="inlineStr">
        <is>
          <t>VB.</t>
        </is>
      </c>
      <c r="G255" s="83" t="n">
        <v>4</v>
      </c>
      <c r="H255" s="1274" t="n">
        <v>340229.94</v>
      </c>
      <c r="I255" s="367" t="n"/>
      <c r="J255" s="1275" t="n"/>
      <c r="K255" s="9" t="n"/>
      <c r="L255" s="10" t="n"/>
      <c r="M255" s="238" t="inlineStr">
        <is>
          <t>INSIGHT ENERGY</t>
        </is>
      </c>
      <c r="N255" s="237" t="n"/>
      <c r="O255" s="1276" t="n"/>
      <c r="P255" s="1277" t="n"/>
      <c r="Q255" s="1276" t="n"/>
      <c r="R255" s="1277" t="n"/>
      <c r="S255" s="1278" t="n"/>
      <c r="T255" s="1277" t="n"/>
      <c r="U255" s="1278" t="n"/>
      <c r="V255" s="1279">
        <f>G255*H255</f>
        <v/>
      </c>
    </row>
    <row r="256" ht="15" customFormat="1" customHeight="1" s="353">
      <c r="A256" s="341" t="n"/>
      <c r="B256" s="340" t="n"/>
      <c r="C256" s="340" t="inlineStr">
        <is>
          <t>.</t>
        </is>
      </c>
      <c r="D256" s="340" t="n"/>
      <c r="E256" s="342" t="n"/>
      <c r="F256" s="343" t="n"/>
      <c r="G256" s="344" t="n"/>
      <c r="H256" s="1267" t="n"/>
      <c r="I256" s="316" t="n"/>
      <c r="J256" s="1268" t="n"/>
      <c r="K256" s="345" t="n"/>
      <c r="L256" s="346" t="n"/>
      <c r="M256" s="347" t="n"/>
      <c r="N256" s="348" t="n"/>
      <c r="O256" s="1269" t="n"/>
      <c r="P256" s="1270" t="n"/>
      <c r="Q256" s="1269" t="n"/>
      <c r="R256" s="1270" t="n"/>
      <c r="S256" s="1271" t="n"/>
      <c r="T256" s="1270" t="n"/>
      <c r="U256" s="1271" t="n"/>
      <c r="V256" s="1272" t="n"/>
    </row>
    <row r="257" ht="15" customHeight="1">
      <c r="A257" s="89" t="inlineStr">
        <is>
          <t>2.09.09</t>
        </is>
      </c>
      <c r="B257" s="90" t="inlineStr">
        <is>
          <t>SERVIÇO</t>
        </is>
      </c>
      <c r="C257" s="90" t="n"/>
      <c r="D257" s="90" t="n"/>
      <c r="E257" s="81" t="inlineStr">
        <is>
          <t>Reforma dos Aros de Regulação</t>
        </is>
      </c>
      <c r="F257" s="91" t="inlineStr">
        <is>
          <t>VB.</t>
        </is>
      </c>
      <c r="G257" s="83" t="n">
        <v>4</v>
      </c>
      <c r="H257" s="1274" t="n">
        <v>116086.84</v>
      </c>
      <c r="I257" s="367" t="n"/>
      <c r="J257" s="1275" t="n"/>
      <c r="K257" s="9" t="n"/>
      <c r="L257" s="10" t="n"/>
      <c r="M257" s="238" t="inlineStr">
        <is>
          <t>INSIGHT ENERGY</t>
        </is>
      </c>
      <c r="N257" s="237" t="n"/>
      <c r="O257" s="1276" t="n"/>
      <c r="P257" s="1277" t="n"/>
      <c r="Q257" s="1276" t="n"/>
      <c r="R257" s="1277" t="n"/>
      <c r="S257" s="1278" t="n"/>
      <c r="T257" s="1277" t="n"/>
      <c r="U257" s="1278" t="n"/>
      <c r="V257" s="1279">
        <f>G257*H257</f>
        <v/>
      </c>
    </row>
    <row r="258" ht="15" customFormat="1" customHeight="1" s="353">
      <c r="A258" s="341" t="n"/>
      <c r="B258" s="340" t="n"/>
      <c r="C258" s="340" t="inlineStr">
        <is>
          <t>.</t>
        </is>
      </c>
      <c r="D258" s="340" t="n"/>
      <c r="E258" s="342" t="n"/>
      <c r="F258" s="343" t="n"/>
      <c r="G258" s="344" t="n"/>
      <c r="H258" s="1267" t="n"/>
      <c r="I258" s="316" t="n"/>
      <c r="J258" s="1268" t="n"/>
      <c r="K258" s="345" t="n"/>
      <c r="L258" s="346" t="n"/>
      <c r="M258" s="347" t="n"/>
      <c r="N258" s="348" t="n"/>
      <c r="O258" s="1269" t="n"/>
      <c r="P258" s="1270" t="n"/>
      <c r="Q258" s="1269" t="n"/>
      <c r="R258" s="1270" t="n"/>
      <c r="S258" s="1271" t="n"/>
      <c r="T258" s="1270" t="n"/>
      <c r="U258" s="1271" t="n"/>
      <c r="V258" s="1272" t="n"/>
    </row>
    <row r="259" ht="15" customHeight="1">
      <c r="A259" s="89" t="inlineStr">
        <is>
          <t>2.09.10</t>
        </is>
      </c>
      <c r="B259" s="90" t="inlineStr">
        <is>
          <t>SERVIÇO</t>
        </is>
      </c>
      <c r="C259" s="90" t="n"/>
      <c r="D259" s="90" t="n"/>
      <c r="E259" s="81" t="inlineStr">
        <is>
          <t>Reforma das Turbinas Francis</t>
        </is>
      </c>
      <c r="F259" s="91" t="inlineStr">
        <is>
          <t>VB.</t>
        </is>
      </c>
      <c r="G259" s="83" t="n">
        <v>4</v>
      </c>
      <c r="H259" s="1274" t="n">
        <v>505741.46</v>
      </c>
      <c r="I259" s="367" t="n"/>
      <c r="J259" s="1275" t="n"/>
      <c r="K259" s="9" t="n"/>
      <c r="L259" s="10" t="n"/>
      <c r="M259" s="238" t="inlineStr">
        <is>
          <t>INSIGHT ENERGY</t>
        </is>
      </c>
      <c r="N259" s="237" t="n"/>
      <c r="O259" s="1276" t="n"/>
      <c r="P259" s="1277" t="n"/>
      <c r="Q259" s="1276" t="n"/>
      <c r="R259" s="1277" t="n"/>
      <c r="S259" s="1278" t="n"/>
      <c r="T259" s="1277" t="n"/>
      <c r="U259" s="1278" t="n"/>
      <c r="V259" s="1279">
        <f>G259*H259</f>
        <v/>
      </c>
    </row>
    <row r="260" ht="15" customFormat="1" customHeight="1" s="353">
      <c r="A260" s="341" t="n"/>
      <c r="B260" s="340" t="n"/>
      <c r="C260" s="340" t="inlineStr">
        <is>
          <t>.</t>
        </is>
      </c>
      <c r="D260" s="340" t="n"/>
      <c r="E260" s="342" t="n"/>
      <c r="F260" s="343" t="n"/>
      <c r="G260" s="344" t="n"/>
      <c r="H260" s="1267" t="n"/>
      <c r="I260" s="316" t="n"/>
      <c r="J260" s="1268" t="n"/>
      <c r="K260" s="345" t="n"/>
      <c r="L260" s="346" t="n"/>
      <c r="M260" s="347" t="n"/>
      <c r="N260" s="348" t="n"/>
      <c r="O260" s="1269" t="n"/>
      <c r="P260" s="1270" t="n"/>
      <c r="Q260" s="1269" t="n"/>
      <c r="R260" s="1270" t="n"/>
      <c r="S260" s="1271" t="n"/>
      <c r="T260" s="1270" t="n"/>
      <c r="U260" s="1271" t="n"/>
      <c r="V260" s="1272" t="n"/>
    </row>
    <row r="261" ht="15" customHeight="1">
      <c r="A261" s="89" t="inlineStr">
        <is>
          <t>2.09.11</t>
        </is>
      </c>
      <c r="B261" s="90" t="inlineStr">
        <is>
          <t>SERVIÇO</t>
        </is>
      </c>
      <c r="C261" s="90" t="n"/>
      <c r="D261" s="90" t="n"/>
      <c r="E261" s="81" t="inlineStr">
        <is>
          <t>Reforma dos eixos intermediário e da turbina</t>
        </is>
      </c>
      <c r="F261" s="91" t="inlineStr">
        <is>
          <t>VB.</t>
        </is>
      </c>
      <c r="G261" s="83" t="n">
        <v>4</v>
      </c>
      <c r="H261" s="1274" t="n">
        <v>187702.55</v>
      </c>
      <c r="I261" s="367" t="n"/>
      <c r="J261" s="1275" t="n"/>
      <c r="K261" s="9" t="n"/>
      <c r="L261" s="10" t="n"/>
      <c r="M261" s="238" t="inlineStr">
        <is>
          <t>INSIGHT ENERGY</t>
        </is>
      </c>
      <c r="N261" s="237" t="n"/>
      <c r="O261" s="1276" t="n"/>
      <c r="P261" s="1277" t="n"/>
      <c r="Q261" s="1276" t="n"/>
      <c r="R261" s="1277" t="n"/>
      <c r="S261" s="1278" t="n"/>
      <c r="T261" s="1277" t="n"/>
      <c r="U261" s="1278" t="n"/>
      <c r="V261" s="1279">
        <f>G261*H261</f>
        <v/>
      </c>
    </row>
    <row r="262" ht="15" customFormat="1" customHeight="1" s="353">
      <c r="A262" s="341" t="n"/>
      <c r="B262" s="340" t="n"/>
      <c r="C262" s="340" t="inlineStr">
        <is>
          <t>.</t>
        </is>
      </c>
      <c r="D262" s="340" t="n"/>
      <c r="E262" s="342" t="n"/>
      <c r="F262" s="343" t="n"/>
      <c r="G262" s="344" t="n"/>
      <c r="H262" s="1267" t="n"/>
      <c r="I262" s="316" t="n"/>
      <c r="J262" s="1268" t="n"/>
      <c r="K262" s="345" t="n"/>
      <c r="L262" s="346" t="n"/>
      <c r="M262" s="347" t="n"/>
      <c r="N262" s="348" t="n"/>
      <c r="O262" s="1269" t="n"/>
      <c r="P262" s="1270" t="n"/>
      <c r="Q262" s="1269" t="n"/>
      <c r="R262" s="1270" t="n"/>
      <c r="S262" s="1271" t="n"/>
      <c r="T262" s="1270" t="n"/>
      <c r="U262" s="1271" t="n"/>
      <c r="V262" s="1272" t="n"/>
    </row>
    <row r="263" ht="15" customHeight="1">
      <c r="A263" s="89" t="inlineStr">
        <is>
          <t>2.09.12</t>
        </is>
      </c>
      <c r="B263" s="90" t="inlineStr">
        <is>
          <t>SERVIÇO</t>
        </is>
      </c>
      <c r="C263" s="90" t="n"/>
      <c r="D263" s="90" t="n"/>
      <c r="E263" s="81" t="inlineStr">
        <is>
          <t>Reforma dos selos de vedação dos eixos</t>
        </is>
      </c>
      <c r="F263" s="91" t="inlineStr">
        <is>
          <t>VB.</t>
        </is>
      </c>
      <c r="G263" s="83" t="n">
        <v>4</v>
      </c>
      <c r="H263" s="1274" t="n">
        <v>121679.89</v>
      </c>
      <c r="I263" s="367" t="n"/>
      <c r="J263" s="1275" t="n"/>
      <c r="K263" s="9" t="n"/>
      <c r="L263" s="10" t="n"/>
      <c r="M263" s="238" t="inlineStr">
        <is>
          <t>INSIGHT ENERGY</t>
        </is>
      </c>
      <c r="N263" s="237" t="n"/>
      <c r="O263" s="1276" t="n"/>
      <c r="P263" s="1277" t="n"/>
      <c r="Q263" s="1276" t="n"/>
      <c r="R263" s="1277" t="n"/>
      <c r="S263" s="1278" t="n"/>
      <c r="T263" s="1277" t="n"/>
      <c r="U263" s="1278" t="n"/>
      <c r="V263" s="1279">
        <f>G263*H263</f>
        <v/>
      </c>
    </row>
    <row r="264" ht="15" customFormat="1" customHeight="1" s="353">
      <c r="A264" s="341" t="n"/>
      <c r="B264" s="340" t="n"/>
      <c r="C264" s="340" t="inlineStr">
        <is>
          <t>.</t>
        </is>
      </c>
      <c r="D264" s="340" t="n"/>
      <c r="E264" s="342" t="n"/>
      <c r="F264" s="343" t="n"/>
      <c r="G264" s="344" t="n"/>
      <c r="H264" s="1267" t="n"/>
      <c r="I264" s="316" t="n"/>
      <c r="J264" s="1268" t="n"/>
      <c r="K264" s="345" t="n"/>
      <c r="L264" s="346" t="n"/>
      <c r="M264" s="347" t="n"/>
      <c r="N264" s="348" t="n"/>
      <c r="O264" s="1269" t="n"/>
      <c r="P264" s="1270" t="n"/>
      <c r="Q264" s="1269" t="n"/>
      <c r="R264" s="1270" t="n"/>
      <c r="S264" s="1271" t="n"/>
      <c r="T264" s="1270" t="n"/>
      <c r="U264" s="1271" t="n"/>
      <c r="V264" s="1272" t="n"/>
    </row>
    <row r="265" ht="15" customHeight="1">
      <c r="A265" s="89" t="inlineStr">
        <is>
          <t>2.09.13</t>
        </is>
      </c>
      <c r="B265" s="90" t="inlineStr">
        <is>
          <t>SERVIÇO</t>
        </is>
      </c>
      <c r="C265" s="90" t="n"/>
      <c r="D265" s="90" t="n"/>
      <c r="E265" s="81" t="inlineStr">
        <is>
          <t>Reforma e melhorias no Mancal Guia da Turbina</t>
        </is>
      </c>
      <c r="F265" s="91" t="inlineStr">
        <is>
          <t>VB.</t>
        </is>
      </c>
      <c r="G265" s="83" t="n">
        <v>4</v>
      </c>
      <c r="H265" s="1274" t="n">
        <v>198605.43</v>
      </c>
      <c r="I265" s="367" t="n"/>
      <c r="J265" s="1275" t="n"/>
      <c r="K265" s="9" t="n"/>
      <c r="L265" s="10" t="n"/>
      <c r="M265" s="238" t="inlineStr">
        <is>
          <t>INSIGHT ENERGY</t>
        </is>
      </c>
      <c r="N265" s="237" t="n"/>
      <c r="O265" s="1276" t="n"/>
      <c r="P265" s="1277" t="n"/>
      <c r="Q265" s="1276" t="n"/>
      <c r="R265" s="1277" t="n"/>
      <c r="S265" s="1278" t="n"/>
      <c r="T265" s="1277" t="n"/>
      <c r="U265" s="1278" t="n"/>
      <c r="V265" s="1279">
        <f>G265*H265</f>
        <v/>
      </c>
    </row>
    <row r="266" ht="15" customFormat="1" customHeight="1" s="353">
      <c r="A266" s="341" t="n"/>
      <c r="B266" s="340" t="n"/>
      <c r="C266" s="340" t="inlineStr">
        <is>
          <t>.</t>
        </is>
      </c>
      <c r="D266" s="340" t="n"/>
      <c r="E266" s="342" t="n"/>
      <c r="F266" s="343" t="n"/>
      <c r="G266" s="344" t="n"/>
      <c r="H266" s="1267" t="n"/>
      <c r="I266" s="316" t="n"/>
      <c r="J266" s="1268" t="n"/>
      <c r="K266" s="345" t="n"/>
      <c r="L266" s="346" t="n"/>
      <c r="M266" s="347" t="n"/>
      <c r="N266" s="348" t="n"/>
      <c r="O266" s="1269" t="n"/>
      <c r="P266" s="1270" t="n"/>
      <c r="Q266" s="1269" t="n"/>
      <c r="R266" s="1270" t="n"/>
      <c r="S266" s="1271" t="n"/>
      <c r="T266" s="1270" t="n"/>
      <c r="U266" s="1271" t="n"/>
      <c r="V266" s="1272" t="n"/>
    </row>
    <row r="267" ht="15" customHeight="1">
      <c r="A267" s="89" t="inlineStr">
        <is>
          <t>2.09.14</t>
        </is>
      </c>
      <c r="B267" s="90" t="inlineStr">
        <is>
          <t>SERVIÇO</t>
        </is>
      </c>
      <c r="C267" s="90" t="n"/>
      <c r="D267" s="90" t="n"/>
      <c r="E267" s="81" t="inlineStr">
        <is>
          <t>Sistema de Aeração do Rotor</t>
        </is>
      </c>
      <c r="F267" s="91" t="inlineStr">
        <is>
          <t>VB.</t>
        </is>
      </c>
      <c r="G267" s="83" t="n">
        <v>4</v>
      </c>
      <c r="H267" s="1274" t="n">
        <v>74928.23</v>
      </c>
      <c r="I267" s="367" t="n"/>
      <c r="J267" s="1275" t="n"/>
      <c r="K267" s="9" t="n"/>
      <c r="L267" s="10" t="n"/>
      <c r="M267" s="238" t="inlineStr">
        <is>
          <t>INSIGHT ENERGY</t>
        </is>
      </c>
      <c r="N267" s="237" t="n"/>
      <c r="O267" s="1276" t="n"/>
      <c r="P267" s="1277" t="n"/>
      <c r="Q267" s="1276" t="n"/>
      <c r="R267" s="1277" t="n"/>
      <c r="S267" s="1278" t="n"/>
      <c r="T267" s="1277" t="n"/>
      <c r="U267" s="1278" t="n"/>
      <c r="V267" s="1279">
        <f>G267*H267</f>
        <v/>
      </c>
    </row>
    <row r="268" ht="15" customFormat="1" customHeight="1" s="353">
      <c r="A268" s="341" t="n"/>
      <c r="B268" s="340" t="n"/>
      <c r="C268" s="340" t="inlineStr">
        <is>
          <t>.</t>
        </is>
      </c>
      <c r="D268" s="340" t="n"/>
      <c r="E268" s="342" t="n"/>
      <c r="F268" s="343" t="n"/>
      <c r="G268" s="344" t="n"/>
      <c r="H268" s="1267" t="n"/>
      <c r="I268" s="316" t="n"/>
      <c r="J268" s="1268" t="n"/>
      <c r="K268" s="345" t="n"/>
      <c r="L268" s="346" t="n"/>
      <c r="M268" s="347" t="n"/>
      <c r="N268" s="348" t="n"/>
      <c r="O268" s="1269" t="n"/>
      <c r="P268" s="1270" t="n"/>
      <c r="Q268" s="1269" t="n"/>
      <c r="R268" s="1270" t="n"/>
      <c r="S268" s="1271" t="n"/>
      <c r="T268" s="1270" t="n"/>
      <c r="U268" s="1271" t="n"/>
      <c r="V268" s="1272" t="n"/>
    </row>
    <row r="269" ht="15" customHeight="1">
      <c r="A269" s="89" t="inlineStr">
        <is>
          <t>2.09.15</t>
        </is>
      </c>
      <c r="B269" s="90" t="inlineStr">
        <is>
          <t>SERVIÇO</t>
        </is>
      </c>
      <c r="C269" s="90" t="n"/>
      <c r="D269" s="90" t="n"/>
      <c r="E269" s="81" t="inlineStr">
        <is>
          <t>Adequações NR-12</t>
        </is>
      </c>
      <c r="F269" s="91" t="inlineStr">
        <is>
          <t>VB.</t>
        </is>
      </c>
      <c r="G269" s="83" t="n">
        <v>1</v>
      </c>
      <c r="H269" s="1274" t="n">
        <v>125303.1</v>
      </c>
      <c r="I269" s="367" t="n"/>
      <c r="J269" s="1275" t="n"/>
      <c r="K269" s="9" t="n"/>
      <c r="L269" s="10" t="n"/>
      <c r="M269" s="238" t="inlineStr">
        <is>
          <t>INSIGHT ENERGY</t>
        </is>
      </c>
      <c r="N269" s="237" t="n"/>
      <c r="O269" s="1276" t="n"/>
      <c r="P269" s="1277" t="n"/>
      <c r="Q269" s="1276" t="n"/>
      <c r="R269" s="1277" t="n"/>
      <c r="S269" s="1278" t="n"/>
      <c r="T269" s="1277" t="n"/>
      <c r="U269" s="1278" t="n"/>
      <c r="V269" s="1279">
        <f>G269*H269</f>
        <v/>
      </c>
    </row>
    <row r="270" ht="15" customFormat="1" customHeight="1" s="353">
      <c r="A270" s="341" t="n"/>
      <c r="B270" s="340" t="n"/>
      <c r="C270" s="340" t="inlineStr">
        <is>
          <t>.</t>
        </is>
      </c>
      <c r="D270" s="340" t="n"/>
      <c r="E270" s="342" t="n"/>
      <c r="F270" s="343" t="n"/>
      <c r="G270" s="344" t="n"/>
      <c r="H270" s="1267" t="n"/>
      <c r="I270" s="316" t="n"/>
      <c r="J270" s="1268" t="n"/>
      <c r="K270" s="345" t="n"/>
      <c r="L270" s="346" t="n"/>
      <c r="M270" s="347" t="n"/>
      <c r="N270" s="348" t="n"/>
      <c r="O270" s="1269" t="n"/>
      <c r="P270" s="1270" t="n"/>
      <c r="Q270" s="1269" t="n"/>
      <c r="R270" s="1270" t="n"/>
      <c r="S270" s="1271" t="n"/>
      <c r="T270" s="1270" t="n"/>
      <c r="U270" s="1271" t="n"/>
      <c r="V270" s="1272" t="n"/>
    </row>
    <row r="271" ht="15" customHeight="1">
      <c r="A271" s="89" t="inlineStr">
        <is>
          <t>2.09.16</t>
        </is>
      </c>
      <c r="B271" s="90" t="inlineStr">
        <is>
          <t>SERVIÇO</t>
        </is>
      </c>
      <c r="C271" s="90" t="n"/>
      <c r="D271" s="90" t="n"/>
      <c r="E271" s="81" t="inlineStr">
        <is>
          <t>Proteção anticorrosiva conforme ET-2.20 - Proteção Anticorrosiva</t>
        </is>
      </c>
      <c r="F271" s="91" t="inlineStr">
        <is>
          <t>VB.</t>
        </is>
      </c>
      <c r="G271" s="83" t="n">
        <v>1</v>
      </c>
      <c r="H271" s="1274" t="n">
        <v>105122.54</v>
      </c>
      <c r="I271" s="367" t="n"/>
      <c r="J271" s="1275" t="n"/>
      <c r="K271" s="9" t="n"/>
      <c r="L271" s="10" t="n"/>
      <c r="M271" s="238" t="inlineStr">
        <is>
          <t>INSIGHT ENERGY</t>
        </is>
      </c>
      <c r="N271" s="237" t="n"/>
      <c r="O271" s="1276" t="n"/>
      <c r="P271" s="1277" t="n"/>
      <c r="Q271" s="1276" t="n"/>
      <c r="R271" s="1277" t="n"/>
      <c r="S271" s="1278" t="n"/>
      <c r="T271" s="1277" t="n"/>
      <c r="U271" s="1278" t="n"/>
      <c r="V271" s="1279">
        <f>G271*H271</f>
        <v/>
      </c>
    </row>
    <row r="272" ht="15" customFormat="1" customHeight="1" s="353">
      <c r="A272" s="341" t="n"/>
      <c r="B272" s="340" t="n"/>
      <c r="C272" s="340" t="inlineStr">
        <is>
          <t>.</t>
        </is>
      </c>
      <c r="D272" s="340" t="n"/>
      <c r="E272" s="342" t="n"/>
      <c r="F272" s="343" t="n"/>
      <c r="G272" s="344" t="n"/>
      <c r="H272" s="1267" t="n"/>
      <c r="I272" s="316" t="n"/>
      <c r="J272" s="1268" t="n"/>
      <c r="K272" s="345" t="n"/>
      <c r="L272" s="346" t="n"/>
      <c r="M272" s="347" t="n"/>
      <c r="N272" s="348" t="n"/>
      <c r="O272" s="1269" t="n"/>
      <c r="P272" s="1270" t="n"/>
      <c r="Q272" s="1269" t="n"/>
      <c r="R272" s="1270" t="n"/>
      <c r="S272" s="1271" t="n"/>
      <c r="T272" s="1270" t="n"/>
      <c r="U272" s="1271" t="n"/>
      <c r="V272" s="1272" t="n"/>
    </row>
    <row r="273" ht="15" customHeight="1">
      <c r="A273" s="89" t="inlineStr">
        <is>
          <t>2.09.17</t>
        </is>
      </c>
      <c r="B273" s="90" t="inlineStr">
        <is>
          <t>MATERIAL</t>
        </is>
      </c>
      <c r="C273" s="90" t="n"/>
      <c r="D273" s="90" t="n"/>
      <c r="E273" s="81" t="inlineStr">
        <is>
          <t>Braço de Interligação Servomotor / Aro de Regulação</t>
        </is>
      </c>
      <c r="F273" s="91" t="inlineStr">
        <is>
          <t>CJ.</t>
        </is>
      </c>
      <c r="G273" s="91" t="n">
        <v>4</v>
      </c>
      <c r="H273" s="1274" t="n">
        <v>114222.09</v>
      </c>
      <c r="I273" s="367" t="n"/>
      <c r="J273" s="1275" t="n"/>
      <c r="K273" s="1278" t="n"/>
      <c r="L273" s="1278" t="n"/>
      <c r="M273" s="238" t="inlineStr">
        <is>
          <t>INSIGHT ENERGY</t>
        </is>
      </c>
      <c r="N273" s="237" t="n"/>
      <c r="O273" s="302" t="n"/>
      <c r="P273" s="309" t="n"/>
      <c r="Q273" s="310" t="n"/>
      <c r="R273" s="310" t="n"/>
      <c r="S273" s="311" t="n"/>
      <c r="T273" s="311" t="n"/>
      <c r="U273" s="309" t="n"/>
      <c r="V273" s="1279">
        <f>G273*H273</f>
        <v/>
      </c>
    </row>
    <row r="274" ht="15" customFormat="1" customHeight="1" s="353">
      <c r="A274" s="341" t="n"/>
      <c r="B274" s="340" t="n"/>
      <c r="C274" s="340" t="inlineStr">
        <is>
          <t>.</t>
        </is>
      </c>
      <c r="D274" s="340" t="n"/>
      <c r="E274" s="342" t="n"/>
      <c r="F274" s="343" t="n"/>
      <c r="G274" s="344" t="n"/>
      <c r="H274" s="1267" t="n"/>
      <c r="I274" s="316" t="n"/>
      <c r="J274" s="1268" t="n"/>
      <c r="K274" s="345" t="n"/>
      <c r="L274" s="346" t="n"/>
      <c r="M274" s="347" t="n"/>
      <c r="N274" s="348" t="n"/>
      <c r="O274" s="1269" t="n"/>
      <c r="P274" s="1270" t="n"/>
      <c r="Q274" s="1269" t="n"/>
      <c r="R274" s="1270" t="n"/>
      <c r="S274" s="1271" t="n"/>
      <c r="T274" s="1270" t="n"/>
      <c r="U274" s="1271" t="n"/>
      <c r="V274" s="1272" t="n"/>
    </row>
    <row r="275" ht="15" customHeight="1">
      <c r="A275" s="89" t="inlineStr">
        <is>
          <t>2.09.18</t>
        </is>
      </c>
      <c r="B275" s="90" t="inlineStr">
        <is>
          <t>MATERIAL</t>
        </is>
      </c>
      <c r="C275" s="90" t="n"/>
      <c r="D275" s="90" t="n"/>
      <c r="E275" s="81" t="inlineStr">
        <is>
          <t>Buchas autolubrificantes do conjunto distribuidor</t>
        </is>
      </c>
      <c r="F275" s="91" t="inlineStr">
        <is>
          <t>CJ.</t>
        </is>
      </c>
      <c r="G275" s="91" t="n">
        <v>4</v>
      </c>
      <c r="H275" s="1274" t="n">
        <v>226451.4</v>
      </c>
      <c r="I275" s="367" t="n"/>
      <c r="J275" s="1275" t="n"/>
      <c r="K275" s="1278" t="n"/>
      <c r="L275" s="1278" t="n"/>
      <c r="M275" s="238" t="inlineStr">
        <is>
          <t>INSIGHT ENERGY</t>
        </is>
      </c>
      <c r="N275" s="237" t="n"/>
      <c r="O275" s="302" t="n"/>
      <c r="P275" s="309" t="n"/>
      <c r="Q275" s="310" t="n"/>
      <c r="R275" s="310" t="n"/>
      <c r="S275" s="311" t="n"/>
      <c r="T275" s="311" t="n"/>
      <c r="U275" s="309" t="n"/>
      <c r="V275" s="1279">
        <f>G275*H275</f>
        <v/>
      </c>
    </row>
    <row r="276" ht="15.6" customFormat="1" customHeight="1" s="353" thickBot="1">
      <c r="A276" s="341" t="n"/>
      <c r="B276" s="340" t="n"/>
      <c r="C276" s="340" t="inlineStr">
        <is>
          <t>.</t>
        </is>
      </c>
      <c r="D276" s="340" t="n"/>
      <c r="E276" s="342" t="n"/>
      <c r="F276" s="343" t="n"/>
      <c r="G276" s="344" t="n"/>
      <c r="H276" s="1267" t="n"/>
      <c r="I276" s="316" t="n"/>
      <c r="J276" s="1268" t="n"/>
      <c r="K276" s="345" t="n"/>
      <c r="L276" s="346" t="n"/>
      <c r="M276" s="347" t="n"/>
      <c r="N276" s="348" t="n"/>
      <c r="O276" s="1269" t="n"/>
      <c r="P276" s="1270" t="n"/>
      <c r="Q276" s="1269" t="n"/>
      <c r="R276" s="1270" t="n"/>
      <c r="S276" s="1271" t="n"/>
      <c r="T276" s="1270" t="n"/>
      <c r="U276" s="1271" t="n"/>
      <c r="V276" s="1272" t="n"/>
    </row>
    <row r="277" ht="16.2" customHeight="1" thickBot="1">
      <c r="A277" s="379" t="inlineStr">
        <is>
          <t>2.11 - Sistema de Drenagem e Esgotamento</t>
        </is>
      </c>
      <c r="B277" s="380" t="n"/>
      <c r="C277" s="380" t="n"/>
      <c r="D277" s="380" t="n"/>
      <c r="E277" s="380" t="n"/>
      <c r="F277" s="380" t="n"/>
      <c r="G277" s="380" t="n"/>
      <c r="H277" s="380" t="n"/>
      <c r="I277" s="381" t="n"/>
      <c r="J277" s="1258" t="n"/>
      <c r="K277" s="380" t="n"/>
      <c r="L277" s="380" t="n"/>
      <c r="M277" s="385" t="n"/>
      <c r="N277" s="380" t="n"/>
      <c r="O277" s="383" t="n"/>
      <c r="P277" s="380" t="n"/>
      <c r="Q277" s="383" t="n"/>
      <c r="R277" s="380" t="n"/>
      <c r="S277" s="380" t="n"/>
      <c r="T277" s="380" t="n"/>
      <c r="U277" s="384" t="n"/>
      <c r="V277" s="1259">
        <f>SUM(V278:V286)</f>
        <v/>
      </c>
      <c r="W277" s="1260" t="n"/>
    </row>
    <row r="278" ht="15" customHeight="1">
      <c r="A278" s="95" t="inlineStr">
        <is>
          <t>2.11.01</t>
        </is>
      </c>
      <c r="B278" s="90" t="inlineStr">
        <is>
          <t>SERVIÇO</t>
        </is>
      </c>
      <c r="C278" s="90" t="n"/>
      <c r="D278" s="90" t="n"/>
      <c r="E278" s="81" t="inlineStr">
        <is>
          <t>Engenharia e projeto executivo</t>
        </is>
      </c>
      <c r="F278" s="4" t="inlineStr">
        <is>
          <t>VB.</t>
        </is>
      </c>
      <c r="G278" s="83" t="n">
        <v>1</v>
      </c>
      <c r="H278" s="1289" t="n">
        <v>148644.54</v>
      </c>
      <c r="I278" s="367" t="n"/>
      <c r="J278" s="1275" t="n"/>
      <c r="K278" s="9" t="n"/>
      <c r="L278" s="10" t="n"/>
      <c r="M278" s="238" t="inlineStr">
        <is>
          <t>ALL ENERGY</t>
        </is>
      </c>
      <c r="N278" s="237" t="n"/>
      <c r="O278" s="1276" t="n"/>
      <c r="P278" s="1277" t="n"/>
      <c r="Q278" s="1276" t="n"/>
      <c r="R278" s="1277" t="n"/>
      <c r="S278" s="1278" t="n"/>
      <c r="T278" s="1277" t="n"/>
      <c r="U278" s="1278" t="n"/>
      <c r="V278" s="1279">
        <f>G278*H278</f>
        <v/>
      </c>
      <c r="W278" s="1260" t="n"/>
    </row>
    <row r="279" ht="15" customFormat="1" customHeight="1" s="353">
      <c r="A279" s="341" t="n"/>
      <c r="B279" s="340" t="n"/>
      <c r="C279" s="340" t="inlineStr">
        <is>
          <t>.</t>
        </is>
      </c>
      <c r="D279" s="340" t="n"/>
      <c r="E279" s="342" t="n"/>
      <c r="F279" s="343" t="n"/>
      <c r="G279" s="344" t="n"/>
      <c r="H279" s="1267" t="n"/>
      <c r="I279" s="316" t="n"/>
      <c r="J279" s="1268" t="n"/>
      <c r="K279" s="345" t="n"/>
      <c r="L279" s="346" t="n"/>
      <c r="M279" s="347" t="n"/>
      <c r="N279" s="348" t="n"/>
      <c r="O279" s="1269" t="n"/>
      <c r="P279" s="1270" t="n"/>
      <c r="Q279" s="1269" t="n"/>
      <c r="R279" s="1270" t="n"/>
      <c r="S279" s="1271" t="n"/>
      <c r="T279" s="1270" t="n"/>
      <c r="U279" s="1271" t="n"/>
      <c r="V279" s="1272" t="n"/>
    </row>
    <row r="280" ht="15" customHeight="1">
      <c r="A280" s="95" t="inlineStr">
        <is>
          <t>2.11.02</t>
        </is>
      </c>
      <c r="B280" s="90" t="inlineStr">
        <is>
          <t>SERVIÇO</t>
        </is>
      </c>
      <c r="C280" s="90" t="n"/>
      <c r="D280" s="90" t="n"/>
      <c r="E280" s="81" t="inlineStr">
        <is>
          <t>Desmontagem e montagem eletromecânica completa</t>
        </is>
      </c>
      <c r="F280" s="4" t="inlineStr">
        <is>
          <t>VB.</t>
        </is>
      </c>
      <c r="G280" s="83" t="n">
        <v>1</v>
      </c>
      <c r="H280" s="1289" t="n">
        <v>231878.78</v>
      </c>
      <c r="I280" s="367" t="n"/>
      <c r="J280" s="1275" t="n"/>
      <c r="K280" s="9" t="n"/>
      <c r="L280" s="10" t="n"/>
      <c r="M280" s="238" t="inlineStr">
        <is>
          <t>ALL ENERGY</t>
        </is>
      </c>
      <c r="N280" s="237" t="n"/>
      <c r="O280" s="1276" t="n"/>
      <c r="P280" s="1277" t="n"/>
      <c r="Q280" s="1276" t="n"/>
      <c r="R280" s="1277" t="n"/>
      <c r="S280" s="1278" t="n"/>
      <c r="T280" s="1277" t="n"/>
      <c r="U280" s="1278" t="n"/>
      <c r="V280" s="1279">
        <f>G280*H280</f>
        <v/>
      </c>
    </row>
    <row r="281" ht="15" customFormat="1" customHeight="1" s="353">
      <c r="A281" s="341" t="n"/>
      <c r="B281" s="340" t="n"/>
      <c r="C281" s="340" t="inlineStr">
        <is>
          <t>.</t>
        </is>
      </c>
      <c r="D281" s="340" t="n"/>
      <c r="E281" s="342" t="n"/>
      <c r="F281" s="343" t="n"/>
      <c r="G281" s="344" t="n"/>
      <c r="H281" s="1267" t="n"/>
      <c r="I281" s="316" t="n"/>
      <c r="J281" s="1268" t="n"/>
      <c r="K281" s="345" t="n"/>
      <c r="L281" s="346" t="n"/>
      <c r="M281" s="347" t="n"/>
      <c r="N281" s="348" t="n"/>
      <c r="O281" s="1269" t="n"/>
      <c r="P281" s="1270" t="n"/>
      <c r="Q281" s="1269" t="n"/>
      <c r="R281" s="1270" t="n"/>
      <c r="S281" s="1271" t="n"/>
      <c r="T281" s="1270" t="n"/>
      <c r="U281" s="1271" t="n"/>
      <c r="V281" s="1272" t="n"/>
    </row>
    <row r="282" ht="15" customHeight="1">
      <c r="A282" s="95" t="inlineStr">
        <is>
          <t>2.11.03</t>
        </is>
      </c>
      <c r="B282" s="90" t="inlineStr">
        <is>
          <t>SERVIÇO</t>
        </is>
      </c>
      <c r="C282" s="90" t="n"/>
      <c r="D282" s="90" t="n"/>
      <c r="E282" s="81" t="inlineStr">
        <is>
          <t>Supervisão, ensaios de campo e comissionamento</t>
        </is>
      </c>
      <c r="F282" s="4" t="inlineStr">
        <is>
          <t>VB.</t>
        </is>
      </c>
      <c r="G282" s="83" t="n">
        <v>1</v>
      </c>
      <c r="H282" s="1289" t="n">
        <v>208238.47</v>
      </c>
      <c r="I282" s="367" t="n"/>
      <c r="J282" s="1275" t="n"/>
      <c r="K282" s="9" t="n"/>
      <c r="L282" s="10" t="n"/>
      <c r="M282" s="238" t="inlineStr">
        <is>
          <t>ALL ENERGY</t>
        </is>
      </c>
      <c r="N282" s="237" t="n"/>
      <c r="O282" s="1276" t="n"/>
      <c r="P282" s="1277" t="n"/>
      <c r="Q282" s="1276" t="n"/>
      <c r="R282" s="1277" t="n"/>
      <c r="S282" s="1278" t="n"/>
      <c r="T282" s="1277" t="n"/>
      <c r="U282" s="1278" t="n"/>
      <c r="V282" s="1279">
        <f>G282*H282</f>
        <v/>
      </c>
    </row>
    <row r="283" ht="15" customFormat="1" customHeight="1" s="353">
      <c r="A283" s="341" t="n"/>
      <c r="B283" s="340" t="n"/>
      <c r="C283" s="340" t="inlineStr">
        <is>
          <t>.</t>
        </is>
      </c>
      <c r="D283" s="340" t="n"/>
      <c r="E283" s="342" t="n"/>
      <c r="F283" s="343" t="n"/>
      <c r="G283" s="344" t="n"/>
      <c r="H283" s="1267" t="n"/>
      <c r="I283" s="316" t="n"/>
      <c r="J283" s="1268" t="n"/>
      <c r="K283" s="345" t="n"/>
      <c r="L283" s="346" t="n"/>
      <c r="M283" s="347" t="n"/>
      <c r="N283" s="348" t="n"/>
      <c r="O283" s="1269" t="n"/>
      <c r="P283" s="1270" t="n"/>
      <c r="Q283" s="1269" t="n"/>
      <c r="R283" s="1270" t="n"/>
      <c r="S283" s="1271" t="n"/>
      <c r="T283" s="1270" t="n"/>
      <c r="U283" s="1271" t="n"/>
      <c r="V283" s="1272" t="n"/>
    </row>
    <row r="284" ht="41.4" customHeight="1">
      <c r="A284" s="95" t="inlineStr">
        <is>
          <t>2.11.04</t>
        </is>
      </c>
      <c r="B284" s="90" t="inlineStr">
        <is>
          <t>MATERIAL</t>
        </is>
      </c>
      <c r="C284" s="90" t="n"/>
      <c r="D284" s="90" t="n"/>
      <c r="E284" s="81" t="inlineStr">
        <is>
          <t>Equipamentos e materiais do Sistema de Drenagem e Esgotamento Gerais da Casa de Força, incluindo moto-bombas, válvulas, tubulações, quadros, acessórios, etc.</t>
        </is>
      </c>
      <c r="F284" s="4" t="inlineStr">
        <is>
          <t>CJ.</t>
        </is>
      </c>
      <c r="G284" s="83" t="n">
        <v>1</v>
      </c>
      <c r="H284" s="1289" t="n">
        <v>679045.4300000001</v>
      </c>
      <c r="I284" s="367" t="n"/>
      <c r="J284" s="1275" t="n"/>
      <c r="K284" s="1278" t="n"/>
      <c r="L284" s="1277" t="n"/>
      <c r="M284" s="238" t="inlineStr">
        <is>
          <t>ALL ENERGY</t>
        </is>
      </c>
      <c r="N284" s="237" t="n"/>
      <c r="O284" s="302" t="n"/>
      <c r="P284" s="309" t="n"/>
      <c r="Q284" s="310" t="n"/>
      <c r="R284" s="310" t="n"/>
      <c r="S284" s="311" t="n"/>
      <c r="T284" s="311" t="n"/>
      <c r="U284" s="309" t="n"/>
      <c r="V284" s="1279">
        <f>G284*H284</f>
        <v/>
      </c>
    </row>
    <row r="285" ht="15" customFormat="1" customHeight="1" s="353">
      <c r="A285" s="341" t="n"/>
      <c r="B285" s="340" t="n"/>
      <c r="C285" s="340" t="inlineStr">
        <is>
          <t>.</t>
        </is>
      </c>
      <c r="D285" s="340" t="n"/>
      <c r="E285" s="342" t="n"/>
      <c r="F285" s="343" t="n"/>
      <c r="G285" s="344" t="n"/>
      <c r="H285" s="1267" t="n"/>
      <c r="I285" s="316" t="n"/>
      <c r="J285" s="1268" t="n"/>
      <c r="K285" s="345" t="n"/>
      <c r="L285" s="346" t="n"/>
      <c r="M285" s="347" t="n"/>
      <c r="N285" s="348" t="n"/>
      <c r="O285" s="1269" t="n"/>
      <c r="P285" s="1270" t="n"/>
      <c r="Q285" s="1269" t="n"/>
      <c r="R285" s="1270" t="n"/>
      <c r="S285" s="1271" t="n"/>
      <c r="T285" s="1270" t="n"/>
      <c r="U285" s="1271" t="n"/>
      <c r="V285" s="1272" t="n"/>
    </row>
    <row r="286" ht="27" customHeight="1">
      <c r="A286" s="95" t="inlineStr">
        <is>
          <t>2.11.05</t>
        </is>
      </c>
      <c r="B286" s="90" t="inlineStr">
        <is>
          <t>MATERIAL</t>
        </is>
      </c>
      <c r="C286" s="90" t="n"/>
      <c r="D286" s="90" t="n"/>
      <c r="E286" s="81" t="inlineStr">
        <is>
          <t>Equipamentos e materiais do Sistema de Esgotamento das Unidades Geradoras</t>
        </is>
      </c>
      <c r="F286" s="4" t="inlineStr">
        <is>
          <t>CJ.</t>
        </is>
      </c>
      <c r="G286" s="83" t="n">
        <v>4</v>
      </c>
      <c r="H286" s="1289" t="n">
        <v>89999.36</v>
      </c>
      <c r="I286" s="367" t="n"/>
      <c r="J286" s="1275" t="n"/>
      <c r="K286" s="1278" t="n"/>
      <c r="L286" s="1277" t="n"/>
      <c r="M286" s="238" t="inlineStr">
        <is>
          <t>ALL ENERGY</t>
        </is>
      </c>
      <c r="N286" s="237" t="n"/>
      <c r="O286" s="302" t="n"/>
      <c r="P286" s="309" t="n"/>
      <c r="Q286" s="310" t="n"/>
      <c r="R286" s="310" t="n"/>
      <c r="S286" s="311" t="n"/>
      <c r="T286" s="311" t="n"/>
      <c r="U286" s="309" t="n"/>
      <c r="V286" s="1279">
        <f>G286*H286</f>
        <v/>
      </c>
    </row>
    <row r="287" ht="15.6" customFormat="1" customHeight="1" s="353" thickBot="1">
      <c r="A287" s="341" t="n"/>
      <c r="B287" s="340" t="n"/>
      <c r="C287" s="340" t="inlineStr">
        <is>
          <t>.</t>
        </is>
      </c>
      <c r="D287" s="340" t="n"/>
      <c r="E287" s="342" t="n"/>
      <c r="F287" s="343" t="n"/>
      <c r="G287" s="344" t="n"/>
      <c r="H287" s="1267" t="n"/>
      <c r="I287" s="316" t="n"/>
      <c r="J287" s="1268" t="n"/>
      <c r="K287" s="345" t="n"/>
      <c r="L287" s="346" t="n"/>
      <c r="M287" s="347" t="n"/>
      <c r="N287" s="348" t="n"/>
      <c r="O287" s="1269" t="n"/>
      <c r="P287" s="1270" t="n"/>
      <c r="Q287" s="1269" t="n"/>
      <c r="R287" s="1270" t="n"/>
      <c r="S287" s="1271" t="n"/>
      <c r="T287" s="1270" t="n"/>
      <c r="U287" s="1271" t="n"/>
      <c r="V287" s="1272" t="n"/>
    </row>
    <row r="288" ht="16.2" customHeight="1" thickBot="1">
      <c r="A288" s="379" t="inlineStr">
        <is>
          <t>2.12 - Sistema de Resfriamento</t>
        </is>
      </c>
      <c r="B288" s="380" t="n"/>
      <c r="C288" s="380" t="n"/>
      <c r="D288" s="380" t="n"/>
      <c r="E288" s="380" t="n"/>
      <c r="F288" s="380" t="n"/>
      <c r="G288" s="380" t="n"/>
      <c r="H288" s="380" t="n"/>
      <c r="I288" s="381" t="n"/>
      <c r="J288" s="1258" t="n"/>
      <c r="K288" s="380" t="n"/>
      <c r="L288" s="380" t="n"/>
      <c r="M288" s="385" t="n"/>
      <c r="N288" s="380" t="n"/>
      <c r="O288" s="383" t="n"/>
      <c r="P288" s="380" t="n"/>
      <c r="Q288" s="383" t="n"/>
      <c r="R288" s="380" t="n"/>
      <c r="S288" s="380" t="n"/>
      <c r="T288" s="380" t="n"/>
      <c r="U288" s="384" t="n"/>
      <c r="V288" s="1259">
        <f>SUM(V289:V295)</f>
        <v/>
      </c>
      <c r="W288" s="1260" t="n"/>
    </row>
    <row r="289" ht="15" customHeight="1">
      <c r="A289" s="95" t="inlineStr">
        <is>
          <t>2.12.01</t>
        </is>
      </c>
      <c r="B289" s="80" t="inlineStr">
        <is>
          <t>SERVIÇO</t>
        </is>
      </c>
      <c r="C289" s="80" t="n"/>
      <c r="D289" s="80" t="n"/>
      <c r="E289" s="81" t="inlineStr">
        <is>
          <t>Engenharia e projeto executivo</t>
        </is>
      </c>
      <c r="F289" s="4" t="inlineStr">
        <is>
          <t>VB.</t>
        </is>
      </c>
      <c r="G289" s="83" t="n">
        <v>1</v>
      </c>
      <c r="H289" s="1289" t="n">
        <v>238281.06</v>
      </c>
      <c r="I289" s="367" t="n"/>
      <c r="J289" s="1275" t="n"/>
      <c r="K289" s="7" t="n"/>
      <c r="L289" s="7" t="n"/>
      <c r="M289" s="238" t="inlineStr">
        <is>
          <t>ALL ENERGY</t>
        </is>
      </c>
      <c r="N289" s="237" t="n"/>
      <c r="O289" s="1276" t="n"/>
      <c r="P289" s="1277" t="n"/>
      <c r="Q289" s="1276" t="n"/>
      <c r="R289" s="1277" t="n"/>
      <c r="S289" s="1278" t="n"/>
      <c r="T289" s="1277" t="n"/>
      <c r="U289" s="1278" t="n"/>
      <c r="V289" s="1279">
        <f>G289*H289</f>
        <v/>
      </c>
      <c r="W289" s="1260" t="n"/>
    </row>
    <row r="290" ht="15" customFormat="1" customHeight="1" s="353">
      <c r="A290" s="341" t="n"/>
      <c r="B290" s="340" t="n"/>
      <c r="C290" s="340" t="inlineStr">
        <is>
          <t>.</t>
        </is>
      </c>
      <c r="D290" s="340" t="n"/>
      <c r="E290" s="342" t="n"/>
      <c r="F290" s="343" t="n"/>
      <c r="G290" s="344" t="n"/>
      <c r="H290" s="1267" t="n"/>
      <c r="I290" s="316" t="n"/>
      <c r="J290" s="1268" t="n"/>
      <c r="K290" s="345" t="n"/>
      <c r="L290" s="346" t="n"/>
      <c r="M290" s="347" t="n"/>
      <c r="N290" s="348" t="n"/>
      <c r="O290" s="1269" t="n"/>
      <c r="P290" s="1270" t="n"/>
      <c r="Q290" s="1269" t="n"/>
      <c r="R290" s="1270" t="n"/>
      <c r="S290" s="1271" t="n"/>
      <c r="T290" s="1270" t="n"/>
      <c r="U290" s="1271" t="n"/>
      <c r="V290" s="1272" t="n"/>
    </row>
    <row r="291" ht="15" customHeight="1">
      <c r="A291" s="95" t="inlineStr">
        <is>
          <t>2.12.02</t>
        </is>
      </c>
      <c r="B291" s="80" t="inlineStr">
        <is>
          <t>SERVIÇO</t>
        </is>
      </c>
      <c r="C291" s="80" t="n"/>
      <c r="D291" s="80" t="n"/>
      <c r="E291" s="81" t="inlineStr">
        <is>
          <t>Desmontagem e montagem eletromecânica completa</t>
        </is>
      </c>
      <c r="F291" s="4" t="inlineStr">
        <is>
          <t>VB.</t>
        </is>
      </c>
      <c r="G291" s="83" t="n">
        <v>1</v>
      </c>
      <c r="H291" s="1289" t="n">
        <v>694733.45</v>
      </c>
      <c r="I291" s="367" t="n"/>
      <c r="J291" s="1275" t="n"/>
      <c r="K291" s="7" t="n"/>
      <c r="L291" s="7" t="n"/>
      <c r="M291" s="238" t="inlineStr">
        <is>
          <t>ALL ENERGY</t>
        </is>
      </c>
      <c r="N291" s="237" t="n"/>
      <c r="O291" s="1276" t="n"/>
      <c r="P291" s="1277" t="n"/>
      <c r="Q291" s="1276" t="n"/>
      <c r="R291" s="1277" t="n"/>
      <c r="S291" s="1278" t="n"/>
      <c r="T291" s="1277" t="n"/>
      <c r="U291" s="1278" t="n"/>
      <c r="V291" s="1279">
        <f>G291*H291</f>
        <v/>
      </c>
    </row>
    <row r="292" ht="15" customFormat="1" customHeight="1" s="353">
      <c r="A292" s="341" t="n"/>
      <c r="B292" s="340" t="n"/>
      <c r="C292" s="340" t="inlineStr">
        <is>
          <t>.</t>
        </is>
      </c>
      <c r="D292" s="340" t="n"/>
      <c r="E292" s="342" t="n"/>
      <c r="F292" s="343" t="n"/>
      <c r="G292" s="344" t="n"/>
      <c r="H292" s="1267" t="n"/>
      <c r="I292" s="316" t="n"/>
      <c r="J292" s="1268" t="n"/>
      <c r="K292" s="345" t="n"/>
      <c r="L292" s="346" t="n"/>
      <c r="M292" s="347" t="n"/>
      <c r="N292" s="348" t="n"/>
      <c r="O292" s="1269" t="n"/>
      <c r="P292" s="1270" t="n"/>
      <c r="Q292" s="1269" t="n"/>
      <c r="R292" s="1270" t="n"/>
      <c r="S292" s="1271" t="n"/>
      <c r="T292" s="1270" t="n"/>
      <c r="U292" s="1271" t="n"/>
      <c r="V292" s="1272" t="n"/>
    </row>
    <row r="293" ht="15" customHeight="1">
      <c r="A293" s="95" t="inlineStr">
        <is>
          <t>2.12.03</t>
        </is>
      </c>
      <c r="B293" s="80" t="inlineStr">
        <is>
          <t>SERVIÇO</t>
        </is>
      </c>
      <c r="C293" s="80" t="n"/>
      <c r="D293" s="80" t="n"/>
      <c r="E293" s="81" t="inlineStr">
        <is>
          <t>Supervisão, ensaios de campo e comissionamento</t>
        </is>
      </c>
      <c r="F293" s="4" t="inlineStr">
        <is>
          <t>VB.</t>
        </is>
      </c>
      <c r="G293" s="83" t="n">
        <v>1</v>
      </c>
      <c r="H293" s="1289" t="n">
        <v>101167.55</v>
      </c>
      <c r="I293" s="367" t="n"/>
      <c r="J293" s="1275" t="n"/>
      <c r="K293" s="7" t="n"/>
      <c r="L293" s="7" t="n"/>
      <c r="M293" s="238" t="inlineStr">
        <is>
          <t>ALL ENERGY</t>
        </is>
      </c>
      <c r="N293" s="237" t="n"/>
      <c r="O293" s="1276" t="n"/>
      <c r="P293" s="1277" t="n"/>
      <c r="Q293" s="1276" t="n"/>
      <c r="R293" s="1277" t="n"/>
      <c r="S293" s="1278" t="n"/>
      <c r="T293" s="1277" t="n"/>
      <c r="U293" s="1278" t="n"/>
      <c r="V293" s="1279">
        <f>G293*H293</f>
        <v/>
      </c>
    </row>
    <row r="294" ht="15" customFormat="1" customHeight="1" s="353">
      <c r="A294" s="341" t="n"/>
      <c r="B294" s="340" t="n"/>
      <c r="C294" s="340" t="inlineStr">
        <is>
          <t>.</t>
        </is>
      </c>
      <c r="D294" s="340" t="n"/>
      <c r="E294" s="342" t="n"/>
      <c r="F294" s="343" t="n"/>
      <c r="G294" s="344" t="n"/>
      <c r="H294" s="1267" t="n"/>
      <c r="I294" s="316" t="n"/>
      <c r="J294" s="1268" t="n"/>
      <c r="K294" s="345" t="n"/>
      <c r="L294" s="346" t="n"/>
      <c r="M294" s="347" t="n"/>
      <c r="N294" s="348" t="n"/>
      <c r="O294" s="1269" t="n"/>
      <c r="P294" s="1270" t="n"/>
      <c r="Q294" s="1269" t="n"/>
      <c r="R294" s="1270" t="n"/>
      <c r="S294" s="1271" t="n"/>
      <c r="T294" s="1270" t="n"/>
      <c r="U294" s="1271" t="n"/>
      <c r="V294" s="1272" t="n"/>
    </row>
    <row r="295" ht="27.6" customHeight="1">
      <c r="A295" s="95" t="inlineStr">
        <is>
          <t>2.12.04</t>
        </is>
      </c>
      <c r="B295" s="80" t="inlineStr">
        <is>
          <t>MATERIAL</t>
        </is>
      </c>
      <c r="C295" s="80" t="n"/>
      <c r="D295" s="80" t="n"/>
      <c r="E295" s="81" t="inlineStr">
        <is>
          <t>Equipamentos e materiais do Sistema de Resfriamento, incluindo filtros completos, válvulas, tubulações, acessórios, etc.</t>
        </is>
      </c>
      <c r="F295" s="4" t="inlineStr">
        <is>
          <t>CJ.</t>
        </is>
      </c>
      <c r="G295" s="83" t="n">
        <v>1</v>
      </c>
      <c r="H295" s="1289" t="n">
        <v>1536323.66</v>
      </c>
      <c r="I295" s="367" t="n"/>
      <c r="J295" s="1275" t="n"/>
      <c r="K295" s="1278" t="n"/>
      <c r="L295" s="1277" t="n"/>
      <c r="M295" s="238" t="inlineStr">
        <is>
          <t>ALL ENERGY</t>
        </is>
      </c>
      <c r="N295" s="237" t="n"/>
      <c r="O295" s="302" t="n"/>
      <c r="P295" s="309" t="n"/>
      <c r="Q295" s="310" t="n"/>
      <c r="R295" s="310" t="n"/>
      <c r="S295" s="311" t="n"/>
      <c r="T295" s="311" t="n"/>
      <c r="U295" s="309" t="n"/>
      <c r="V295" s="1279">
        <f>G295*H295</f>
        <v/>
      </c>
    </row>
    <row r="296" ht="15.6" customFormat="1" customHeight="1" s="353" thickBot="1">
      <c r="A296" s="341" t="n"/>
      <c r="B296" s="340" t="n"/>
      <c r="C296" s="340" t="inlineStr">
        <is>
          <t>.</t>
        </is>
      </c>
      <c r="D296" s="340" t="n"/>
      <c r="F296" s="343" t="n"/>
      <c r="G296" s="344" t="n"/>
      <c r="H296" s="1267" t="n"/>
      <c r="I296" s="316" t="n"/>
      <c r="J296" s="1268" t="n"/>
      <c r="K296" s="345" t="n"/>
      <c r="L296" s="346" t="n"/>
      <c r="M296" s="347" t="n"/>
      <c r="N296" s="348" t="n"/>
      <c r="O296" s="1269" t="n"/>
      <c r="P296" s="1270" t="n"/>
      <c r="Q296" s="1269" t="n"/>
      <c r="R296" s="1270" t="n"/>
      <c r="S296" s="1271" t="n"/>
      <c r="T296" s="1270" t="n"/>
      <c r="U296" s="1271" t="n"/>
      <c r="V296" s="1272" t="n"/>
    </row>
    <row r="297" ht="16.2" customHeight="1" thickBot="1">
      <c r="A297" s="379" t="inlineStr">
        <is>
          <t>2.14 - Sistema de Adução - Comportas da Chaminé de Equilíbrio e Válvulas Borboleta</t>
        </is>
      </c>
      <c r="B297" s="380" t="n"/>
      <c r="C297" s="380" t="n"/>
      <c r="D297" s="380" t="n"/>
      <c r="E297" s="380" t="n"/>
      <c r="F297" s="380" t="n"/>
      <c r="G297" s="380" t="n"/>
      <c r="H297" s="380" t="n"/>
      <c r="I297" s="381" t="n"/>
      <c r="J297" s="1258" t="n"/>
      <c r="K297" s="380" t="n"/>
      <c r="L297" s="380" t="n"/>
      <c r="M297" s="385" t="n"/>
      <c r="N297" s="380" t="n"/>
      <c r="O297" s="383" t="n"/>
      <c r="P297" s="380" t="n"/>
      <c r="Q297" s="383" t="n"/>
      <c r="R297" s="380" t="n"/>
      <c r="S297" s="380" t="n"/>
      <c r="T297" s="380" t="n"/>
      <c r="U297" s="384" t="n"/>
      <c r="V297" s="1259">
        <f>SUM(V298:V326)</f>
        <v/>
      </c>
      <c r="W297" s="1260" t="n"/>
    </row>
    <row r="298" ht="15" customHeight="1">
      <c r="A298" s="95" t="inlineStr">
        <is>
          <t>2.14.01</t>
        </is>
      </c>
      <c r="B298" s="90" t="inlineStr">
        <is>
          <t>SERVIÇO</t>
        </is>
      </c>
      <c r="C298" s="90" t="n"/>
      <c r="D298" s="90" t="n"/>
      <c r="E298" s="81" t="inlineStr">
        <is>
          <t>Engenharia e projeto executivo</t>
        </is>
      </c>
      <c r="F298" s="4" t="inlineStr">
        <is>
          <t>VB.</t>
        </is>
      </c>
      <c r="G298" s="91" t="n">
        <v>1</v>
      </c>
      <c r="H298" s="1289" t="n">
        <v>1552027.97</v>
      </c>
      <c r="I298" s="367" t="n"/>
      <c r="J298" s="9" t="n"/>
      <c r="K298" s="9" t="n"/>
      <c r="L298" s="10" t="n"/>
      <c r="M298" s="238" t="inlineStr">
        <is>
          <t>INSIGHT/ALL ENERGY</t>
        </is>
      </c>
      <c r="N298" s="237" t="n"/>
      <c r="O298" s="1276" t="n"/>
      <c r="P298" s="1277" t="n"/>
      <c r="Q298" s="1276" t="n"/>
      <c r="R298" s="1277" t="n"/>
      <c r="S298" s="1278" t="n"/>
      <c r="T298" s="1277" t="n"/>
      <c r="U298" s="1278" t="n"/>
      <c r="V298" s="1279">
        <f>G298*H298</f>
        <v/>
      </c>
      <c r="W298" s="1260" t="n"/>
    </row>
    <row r="299" ht="15" customFormat="1" customHeight="1" s="353">
      <c r="A299" s="341" t="n"/>
      <c r="B299" s="340" t="n"/>
      <c r="C299" s="340" t="inlineStr">
        <is>
          <t>.</t>
        </is>
      </c>
      <c r="D299" s="340" t="n"/>
      <c r="E299" s="342" t="n"/>
      <c r="F299" s="343" t="n"/>
      <c r="G299" s="344" t="n"/>
      <c r="H299" s="1267" t="n"/>
      <c r="I299" s="316" t="n"/>
      <c r="J299" s="345" t="n"/>
      <c r="K299" s="345" t="n"/>
      <c r="L299" s="346" t="n"/>
      <c r="M299" s="347" t="n"/>
      <c r="N299" s="348" t="n"/>
      <c r="O299" s="1269" t="n"/>
      <c r="P299" s="1270" t="n"/>
      <c r="Q299" s="1269" t="n"/>
      <c r="R299" s="1270" t="n"/>
      <c r="S299" s="1271" t="n"/>
      <c r="T299" s="1270" t="n"/>
      <c r="U299" s="1271" t="n"/>
      <c r="V299" s="1272" t="n"/>
    </row>
    <row r="300" ht="27.6" customHeight="1">
      <c r="A300" s="95" t="inlineStr">
        <is>
          <t>2.14.02</t>
        </is>
      </c>
      <c r="B300" s="90" t="inlineStr">
        <is>
          <t>SERVIÇO</t>
        </is>
      </c>
      <c r="C300" s="90" t="n"/>
      <c r="D300" s="90" t="n"/>
      <c r="E300" s="81" t="inlineStr">
        <is>
          <t>Desmontagem e montagem eletromecânica completa das válvulas borboleta de entrada das turbinas</t>
        </is>
      </c>
      <c r="F300" s="4" t="inlineStr">
        <is>
          <t>VB.</t>
        </is>
      </c>
      <c r="G300" s="91" t="n">
        <v>4</v>
      </c>
      <c r="H300" s="1289" t="n">
        <v>358569.21</v>
      </c>
      <c r="I300" s="367" t="n"/>
      <c r="J300" s="9" t="n"/>
      <c r="K300" s="9" t="n"/>
      <c r="L300" s="10" t="n"/>
      <c r="M300" s="238" t="inlineStr">
        <is>
          <t>INSIGHT ENERGY</t>
        </is>
      </c>
      <c r="N300" s="237" t="n"/>
      <c r="O300" s="1276" t="n"/>
      <c r="P300" s="1277" t="n"/>
      <c r="Q300" s="1276" t="n"/>
      <c r="R300" s="1277" t="n"/>
      <c r="S300" s="1278" t="n"/>
      <c r="T300" s="1277" t="n"/>
      <c r="U300" s="1278" t="n"/>
      <c r="V300" s="1279">
        <f>G300*H300</f>
        <v/>
      </c>
    </row>
    <row r="301" ht="15" customFormat="1" customHeight="1" s="353">
      <c r="A301" s="341" t="n"/>
      <c r="B301" s="340" t="n"/>
      <c r="C301" s="340" t="inlineStr">
        <is>
          <t>.</t>
        </is>
      </c>
      <c r="D301" s="340" t="n"/>
      <c r="E301" s="342" t="n"/>
      <c r="F301" s="343" t="n"/>
      <c r="G301" s="344" t="n"/>
      <c r="H301" s="1267" t="n"/>
      <c r="I301" s="316" t="n"/>
      <c r="J301" s="345" t="n"/>
      <c r="K301" s="345" t="n"/>
      <c r="L301" s="346" t="n"/>
      <c r="M301" s="347" t="n"/>
      <c r="N301" s="348" t="n"/>
      <c r="O301" s="1269" t="n"/>
      <c r="P301" s="1270" t="n"/>
      <c r="Q301" s="1269" t="n"/>
      <c r="R301" s="1270" t="n"/>
      <c r="S301" s="1271" t="n"/>
      <c r="T301" s="1270" t="n"/>
      <c r="U301" s="1271" t="n"/>
      <c r="V301" s="1272" t="n"/>
    </row>
    <row r="302" ht="27.6" customHeight="1">
      <c r="A302" s="95" t="inlineStr">
        <is>
          <t>2.14.03</t>
        </is>
      </c>
      <c r="B302" s="90" t="inlineStr">
        <is>
          <t>SERVIÇO</t>
        </is>
      </c>
      <c r="C302" s="90" t="n"/>
      <c r="D302" s="90" t="n"/>
      <c r="E302" s="81" t="inlineStr">
        <is>
          <t>Intervenções e adequações civis para de substituição das válvulas borboleta de emergência, mantendo toda a funcionalidade dos sistemas</t>
        </is>
      </c>
      <c r="F302" s="4" t="inlineStr">
        <is>
          <t>VB.</t>
        </is>
      </c>
      <c r="G302" s="91" t="n">
        <v>4</v>
      </c>
      <c r="H302" s="1289" t="n">
        <v>250425.25</v>
      </c>
      <c r="I302" s="367" t="n"/>
      <c r="J302" s="9" t="n"/>
      <c r="K302" s="9" t="n"/>
      <c r="L302" s="10" t="n"/>
      <c r="M302" s="238" t="inlineStr">
        <is>
          <t>INSIGHT ENERGY</t>
        </is>
      </c>
      <c r="N302" s="237" t="n"/>
      <c r="O302" s="1276" t="n"/>
      <c r="P302" s="1277" t="n"/>
      <c r="Q302" s="1276" t="n"/>
      <c r="R302" s="1277" t="n"/>
      <c r="S302" s="1278" t="n"/>
      <c r="T302" s="1277" t="n"/>
      <c r="U302" s="1278" t="n"/>
      <c r="V302" s="1279">
        <f>G302*H302</f>
        <v/>
      </c>
    </row>
    <row r="303" ht="15" customFormat="1" customHeight="1" s="353">
      <c r="A303" s="341" t="n"/>
      <c r="B303" s="340" t="n"/>
      <c r="C303" s="340" t="inlineStr">
        <is>
          <t>.</t>
        </is>
      </c>
      <c r="D303" s="340" t="n"/>
      <c r="E303" s="342" t="n"/>
      <c r="F303" s="343" t="n"/>
      <c r="G303" s="344" t="n"/>
      <c r="H303" s="1267" t="n"/>
      <c r="I303" s="316" t="n"/>
      <c r="J303" s="345" t="n"/>
      <c r="K303" s="345" t="n"/>
      <c r="L303" s="346" t="n"/>
      <c r="M303" s="347" t="n"/>
      <c r="N303" s="348" t="n"/>
      <c r="O303" s="1269" t="n"/>
      <c r="P303" s="1270" t="n"/>
      <c r="Q303" s="1269" t="n"/>
      <c r="R303" s="1270" t="n"/>
      <c r="S303" s="1271" t="n"/>
      <c r="T303" s="1270" t="n"/>
      <c r="U303" s="1271" t="n"/>
      <c r="V303" s="1272" t="n"/>
    </row>
    <row r="304" ht="41.4" customHeight="1">
      <c r="A304" s="95" t="inlineStr">
        <is>
          <t>2.14.04</t>
        </is>
      </c>
      <c r="B304" s="90" t="inlineStr">
        <is>
          <t>SERVIÇO</t>
        </is>
      </c>
      <c r="C304" s="90" t="n"/>
      <c r="D304" s="90" t="n"/>
      <c r="E304" s="81" t="inlineStr">
        <is>
          <t>Desmontagem e montagem eletromecânica completa dos equipamentos e sistemas das comportas de chaminé de equilíbrio, incluindo a substituição dos conjuntos de vedações dos tabuleiros das comportas</t>
        </is>
      </c>
      <c r="F304" s="4" t="inlineStr">
        <is>
          <t>VB.</t>
        </is>
      </c>
      <c r="G304" s="91" t="n">
        <v>2</v>
      </c>
      <c r="H304" s="1289" t="n">
        <v>404222</v>
      </c>
      <c r="I304" s="367" t="n"/>
      <c r="J304" s="9" t="n"/>
      <c r="K304" s="9" t="n"/>
      <c r="L304" s="10" t="n"/>
      <c r="M304" s="238" t="inlineStr">
        <is>
          <t>INSIGHT ENERGY</t>
        </is>
      </c>
      <c r="N304" s="237" t="n"/>
      <c r="O304" s="1276" t="n"/>
      <c r="P304" s="1277" t="n"/>
      <c r="Q304" s="1276" t="n"/>
      <c r="R304" s="1277" t="n"/>
      <c r="S304" s="1278" t="n"/>
      <c r="T304" s="1277" t="n"/>
      <c r="U304" s="1278" t="n"/>
      <c r="V304" s="1279">
        <f>G304*H304</f>
        <v/>
      </c>
    </row>
    <row r="305" ht="15" customFormat="1" customHeight="1" s="353">
      <c r="A305" s="341" t="n"/>
      <c r="B305" s="340" t="n"/>
      <c r="C305" s="340" t="inlineStr">
        <is>
          <t>.</t>
        </is>
      </c>
      <c r="D305" s="340" t="n"/>
      <c r="E305" s="342" t="n"/>
      <c r="F305" s="343" t="n"/>
      <c r="G305" s="344" t="n"/>
      <c r="H305" s="1267" t="n"/>
      <c r="I305" s="316" t="n"/>
      <c r="J305" s="345" t="n"/>
      <c r="K305" s="345" t="n"/>
      <c r="L305" s="346" t="n"/>
      <c r="M305" s="347" t="n"/>
      <c r="N305" s="348" t="n"/>
      <c r="O305" s="1269" t="n"/>
      <c r="P305" s="1270" t="n"/>
      <c r="Q305" s="1269" t="n"/>
      <c r="R305" s="1270" t="n"/>
      <c r="S305" s="1271" t="n"/>
      <c r="T305" s="1270" t="n"/>
      <c r="U305" s="1271" t="n"/>
      <c r="V305" s="1272" t="n"/>
    </row>
    <row r="306" ht="15" customHeight="1">
      <c r="A306" s="95" t="inlineStr">
        <is>
          <t>2.14.05</t>
        </is>
      </c>
      <c r="B306" s="90" t="inlineStr">
        <is>
          <t>SERVIÇO</t>
        </is>
      </c>
      <c r="C306" s="90" t="n"/>
      <c r="D306" s="90" t="n"/>
      <c r="E306" s="81" t="inlineStr">
        <is>
          <t>Proteção anticorrosiva nos tabuleiros das comportas</t>
        </is>
      </c>
      <c r="F306" s="4" t="inlineStr">
        <is>
          <t>VB.</t>
        </is>
      </c>
      <c r="G306" s="91" t="n">
        <v>2</v>
      </c>
      <c r="H306" s="1289" t="n">
        <v>78558</v>
      </c>
      <c r="I306" s="367" t="n"/>
      <c r="J306" s="9" t="n"/>
      <c r="K306" s="9" t="n"/>
      <c r="L306" s="10" t="n"/>
      <c r="M306" s="238" t="inlineStr">
        <is>
          <t>INSIGHT ENERGY</t>
        </is>
      </c>
      <c r="N306" s="237" t="n"/>
      <c r="O306" s="1276" t="n"/>
      <c r="P306" s="1277" t="n"/>
      <c r="Q306" s="1276" t="n"/>
      <c r="R306" s="1277" t="n"/>
      <c r="S306" s="1278" t="n"/>
      <c r="T306" s="1277" t="n"/>
      <c r="U306" s="1278" t="n"/>
      <c r="V306" s="1279">
        <f>G306*H306</f>
        <v/>
      </c>
    </row>
    <row r="307" ht="15" customFormat="1" customHeight="1" s="353">
      <c r="A307" s="341" t="n"/>
      <c r="B307" s="340" t="n"/>
      <c r="C307" s="340" t="inlineStr">
        <is>
          <t>.</t>
        </is>
      </c>
      <c r="D307" s="340" t="n"/>
      <c r="E307" s="342" t="n"/>
      <c r="F307" s="343" t="n"/>
      <c r="G307" s="344" t="n"/>
      <c r="H307" s="1267" t="n"/>
      <c r="I307" s="316" t="n"/>
      <c r="J307" s="345" t="n"/>
      <c r="K307" s="345" t="n"/>
      <c r="L307" s="346" t="n"/>
      <c r="M307" s="347" t="n"/>
      <c r="N307" s="348" t="n"/>
      <c r="O307" s="1269" t="n"/>
      <c r="P307" s="1270" t="n"/>
      <c r="Q307" s="1269" t="n"/>
      <c r="R307" s="1270" t="n"/>
      <c r="S307" s="1271" t="n"/>
      <c r="T307" s="1270" t="n"/>
      <c r="U307" s="1271" t="n"/>
      <c r="V307" s="1272" t="n"/>
    </row>
    <row r="308" ht="15" customHeight="1">
      <c r="A308" s="95" t="inlineStr">
        <is>
          <t>2.14.06</t>
        </is>
      </c>
      <c r="B308" s="90" t="inlineStr">
        <is>
          <t>SERVIÇO</t>
        </is>
      </c>
      <c r="C308" s="90" t="n"/>
      <c r="D308" s="90" t="n"/>
      <c r="E308" s="81" t="inlineStr">
        <is>
          <t>Supervisão, ensaios de campo e comissionamento</t>
        </is>
      </c>
      <c r="F308" s="4" t="inlineStr">
        <is>
          <t>VB.</t>
        </is>
      </c>
      <c r="G308" s="91" t="n">
        <v>1</v>
      </c>
      <c r="H308" s="1289" t="n">
        <v>182247.01</v>
      </c>
      <c r="I308" s="367" t="n"/>
      <c r="J308" s="1278" t="n"/>
      <c r="K308" s="1278" t="n"/>
      <c r="L308" s="1277" t="n"/>
      <c r="M308" s="238" t="inlineStr">
        <is>
          <t>INSIGHT ENERGY</t>
        </is>
      </c>
      <c r="N308" s="237" t="n"/>
      <c r="O308" s="1276" t="n"/>
      <c r="P308" s="1277" t="n"/>
      <c r="Q308" s="1276" t="n"/>
      <c r="R308" s="1277" t="n"/>
      <c r="S308" s="1278" t="n"/>
      <c r="T308" s="1277" t="n"/>
      <c r="U308" s="1278" t="n"/>
      <c r="V308" s="1279">
        <f>G308*H308</f>
        <v/>
      </c>
    </row>
    <row r="309" ht="15" customFormat="1" customHeight="1" s="353">
      <c r="A309" s="341" t="n"/>
      <c r="B309" s="340" t="n"/>
      <c r="C309" s="340" t="inlineStr">
        <is>
          <t>.</t>
        </is>
      </c>
      <c r="D309" s="340" t="n"/>
      <c r="E309" s="342" t="n"/>
      <c r="F309" s="343" t="n"/>
      <c r="G309" s="344" t="n"/>
      <c r="H309" s="1267" t="n"/>
      <c r="I309" s="316" t="n"/>
      <c r="J309" s="345" t="n"/>
      <c r="K309" s="345" t="n"/>
      <c r="L309" s="346" t="n"/>
      <c r="M309" s="347" t="n"/>
      <c r="N309" s="348" t="n"/>
      <c r="O309" s="1269" t="n"/>
      <c r="P309" s="1270" t="n"/>
      <c r="Q309" s="1269" t="n"/>
      <c r="R309" s="1270" t="n"/>
      <c r="S309" s="1271" t="n"/>
      <c r="T309" s="1270" t="n"/>
      <c r="U309" s="1271" t="n"/>
      <c r="V309" s="1272" t="n"/>
    </row>
    <row r="310" ht="15" customHeight="1">
      <c r="A310" s="95" t="inlineStr">
        <is>
          <t>2.14.07</t>
        </is>
      </c>
      <c r="B310" s="90" t="inlineStr">
        <is>
          <t>MATERIAL</t>
        </is>
      </c>
      <c r="C310" s="90" t="n"/>
      <c r="D310" s="90" t="n"/>
      <c r="E310" s="81" t="inlineStr">
        <is>
          <t>Válvulas borboleta completas de entrada das unidades geradoras</t>
        </is>
      </c>
      <c r="F310" s="4" t="inlineStr">
        <is>
          <t>CJ.</t>
        </is>
      </c>
      <c r="G310" s="91" t="n">
        <v>4</v>
      </c>
      <c r="H310" s="1289" t="n">
        <v>2517767.32</v>
      </c>
      <c r="I310" s="367" t="n"/>
      <c r="J310" s="1278" t="n"/>
      <c r="K310" s="1278" t="n"/>
      <c r="L310" s="1277" t="n"/>
      <c r="M310" s="238" t="inlineStr">
        <is>
          <t>HINE/HYDROSTEC</t>
        </is>
      </c>
      <c r="N310" s="237" t="n"/>
      <c r="O310" s="302" t="n"/>
      <c r="P310" s="309" t="n"/>
      <c r="Q310" s="310" t="n"/>
      <c r="R310" s="310" t="n"/>
      <c r="S310" s="311" t="n"/>
      <c r="T310" s="311" t="n"/>
      <c r="U310" s="309" t="n"/>
      <c r="V310" s="1279">
        <f>G310*H310</f>
        <v/>
      </c>
    </row>
    <row r="311" ht="15" customFormat="1" customHeight="1" s="353">
      <c r="A311" s="341" t="n"/>
      <c r="B311" s="340" t="n"/>
      <c r="C311" s="340" t="inlineStr">
        <is>
          <t>.</t>
        </is>
      </c>
      <c r="D311" s="340" t="n"/>
      <c r="E311" s="342" t="n"/>
      <c r="F311" s="343" t="n"/>
      <c r="G311" s="344" t="n"/>
      <c r="H311" s="1267" t="n"/>
      <c r="I311" s="316" t="n"/>
      <c r="J311" s="345" t="n"/>
      <c r="K311" s="345" t="n"/>
      <c r="L311" s="346" t="n"/>
      <c r="M311" s="347" t="n"/>
      <c r="N311" s="348" t="n"/>
      <c r="O311" s="1269" t="n"/>
      <c r="P311" s="1270" t="n"/>
      <c r="Q311" s="1269" t="n"/>
      <c r="R311" s="1270" t="n"/>
      <c r="S311" s="1271" t="n"/>
      <c r="T311" s="1270" t="n"/>
      <c r="U311" s="1271" t="n"/>
      <c r="V311" s="1272" t="n"/>
    </row>
    <row r="312" ht="27.6" customHeight="1">
      <c r="A312" s="95" t="inlineStr">
        <is>
          <t>2.14.08</t>
        </is>
      </c>
      <c r="B312" s="90" t="inlineStr">
        <is>
          <t>MATERIAL</t>
        </is>
      </c>
      <c r="C312" s="90" t="n"/>
      <c r="D312" s="90" t="n"/>
      <c r="E312" s="81" t="inlineStr">
        <is>
          <t>Tubulações hidráulicas e instrumentação de supervisão para as válvulas de emergência de entrada das turbinas</t>
        </is>
      </c>
      <c r="F312" s="4" t="inlineStr">
        <is>
          <t>CJ.</t>
        </is>
      </c>
      <c r="G312" s="91" t="n">
        <v>4</v>
      </c>
      <c r="H312" s="1289" t="n">
        <v>139250.44</v>
      </c>
      <c r="I312" s="367" t="n"/>
      <c r="J312" s="1278" t="n"/>
      <c r="K312" s="1278" t="n"/>
      <c r="L312" s="1277" t="n"/>
      <c r="M312" s="238" t="inlineStr">
        <is>
          <t>INSIGHT ENERGY</t>
        </is>
      </c>
      <c r="N312" s="237" t="n"/>
      <c r="O312" s="302" t="n"/>
      <c r="P312" s="309" t="n"/>
      <c r="Q312" s="310" t="n"/>
      <c r="R312" s="310" t="n"/>
      <c r="S312" s="311" t="n"/>
      <c r="T312" s="311" t="n"/>
      <c r="U312" s="309" t="n"/>
      <c r="V312" s="1279">
        <f>G312*H312</f>
        <v/>
      </c>
      <c r="W312" s="1290" t="n"/>
    </row>
    <row r="313" ht="15" customFormat="1" customHeight="1" s="353">
      <c r="A313" s="341" t="n"/>
      <c r="B313" s="340" t="n"/>
      <c r="C313" s="340" t="inlineStr">
        <is>
          <t>.</t>
        </is>
      </c>
      <c r="D313" s="340" t="n"/>
      <c r="E313" s="342" t="n"/>
      <c r="F313" s="343" t="n"/>
      <c r="G313" s="344" t="n"/>
      <c r="H313" s="1267" t="n"/>
      <c r="I313" s="316" t="n"/>
      <c r="J313" s="345" t="n"/>
      <c r="K313" s="345" t="n"/>
      <c r="L313" s="346" t="n"/>
      <c r="M313" s="347" t="n"/>
      <c r="N313" s="348" t="n"/>
      <c r="O313" s="1269" t="n"/>
      <c r="P313" s="1270" t="n"/>
      <c r="Q313" s="1269" t="n"/>
      <c r="R313" s="1270" t="n"/>
      <c r="S313" s="1271" t="n"/>
      <c r="T313" s="1270" t="n"/>
      <c r="U313" s="1271" t="n"/>
      <c r="V313" s="1272" t="n"/>
      <c r="W313" s="1290" t="n"/>
    </row>
    <row r="314" ht="27.6" customHeight="1">
      <c r="A314" s="95" t="inlineStr">
        <is>
          <t>2.14.09</t>
        </is>
      </c>
      <c r="B314" s="90" t="inlineStr">
        <is>
          <t>MATERIAL</t>
        </is>
      </c>
      <c r="C314" s="90" t="n"/>
      <c r="D314" s="90" t="n"/>
      <c r="E314" s="81" t="inlineStr">
        <is>
          <t>Painel de controle local de acionamento das válvulas borboleta de entrada das turbinas</t>
        </is>
      </c>
      <c r="F314" s="4" t="inlineStr">
        <is>
          <t>CJ.</t>
        </is>
      </c>
      <c r="G314" s="91" t="n">
        <v>4</v>
      </c>
      <c r="H314" s="1289" t="n">
        <v>30138.75</v>
      </c>
      <c r="I314" s="367" t="n"/>
      <c r="J314" s="1278" t="n"/>
      <c r="K314" s="1278" t="n"/>
      <c r="L314" s="1277" t="n"/>
      <c r="M314" s="238" t="inlineStr">
        <is>
          <t>INSIGHT ENERGY</t>
        </is>
      </c>
      <c r="N314" s="237" t="n"/>
      <c r="O314" s="302" t="n"/>
      <c r="P314" s="309" t="n"/>
      <c r="Q314" s="310" t="n"/>
      <c r="R314" s="310" t="n"/>
      <c r="S314" s="311" t="n"/>
      <c r="T314" s="311" t="n"/>
      <c r="U314" s="309" t="n"/>
      <c r="V314" s="1279">
        <f>G314*H314</f>
        <v/>
      </c>
      <c r="W314" s="1290" t="n"/>
    </row>
    <row r="315" ht="15" customFormat="1" customHeight="1" s="353">
      <c r="A315" s="341" t="n"/>
      <c r="B315" s="340" t="n"/>
      <c r="C315" s="340" t="inlineStr">
        <is>
          <t>.</t>
        </is>
      </c>
      <c r="D315" s="340" t="n"/>
      <c r="E315" s="342" t="n"/>
      <c r="F315" s="343" t="n"/>
      <c r="G315" s="344" t="n"/>
      <c r="H315" s="1267" t="n"/>
      <c r="I315" s="316" t="n"/>
      <c r="J315" s="345" t="n"/>
      <c r="K315" s="345" t="n"/>
      <c r="L315" s="346" t="n"/>
      <c r="M315" s="347" t="n"/>
      <c r="N315" s="348" t="n"/>
      <c r="O315" s="1269" t="n"/>
      <c r="P315" s="1270" t="n"/>
      <c r="Q315" s="1269" t="n"/>
      <c r="R315" s="1270" t="n"/>
      <c r="S315" s="1271" t="n"/>
      <c r="T315" s="1270" t="n"/>
      <c r="U315" s="1271" t="n"/>
      <c r="V315" s="1272" t="n"/>
    </row>
    <row r="316" ht="27.6" customHeight="1">
      <c r="A316" s="95" t="inlineStr">
        <is>
          <t>2.14.10</t>
        </is>
      </c>
      <c r="B316" s="90" t="inlineStr">
        <is>
          <t>MATERIAL</t>
        </is>
      </c>
      <c r="C316" s="90" t="n"/>
      <c r="D316" s="90" t="n"/>
      <c r="E316" s="81" t="inlineStr">
        <is>
          <t>Infraestrutura elétrica para alimentação, controle e interligação dos conjuntos de equipamentos das válvulas de entrada das unidades geradoras</t>
        </is>
      </c>
      <c r="F316" s="4" t="inlineStr">
        <is>
          <t>CJ.</t>
        </is>
      </c>
      <c r="G316" s="91" t="n">
        <v>4</v>
      </c>
      <c r="H316" s="1289" t="n">
        <v>140859.9300000001</v>
      </c>
      <c r="I316" s="367" t="n"/>
      <c r="J316" s="1278" t="n"/>
      <c r="K316" s="1278" t="n"/>
      <c r="L316" s="1277" t="n"/>
      <c r="M316" s="238" t="inlineStr">
        <is>
          <t>INSIGHT ENERGY</t>
        </is>
      </c>
      <c r="N316" s="237" t="n"/>
      <c r="O316" s="302" t="n"/>
      <c r="P316" s="309" t="n"/>
      <c r="Q316" s="310" t="n"/>
      <c r="R316" s="310" t="n"/>
      <c r="S316" s="311" t="n"/>
      <c r="T316" s="311" t="n"/>
      <c r="U316" s="309" t="n"/>
      <c r="V316" s="1279">
        <f>G316*H316</f>
        <v/>
      </c>
    </row>
    <row r="317" ht="15" customFormat="1" customHeight="1" s="353">
      <c r="A317" s="341" t="n"/>
      <c r="B317" s="340" t="n"/>
      <c r="C317" s="340" t="inlineStr">
        <is>
          <t>.</t>
        </is>
      </c>
      <c r="D317" s="340" t="n"/>
      <c r="E317" s="342" t="n"/>
      <c r="F317" s="343" t="n"/>
      <c r="G317" s="344" t="n"/>
      <c r="H317" s="1267" t="n"/>
      <c r="I317" s="316" t="n"/>
      <c r="J317" s="345" t="n"/>
      <c r="K317" s="345" t="n"/>
      <c r="L317" s="346" t="n"/>
      <c r="M317" s="347" t="n"/>
      <c r="N317" s="348" t="n"/>
      <c r="O317" s="1269" t="n"/>
      <c r="P317" s="1270" t="n"/>
      <c r="Q317" s="1269" t="n"/>
      <c r="R317" s="1270" t="n"/>
      <c r="S317" s="1271" t="n"/>
      <c r="T317" s="1270" t="n"/>
      <c r="U317" s="1271" t="n"/>
      <c r="V317" s="1272" t="n"/>
    </row>
    <row r="318" ht="41.4" customHeight="1">
      <c r="A318" s="95" t="inlineStr">
        <is>
          <t>2.14.11</t>
        </is>
      </c>
      <c r="B318" s="90" t="inlineStr">
        <is>
          <t>MATERIAL</t>
        </is>
      </c>
      <c r="C318" s="90" t="n"/>
      <c r="D318" s="90" t="n"/>
      <c r="E318" s="81" t="inlineStr">
        <is>
          <t>Tubulações para tomadas de água, sistemas de esgotamento dos condutos e demais periféricos afetados pelo projeto de substituição das válvulas borboleta de emergência, mantendo toda a funcionalidade desses sistemas</t>
        </is>
      </c>
      <c r="F318" s="4" t="inlineStr">
        <is>
          <t>CJ.</t>
        </is>
      </c>
      <c r="G318" s="91" t="n">
        <v>4</v>
      </c>
      <c r="H318" s="1289">
        <f>130840.53</f>
        <v/>
      </c>
      <c r="I318" s="367" t="n"/>
      <c r="J318" s="1278" t="n"/>
      <c r="K318" s="1278" t="n"/>
      <c r="L318" s="1277" t="n"/>
      <c r="M318" s="238" t="inlineStr">
        <is>
          <t>INSIGHT ENERGY</t>
        </is>
      </c>
      <c r="N318" s="237" t="n"/>
      <c r="O318" s="302" t="n"/>
      <c r="P318" s="309" t="n"/>
      <c r="Q318" s="310" t="n"/>
      <c r="R318" s="310" t="n"/>
      <c r="S318" s="311" t="n"/>
      <c r="T318" s="311" t="n"/>
      <c r="U318" s="309" t="n"/>
      <c r="V318" s="1279">
        <f>G318*H318</f>
        <v/>
      </c>
    </row>
    <row r="319" ht="15" customFormat="1" customHeight="1" s="353">
      <c r="A319" s="341" t="n"/>
      <c r="B319" s="340" t="n"/>
      <c r="C319" s="340" t="inlineStr">
        <is>
          <t>.</t>
        </is>
      </c>
      <c r="D319" s="340" t="n"/>
      <c r="E319" s="342" t="n"/>
      <c r="F319" s="343" t="n"/>
      <c r="G319" s="344" t="n"/>
      <c r="H319" s="1267" t="n"/>
      <c r="I319" s="316" t="n"/>
      <c r="J319" s="345" t="n"/>
      <c r="K319" s="345" t="n"/>
      <c r="L319" s="346" t="n"/>
      <c r="M319" s="347" t="n"/>
      <c r="N319" s="348" t="n"/>
      <c r="O319" s="1269" t="n"/>
      <c r="P319" s="1270" t="n"/>
      <c r="Q319" s="1269" t="n"/>
      <c r="R319" s="1270" t="n"/>
      <c r="S319" s="1271" t="n"/>
      <c r="T319" s="1270" t="n"/>
      <c r="U319" s="1271" t="n"/>
      <c r="V319" s="1272" t="n"/>
    </row>
    <row r="320" ht="27.6" customHeight="1">
      <c r="A320" s="95" t="inlineStr">
        <is>
          <t>2.14.12</t>
        </is>
      </c>
      <c r="B320" s="90" t="inlineStr">
        <is>
          <t>MATERIAL</t>
        </is>
      </c>
      <c r="C320" s="90" t="n"/>
      <c r="D320" s="90" t="n"/>
      <c r="E320" s="81" t="inlineStr">
        <is>
          <t>Motores e inversores de frequência dos sistemas de içamento das comportas da chaminé de equilíbrio</t>
        </is>
      </c>
      <c r="F320" s="4" t="inlineStr">
        <is>
          <t>CJ.</t>
        </is>
      </c>
      <c r="G320" s="91" t="n">
        <v>2</v>
      </c>
      <c r="H320" s="1289" t="n">
        <v>224448.75</v>
      </c>
      <c r="I320" s="367" t="n"/>
      <c r="J320" s="1278" t="n"/>
      <c r="K320" s="1278" t="n"/>
      <c r="L320" s="1277" t="n"/>
      <c r="M320" s="238" t="inlineStr">
        <is>
          <t>INSIGHT ENERGY</t>
        </is>
      </c>
      <c r="N320" s="237" t="n"/>
      <c r="O320" s="302" t="n"/>
      <c r="P320" s="309" t="n"/>
      <c r="Q320" s="310" t="n"/>
      <c r="R320" s="310" t="n"/>
      <c r="S320" s="311" t="n"/>
      <c r="T320" s="311" t="n"/>
      <c r="U320" s="309" t="n"/>
      <c r="V320" s="1279">
        <f>G320*H320</f>
        <v/>
      </c>
    </row>
    <row r="321" ht="15" customFormat="1" customHeight="1" s="353">
      <c r="A321" s="341" t="n"/>
      <c r="B321" s="340" t="n"/>
      <c r="C321" s="340" t="inlineStr">
        <is>
          <t>.</t>
        </is>
      </c>
      <c r="D321" s="340" t="n"/>
      <c r="E321" s="342" t="n"/>
      <c r="F321" s="343" t="n"/>
      <c r="G321" s="344" t="n"/>
      <c r="H321" s="1267" t="n"/>
      <c r="I321" s="316" t="n"/>
      <c r="J321" s="345" t="n"/>
      <c r="K321" s="345" t="n"/>
      <c r="L321" s="346" t="n"/>
      <c r="M321" s="347" t="n"/>
      <c r="N321" s="348" t="n"/>
      <c r="O321" s="1269" t="n"/>
      <c r="P321" s="1270" t="n"/>
      <c r="Q321" s="1269" t="n"/>
      <c r="R321" s="1270" t="n"/>
      <c r="S321" s="1271" t="n"/>
      <c r="T321" s="1270" t="n"/>
      <c r="U321" s="1271" t="n"/>
      <c r="V321" s="1272" t="n"/>
    </row>
    <row r="322" ht="15" customHeight="1">
      <c r="A322" s="95" t="inlineStr">
        <is>
          <t>2.14.13</t>
        </is>
      </c>
      <c r="B322" s="90" t="inlineStr">
        <is>
          <t>MATERIAL</t>
        </is>
      </c>
      <c r="C322" s="90" t="n"/>
      <c r="D322" s="90" t="n"/>
      <c r="E322" s="81" t="inlineStr">
        <is>
          <t>Painel de alimentação e controle das comportas da chaminé de equilíbrio</t>
        </is>
      </c>
      <c r="F322" s="4" t="inlineStr">
        <is>
          <t>CJ.</t>
        </is>
      </c>
      <c r="G322" s="91" t="n">
        <v>2</v>
      </c>
      <c r="H322" s="1289" t="n">
        <v>44936.47</v>
      </c>
      <c r="I322" s="367" t="n"/>
      <c r="J322" s="1278" t="n"/>
      <c r="K322" s="1278" t="n"/>
      <c r="L322" s="1277" t="n"/>
      <c r="M322" s="238" t="inlineStr">
        <is>
          <t>INSIGHT ENERGY</t>
        </is>
      </c>
      <c r="N322" s="237" t="n"/>
      <c r="O322" s="302" t="n"/>
      <c r="P322" s="309" t="n"/>
      <c r="Q322" s="310" t="n"/>
      <c r="R322" s="310" t="n"/>
      <c r="S322" s="311" t="n"/>
      <c r="T322" s="311" t="n"/>
      <c r="U322" s="309" t="n"/>
      <c r="V322" s="1279">
        <f>G322*H322</f>
        <v/>
      </c>
    </row>
    <row r="323" ht="15" customFormat="1" customHeight="1" s="353">
      <c r="A323" s="341" t="n"/>
      <c r="B323" s="340" t="n"/>
      <c r="C323" s="340" t="inlineStr">
        <is>
          <t>.</t>
        </is>
      </c>
      <c r="D323" s="340" t="n"/>
      <c r="E323" s="342" t="n"/>
      <c r="F323" s="343" t="n"/>
      <c r="G323" s="344" t="n"/>
      <c r="H323" s="1267" t="n"/>
      <c r="I323" s="316" t="n"/>
      <c r="J323" s="345" t="n"/>
      <c r="K323" s="345" t="n"/>
      <c r="L323" s="346" t="n"/>
      <c r="M323" s="347" t="n"/>
      <c r="N323" s="348" t="n"/>
      <c r="O323" s="1269" t="n"/>
      <c r="P323" s="1270" t="n"/>
      <c r="Q323" s="1269" t="n"/>
      <c r="R323" s="1270" t="n"/>
      <c r="S323" s="1271" t="n"/>
      <c r="T323" s="1270" t="n"/>
      <c r="U323" s="1271" t="n"/>
      <c r="V323" s="1272" t="n"/>
    </row>
    <row r="324" ht="27.6" customHeight="1">
      <c r="A324" s="95" t="inlineStr">
        <is>
          <t>2.14.14</t>
        </is>
      </c>
      <c r="B324" s="90" t="inlineStr">
        <is>
          <t>MATERIAL</t>
        </is>
      </c>
      <c r="C324" s="90" t="n"/>
      <c r="D324" s="90" t="n"/>
      <c r="E324" s="81" t="inlineStr">
        <is>
          <t>Vedações das comportas, incluindo os parafusos de fixação em aço inox e dispositivos de armazenamento para os painéis no topo das ranhuras</t>
        </is>
      </c>
      <c r="F324" s="4" t="inlineStr">
        <is>
          <t>CJ.</t>
        </is>
      </c>
      <c r="G324" s="91" t="n">
        <v>2</v>
      </c>
      <c r="H324" s="1289" t="n">
        <v>55868.75</v>
      </c>
      <c r="I324" s="367" t="n"/>
      <c r="J324" s="1278" t="n"/>
      <c r="K324" s="1278" t="n"/>
      <c r="L324" s="1277" t="n"/>
      <c r="M324" s="238" t="inlineStr">
        <is>
          <t>INSIGHT ENERGY</t>
        </is>
      </c>
      <c r="N324" s="237" t="n"/>
      <c r="O324" s="302" t="n"/>
      <c r="P324" s="309" t="n"/>
      <c r="Q324" s="310" t="n"/>
      <c r="R324" s="310" t="n"/>
      <c r="S324" s="311" t="n"/>
      <c r="T324" s="311" t="n"/>
      <c r="U324" s="309" t="n"/>
      <c r="V324" s="1279">
        <f>G324*H324</f>
        <v/>
      </c>
    </row>
    <row r="325" ht="15" customFormat="1" customHeight="1" s="353">
      <c r="A325" s="341" t="n"/>
      <c r="B325" s="340" t="n"/>
      <c r="C325" s="340" t="inlineStr">
        <is>
          <t>.</t>
        </is>
      </c>
      <c r="D325" s="340" t="n"/>
      <c r="E325" s="342" t="n"/>
      <c r="F325" s="343" t="n"/>
      <c r="G325" s="344" t="n"/>
      <c r="H325" s="1267" t="n"/>
      <c r="I325" s="316" t="n"/>
      <c r="J325" s="345" t="n"/>
      <c r="K325" s="345" t="n"/>
      <c r="L325" s="346" t="n"/>
      <c r="M325" s="347" t="n"/>
      <c r="N325" s="348" t="n"/>
      <c r="O325" s="1269" t="n"/>
      <c r="P325" s="1270" t="n"/>
      <c r="Q325" s="1269" t="n"/>
      <c r="R325" s="1270" t="n"/>
      <c r="S325" s="1271" t="n"/>
      <c r="T325" s="1270" t="n"/>
      <c r="U325" s="1271" t="n"/>
      <c r="V325" s="1272" t="n"/>
    </row>
    <row r="326" ht="41.4" customHeight="1">
      <c r="A326" s="95" t="inlineStr">
        <is>
          <t>2.14.15</t>
        </is>
      </c>
      <c r="B326" s="90" t="inlineStr">
        <is>
          <t>MATERIAL</t>
        </is>
      </c>
      <c r="C326" s="90" t="n"/>
      <c r="D326" s="90" t="n"/>
      <c r="E326" s="81" t="inlineStr">
        <is>
          <t>Válvulas gaveta 10”, mancais para as hastes de acionamento das válvulas gaveta e tubulações embutidas do sistema de by-pass das comportas da chaminé de equilíbrio</t>
        </is>
      </c>
      <c r="F326" s="4" t="inlineStr">
        <is>
          <t>CJ.</t>
        </is>
      </c>
      <c r="G326" s="91" t="n">
        <v>2</v>
      </c>
      <c r="H326" s="1289" t="n">
        <v>103193.75</v>
      </c>
      <c r="I326" s="367" t="n"/>
      <c r="J326" s="1278" t="n"/>
      <c r="K326" s="1278" t="n"/>
      <c r="L326" s="1277" t="n"/>
      <c r="M326" s="238" t="inlineStr">
        <is>
          <t>INSIGHT ENERGY</t>
        </is>
      </c>
      <c r="N326" s="237" t="n"/>
      <c r="O326" s="302" t="n"/>
      <c r="P326" s="309" t="n"/>
      <c r="Q326" s="310" t="n"/>
      <c r="R326" s="310" t="n"/>
      <c r="S326" s="311" t="n"/>
      <c r="T326" s="311" t="n"/>
      <c r="U326" s="309" t="n"/>
      <c r="V326" s="1279">
        <f>G326*H326</f>
        <v/>
      </c>
    </row>
    <row r="327" ht="15.6" customFormat="1" customHeight="1" s="353" thickBot="1">
      <c r="A327" s="341" t="n"/>
      <c r="B327" s="340" t="n"/>
      <c r="C327" s="340" t="inlineStr">
        <is>
          <t>.</t>
        </is>
      </c>
      <c r="D327" s="340" t="n"/>
      <c r="E327" s="342" t="n"/>
      <c r="F327" s="343" t="n"/>
      <c r="G327" s="344" t="n"/>
      <c r="H327" s="1267" t="n"/>
      <c r="I327" s="316" t="n"/>
      <c r="J327" s="1268" t="n"/>
      <c r="K327" s="345" t="n"/>
      <c r="L327" s="346" t="n"/>
      <c r="M327" s="347" t="n"/>
      <c r="N327" s="348" t="n"/>
      <c r="O327" s="1269" t="n"/>
      <c r="P327" s="1270" t="n"/>
      <c r="Q327" s="1269" t="n"/>
      <c r="R327" s="1270" t="n"/>
      <c r="S327" s="1271" t="n"/>
      <c r="T327" s="1270" t="n"/>
      <c r="U327" s="1271" t="n"/>
      <c r="V327" s="1272" t="n"/>
    </row>
    <row r="328" ht="16.2" customHeight="1" thickBot="1">
      <c r="A328" s="379" t="inlineStr">
        <is>
          <t>2.15 - Infraestrutura Elétrica</t>
        </is>
      </c>
      <c r="B328" s="380" t="n"/>
      <c r="C328" s="380" t="n"/>
      <c r="D328" s="380" t="n"/>
      <c r="E328" s="380" t="n"/>
      <c r="F328" s="380" t="n"/>
      <c r="G328" s="380" t="n"/>
      <c r="H328" s="380" t="n"/>
      <c r="I328" s="381" t="n"/>
      <c r="J328" s="1258" t="n"/>
      <c r="K328" s="380" t="n"/>
      <c r="L328" s="380" t="n"/>
      <c r="M328" s="385" t="n"/>
      <c r="N328" s="380" t="n"/>
      <c r="O328" s="383" t="n"/>
      <c r="P328" s="380" t="n"/>
      <c r="Q328" s="383" t="n"/>
      <c r="R328" s="380" t="n"/>
      <c r="S328" s="380" t="n"/>
      <c r="T328" s="380" t="n"/>
      <c r="U328" s="384" t="n"/>
      <c r="V328" s="1259">
        <f>SUM(V329:V345)</f>
        <v/>
      </c>
      <c r="W328" s="1260" t="n"/>
    </row>
    <row r="329" ht="15" customHeight="1">
      <c r="A329" s="95" t="inlineStr">
        <is>
          <t>2.15.01</t>
        </is>
      </c>
      <c r="B329" s="80" t="inlineStr">
        <is>
          <t>SERVIÇO</t>
        </is>
      </c>
      <c r="C329" s="80" t="n"/>
      <c r="D329" s="80" t="n"/>
      <c r="E329" s="81" t="inlineStr">
        <is>
          <t>Engenharia e projeto executivo</t>
        </is>
      </c>
      <c r="F329" s="83" t="inlineStr">
        <is>
          <t>VB.</t>
        </is>
      </c>
      <c r="G329" s="83" t="n">
        <v>1</v>
      </c>
      <c r="H329" s="1274" t="n">
        <v>399999.994</v>
      </c>
      <c r="I329" s="367" t="n"/>
      <c r="J329" s="1275" t="n"/>
      <c r="K329" s="9" t="n"/>
      <c r="L329" s="10" t="n"/>
      <c r="M329" s="238" t="inlineStr">
        <is>
          <t>INSIGHT ENERGY</t>
        </is>
      </c>
      <c r="N329" s="237" t="n"/>
      <c r="O329" s="1276" t="n"/>
      <c r="P329" s="1277" t="n"/>
      <c r="Q329" s="1276" t="n"/>
      <c r="R329" s="1277" t="n"/>
      <c r="S329" s="1278" t="n"/>
      <c r="T329" s="1277" t="n"/>
      <c r="U329" s="1278" t="n"/>
      <c r="V329" s="1279">
        <f>G329*H329</f>
        <v/>
      </c>
      <c r="W329" s="1260" t="n"/>
    </row>
    <row r="330" ht="15" customFormat="1" customHeight="1" s="353">
      <c r="A330" s="341" t="n"/>
      <c r="B330" s="340" t="n"/>
      <c r="C330" s="340" t="inlineStr">
        <is>
          <t>.</t>
        </is>
      </c>
      <c r="D330" s="340" t="n"/>
      <c r="E330" s="342" t="n"/>
      <c r="F330" s="343" t="n"/>
      <c r="G330" s="344" t="n"/>
      <c r="H330" s="1267" t="n"/>
      <c r="I330" s="316" t="n"/>
      <c r="J330" s="1268" t="n"/>
      <c r="K330" s="345" t="n"/>
      <c r="L330" s="346" t="n"/>
      <c r="M330" s="347" t="n"/>
      <c r="N330" s="348" t="n"/>
      <c r="O330" s="1269" t="n"/>
      <c r="P330" s="1270" t="n"/>
      <c r="Q330" s="1269" t="n"/>
      <c r="R330" s="1270" t="n"/>
      <c r="S330" s="1271" t="n"/>
      <c r="T330" s="1270" t="n"/>
      <c r="U330" s="1271" t="n"/>
      <c r="V330" s="1272" t="n"/>
    </row>
    <row r="331" ht="15" customHeight="1">
      <c r="A331" s="95" t="inlineStr">
        <is>
          <t>2.15.02</t>
        </is>
      </c>
      <c r="B331" s="80" t="inlineStr">
        <is>
          <t>SERVIÇO</t>
        </is>
      </c>
      <c r="C331" s="80" t="n"/>
      <c r="D331" s="80" t="n"/>
      <c r="E331" s="81" t="inlineStr">
        <is>
          <t>Desmontagem e montagem eletromecânica completa</t>
        </is>
      </c>
      <c r="F331" s="83" t="inlineStr">
        <is>
          <t>VB.</t>
        </is>
      </c>
      <c r="G331" s="83" t="n">
        <v>1</v>
      </c>
      <c r="H331" s="1274" t="n">
        <v>1424628.72</v>
      </c>
      <c r="I331" s="367" t="n"/>
      <c r="J331" s="1275" t="n"/>
      <c r="K331" s="9" t="n"/>
      <c r="L331" s="10" t="n"/>
      <c r="M331" s="238" t="inlineStr">
        <is>
          <t>INSIGHT ENERGY</t>
        </is>
      </c>
      <c r="N331" s="237" t="n"/>
      <c r="O331" s="1276" t="n"/>
      <c r="P331" s="1277" t="n"/>
      <c r="Q331" s="1276" t="n"/>
      <c r="R331" s="1277" t="n"/>
      <c r="S331" s="1278" t="n"/>
      <c r="T331" s="1277" t="n"/>
      <c r="U331" s="1278" t="n"/>
      <c r="V331" s="1279">
        <f>G331*H331</f>
        <v/>
      </c>
    </row>
    <row r="332" ht="15" customFormat="1" customHeight="1" s="353">
      <c r="A332" s="341" t="n"/>
      <c r="B332" s="340" t="n"/>
      <c r="C332" s="340" t="inlineStr">
        <is>
          <t>.</t>
        </is>
      </c>
      <c r="D332" s="340" t="n"/>
      <c r="E332" s="342" t="n"/>
      <c r="F332" s="343" t="n"/>
      <c r="G332" s="344" t="n"/>
      <c r="H332" s="1267" t="n"/>
      <c r="I332" s="316" t="n"/>
      <c r="J332" s="1268" t="n"/>
      <c r="K332" s="345" t="n"/>
      <c r="L332" s="346" t="n"/>
      <c r="M332" s="347" t="n"/>
      <c r="N332" s="348" t="n"/>
      <c r="O332" s="1269" t="n"/>
      <c r="P332" s="1270" t="n"/>
      <c r="Q332" s="1269" t="n"/>
      <c r="R332" s="1270" t="n"/>
      <c r="S332" s="1271" t="n"/>
      <c r="T332" s="1270" t="n"/>
      <c r="U332" s="1271" t="n"/>
      <c r="V332" s="1272" t="n"/>
    </row>
    <row r="333" ht="15" customHeight="1">
      <c r="A333" s="95" t="inlineStr">
        <is>
          <t>2.15.03</t>
        </is>
      </c>
      <c r="B333" s="80" t="inlineStr">
        <is>
          <t>SERVIÇO</t>
        </is>
      </c>
      <c r="C333" s="80" t="n"/>
      <c r="D333" s="80" t="n"/>
      <c r="E333" s="81" t="inlineStr">
        <is>
          <t>Supervisão, ensaios de campo e comissionamento</t>
        </is>
      </c>
      <c r="F333" s="83" t="inlineStr">
        <is>
          <t>VB.</t>
        </is>
      </c>
      <c r="G333" s="83" t="n">
        <v>1</v>
      </c>
      <c r="H333" s="1274" t="n">
        <v>265801.31</v>
      </c>
      <c r="I333" s="367" t="n"/>
      <c r="J333" s="1275" t="n"/>
      <c r="K333" s="9" t="n"/>
      <c r="L333" s="10" t="n"/>
      <c r="M333" s="238" t="inlineStr">
        <is>
          <t>INSIGHT ENERGY</t>
        </is>
      </c>
      <c r="N333" s="237" t="n"/>
      <c r="O333" s="1276" t="n"/>
      <c r="P333" s="1277" t="n"/>
      <c r="Q333" s="1276" t="n"/>
      <c r="R333" s="1277" t="n"/>
      <c r="S333" s="1278" t="n"/>
      <c r="T333" s="1277" t="n"/>
      <c r="U333" s="1278" t="n"/>
      <c r="V333" s="1279">
        <f>G333*H333</f>
        <v/>
      </c>
    </row>
    <row r="334" ht="15" customFormat="1" customHeight="1" s="353">
      <c r="A334" s="341" t="n"/>
      <c r="B334" s="340" t="n"/>
      <c r="C334" s="340" t="inlineStr">
        <is>
          <t>.</t>
        </is>
      </c>
      <c r="D334" s="340" t="n"/>
      <c r="E334" s="342" t="n"/>
      <c r="F334" s="343" t="n"/>
      <c r="G334" s="344" t="n"/>
      <c r="H334" s="1267" t="n"/>
      <c r="I334" s="316" t="n"/>
      <c r="J334" s="1268" t="n"/>
      <c r="K334" s="345" t="n"/>
      <c r="L334" s="346" t="n"/>
      <c r="M334" s="347" t="n"/>
      <c r="N334" s="348" t="n"/>
      <c r="O334" s="1269" t="n"/>
      <c r="P334" s="1270" t="n"/>
      <c r="Q334" s="1269" t="n"/>
      <c r="R334" s="1270" t="n"/>
      <c r="S334" s="1271" t="n"/>
      <c r="T334" s="1270" t="n"/>
      <c r="U334" s="1271" t="n"/>
      <c r="V334" s="1272" t="n"/>
    </row>
    <row r="335" ht="27.6" customHeight="1">
      <c r="A335" s="95" t="inlineStr">
        <is>
          <t>2.15.04</t>
        </is>
      </c>
      <c r="B335" s="90" t="inlineStr">
        <is>
          <t>MATERIAL</t>
        </is>
      </c>
      <c r="C335" s="90" t="n"/>
      <c r="D335" s="90" t="n"/>
      <c r="E335" s="81" t="inlineStr">
        <is>
          <t>Sistemas de aterramento e equipotencialização, de Medidas de Proteção Contra Surtos (MPS)</t>
        </is>
      </c>
      <c r="F335" s="83" t="inlineStr">
        <is>
          <t>CJ.</t>
        </is>
      </c>
      <c r="G335" s="83" t="n">
        <v>1</v>
      </c>
      <c r="H335" s="1274" t="n">
        <v>270594.06</v>
      </c>
      <c r="I335" s="367" t="n"/>
      <c r="J335" s="1275" t="n"/>
      <c r="K335" s="1278" t="n"/>
      <c r="L335" s="1277" t="n"/>
      <c r="M335" s="236" t="inlineStr">
        <is>
          <t>INSIGHT ENERGY</t>
        </is>
      </c>
      <c r="N335" s="237" t="n"/>
      <c r="O335" s="302" t="n"/>
      <c r="P335" s="309" t="n"/>
      <c r="Q335" s="310" t="n"/>
      <c r="R335" s="310" t="n"/>
      <c r="S335" s="311" t="n"/>
      <c r="T335" s="311" t="n"/>
      <c r="U335" s="309" t="n"/>
      <c r="V335" s="1279">
        <f>G335*H335</f>
        <v/>
      </c>
    </row>
    <row r="336" ht="15" customFormat="1" customHeight="1" s="353">
      <c r="A336" s="341" t="n"/>
      <c r="B336" s="340" t="n"/>
      <c r="C336" s="340" t="inlineStr">
        <is>
          <t>.</t>
        </is>
      </c>
      <c r="D336" s="340" t="n"/>
      <c r="E336" s="342" t="n"/>
      <c r="F336" s="343" t="n"/>
      <c r="G336" s="344" t="n"/>
      <c r="H336" s="1267" t="n"/>
      <c r="I336" s="316" t="n"/>
      <c r="J336" s="1268" t="n"/>
      <c r="K336" s="345" t="n"/>
      <c r="L336" s="346" t="n"/>
      <c r="M336" s="347" t="n"/>
      <c r="N336" s="348" t="n"/>
      <c r="O336" s="1269" t="n"/>
      <c r="P336" s="1270" t="n"/>
      <c r="Q336" s="1269" t="n"/>
      <c r="R336" s="1270" t="n"/>
      <c r="S336" s="1271" t="n"/>
      <c r="T336" s="1270" t="n"/>
      <c r="U336" s="1271" t="n"/>
      <c r="V336" s="1272" t="n"/>
    </row>
    <row r="337" ht="15" customHeight="1">
      <c r="A337" s="95" t="inlineStr">
        <is>
          <t>2.15.05</t>
        </is>
      </c>
      <c r="B337" s="90" t="inlineStr">
        <is>
          <t>MATERIAL</t>
        </is>
      </c>
      <c r="C337" s="90" t="n"/>
      <c r="D337" s="90" t="n"/>
      <c r="E337" s="81" t="inlineStr">
        <is>
          <t>Sistema de Vias para cabos e de Condutores</t>
        </is>
      </c>
      <c r="F337" s="83" t="inlineStr">
        <is>
          <t>CJ.</t>
        </is>
      </c>
      <c r="G337" s="83" t="n">
        <v>1</v>
      </c>
      <c r="H337" s="1274" t="n">
        <v>440594.06</v>
      </c>
      <c r="I337" s="367" t="n"/>
      <c r="J337" s="1275" t="n"/>
      <c r="K337" s="1278" t="n"/>
      <c r="L337" s="1277" t="n"/>
      <c r="M337" s="236" t="inlineStr">
        <is>
          <t>INSIGHT ENERGY</t>
        </is>
      </c>
      <c r="N337" s="237" t="n"/>
      <c r="O337" s="302" t="n"/>
      <c r="P337" s="309" t="n"/>
      <c r="Q337" s="310" t="n"/>
      <c r="R337" s="310" t="n"/>
      <c r="S337" s="311" t="n"/>
      <c r="T337" s="311" t="n"/>
      <c r="U337" s="309" t="n"/>
      <c r="V337" s="1279">
        <f>G337*H337</f>
        <v/>
      </c>
    </row>
    <row r="338" ht="15" customFormat="1" customHeight="1" s="353">
      <c r="A338" s="341" t="n"/>
      <c r="B338" s="340" t="n"/>
      <c r="C338" s="340" t="inlineStr">
        <is>
          <t>.</t>
        </is>
      </c>
      <c r="D338" s="340" t="n"/>
      <c r="E338" s="342" t="n"/>
      <c r="F338" s="343" t="n"/>
      <c r="G338" s="344" t="n"/>
      <c r="H338" s="1267" t="n"/>
      <c r="I338" s="316" t="n"/>
      <c r="J338" s="1268" t="n"/>
      <c r="K338" s="345" t="n"/>
      <c r="L338" s="346" t="n"/>
      <c r="M338" s="347" t="n"/>
      <c r="N338" s="348" t="n"/>
      <c r="O338" s="1269" t="n"/>
      <c r="P338" s="1270" t="n"/>
      <c r="Q338" s="1269" t="n"/>
      <c r="R338" s="1270" t="n"/>
      <c r="S338" s="1271" t="n"/>
      <c r="T338" s="1270" t="n"/>
      <c r="U338" s="1271" t="n"/>
      <c r="V338" s="1272" t="n"/>
    </row>
    <row r="339" ht="15" customHeight="1">
      <c r="A339" s="95" t="inlineStr">
        <is>
          <t>2.15.06</t>
        </is>
      </c>
      <c r="B339" s="90" t="inlineStr">
        <is>
          <t>MATERIAL</t>
        </is>
      </c>
      <c r="C339" s="90" t="n"/>
      <c r="D339" s="90" t="n"/>
      <c r="E339" s="81" t="inlineStr">
        <is>
          <t>Sistema de iluminação e tomada</t>
        </is>
      </c>
      <c r="F339" s="83" t="inlineStr">
        <is>
          <t>CJ.</t>
        </is>
      </c>
      <c r="G339" s="83" t="n">
        <v>1</v>
      </c>
      <c r="H339" s="1274" t="n">
        <v>340594.06</v>
      </c>
      <c r="I339" s="367" t="n"/>
      <c r="J339" s="1275" t="n"/>
      <c r="K339" s="1278" t="n"/>
      <c r="L339" s="1277" t="n"/>
      <c r="M339" s="236" t="inlineStr">
        <is>
          <t>INSIGHT ENERGY</t>
        </is>
      </c>
      <c r="N339" s="237" t="n"/>
      <c r="O339" s="302" t="n"/>
      <c r="P339" s="309" t="n"/>
      <c r="Q339" s="310" t="n"/>
      <c r="R339" s="310" t="n"/>
      <c r="S339" s="311" t="n"/>
      <c r="T339" s="311" t="n"/>
      <c r="U339" s="309" t="n"/>
      <c r="V339" s="1279">
        <f>G339*H339</f>
        <v/>
      </c>
    </row>
    <row r="340" ht="15" customFormat="1" customHeight="1" s="353">
      <c r="A340" s="341" t="n"/>
      <c r="B340" s="340" t="n"/>
      <c r="C340" s="340" t="inlineStr">
        <is>
          <t>.</t>
        </is>
      </c>
      <c r="D340" s="340" t="n"/>
      <c r="E340" s="342" t="n"/>
      <c r="F340" s="343" t="n"/>
      <c r="G340" s="344" t="n"/>
      <c r="H340" s="1267" t="n"/>
      <c r="I340" s="316" t="n"/>
      <c r="J340" s="1268" t="n"/>
      <c r="K340" s="345" t="n"/>
      <c r="L340" s="346" t="n"/>
      <c r="M340" s="347" t="n"/>
      <c r="N340" s="348" t="n"/>
      <c r="O340" s="1269" t="n"/>
      <c r="P340" s="1270" t="n"/>
      <c r="Q340" s="1269" t="n"/>
      <c r="R340" s="1270" t="n"/>
      <c r="S340" s="1271" t="n"/>
      <c r="T340" s="1270" t="n"/>
      <c r="U340" s="1271" t="n"/>
      <c r="V340" s="1272" t="n"/>
    </row>
    <row r="341" ht="15" customHeight="1">
      <c r="A341" s="95" t="inlineStr">
        <is>
          <t>2.15.07</t>
        </is>
      </c>
      <c r="B341" s="90" t="inlineStr">
        <is>
          <t>MATERIAL</t>
        </is>
      </c>
      <c r="C341" s="90" t="n"/>
      <c r="D341" s="90" t="n"/>
      <c r="E341" s="81" t="inlineStr">
        <is>
          <t>Quadros de iluminação normal e tomadas de uso geral +1L/+2L/+3L/+4L</t>
        </is>
      </c>
      <c r="F341" s="83" t="inlineStr">
        <is>
          <t>CJ.</t>
        </is>
      </c>
      <c r="G341" s="83" t="n">
        <v>1</v>
      </c>
      <c r="H341" s="1274" t="n">
        <v>340594.06</v>
      </c>
      <c r="I341" s="367" t="n"/>
      <c r="J341" s="1275" t="n"/>
      <c r="K341" s="1278" t="n"/>
      <c r="L341" s="1277" t="n"/>
      <c r="M341" s="236" t="inlineStr">
        <is>
          <t>INSIGHT ENERGY</t>
        </is>
      </c>
      <c r="N341" s="237" t="n"/>
      <c r="O341" s="302" t="n"/>
      <c r="P341" s="309" t="n"/>
      <c r="Q341" s="310" t="n"/>
      <c r="R341" s="310" t="n"/>
      <c r="S341" s="311" t="n"/>
      <c r="T341" s="311" t="n"/>
      <c r="U341" s="309" t="n"/>
      <c r="V341" s="1279">
        <f>G341*H341</f>
        <v/>
      </c>
    </row>
    <row r="342" ht="15" customFormat="1" customHeight="1" s="353">
      <c r="A342" s="341" t="n"/>
      <c r="B342" s="340" t="n"/>
      <c r="C342" s="340" t="inlineStr">
        <is>
          <t>.</t>
        </is>
      </c>
      <c r="D342" s="340" t="n"/>
      <c r="E342" s="342" t="n"/>
      <c r="F342" s="343" t="n"/>
      <c r="G342" s="344" t="n"/>
      <c r="H342" s="1267" t="n"/>
      <c r="I342" s="316" t="n"/>
      <c r="J342" s="1268" t="n"/>
      <c r="K342" s="345" t="n"/>
      <c r="L342" s="346" t="n"/>
      <c r="M342" s="347" t="n"/>
      <c r="N342" s="348" t="n"/>
      <c r="O342" s="1269" t="n"/>
      <c r="P342" s="1270" t="n"/>
      <c r="Q342" s="1269" t="n"/>
      <c r="R342" s="1270" t="n"/>
      <c r="S342" s="1271" t="n"/>
      <c r="T342" s="1270" t="n"/>
      <c r="U342" s="1271" t="n"/>
      <c r="V342" s="1272" t="n"/>
    </row>
    <row r="343" ht="15" customHeight="1">
      <c r="A343" s="95" t="inlineStr">
        <is>
          <t>2.15.08</t>
        </is>
      </c>
      <c r="B343" s="90" t="inlineStr">
        <is>
          <t>MATERIAL</t>
        </is>
      </c>
      <c r="C343" s="90" t="n"/>
      <c r="D343" s="90" t="n"/>
      <c r="E343" s="81" t="inlineStr">
        <is>
          <t>Quadro de iluminação em emergência +5LE</t>
        </is>
      </c>
      <c r="F343" s="83" t="inlineStr">
        <is>
          <t>CJ.</t>
        </is>
      </c>
      <c r="G343" s="83" t="n">
        <v>1</v>
      </c>
      <c r="H343" s="1274" t="n">
        <v>340594.06</v>
      </c>
      <c r="I343" s="367" t="n"/>
      <c r="J343" s="1275" t="n"/>
      <c r="K343" s="1278" t="n"/>
      <c r="L343" s="1277" t="n"/>
      <c r="M343" s="236" t="inlineStr">
        <is>
          <t>INSIGHT ENERGY</t>
        </is>
      </c>
      <c r="N343" s="237" t="n"/>
      <c r="O343" s="302" t="n"/>
      <c r="P343" s="309" t="n"/>
      <c r="Q343" s="310" t="n"/>
      <c r="R343" s="310" t="n"/>
      <c r="S343" s="311" t="n"/>
      <c r="T343" s="311" t="n"/>
      <c r="U343" s="309" t="n"/>
      <c r="V343" s="1279">
        <f>G343*H343</f>
        <v/>
      </c>
    </row>
    <row r="344" ht="15" customFormat="1" customHeight="1" s="353">
      <c r="A344" s="341" t="n"/>
      <c r="B344" s="340" t="n"/>
      <c r="C344" s="340" t="inlineStr">
        <is>
          <t>.</t>
        </is>
      </c>
      <c r="D344" s="340" t="n"/>
      <c r="E344" s="342" t="n"/>
      <c r="F344" s="343" t="n"/>
      <c r="G344" s="344" t="n"/>
      <c r="H344" s="1267" t="n"/>
      <c r="I344" s="316" t="n"/>
      <c r="J344" s="1268" t="n"/>
      <c r="K344" s="345" t="n"/>
      <c r="L344" s="346" t="n"/>
      <c r="M344" s="347" t="n"/>
      <c r="N344" s="348" t="n"/>
      <c r="O344" s="1269" t="n"/>
      <c r="P344" s="1270" t="n"/>
      <c r="Q344" s="1269" t="n"/>
      <c r="R344" s="1270" t="n"/>
      <c r="S344" s="1271" t="n"/>
      <c r="T344" s="1270" t="n"/>
      <c r="U344" s="1271" t="n"/>
      <c r="V344" s="1272" t="n"/>
    </row>
    <row r="345" ht="27.6" customHeight="1">
      <c r="A345" s="95" t="inlineStr">
        <is>
          <t>2.15.09</t>
        </is>
      </c>
      <c r="B345" s="90" t="inlineStr">
        <is>
          <t>MATERIAL</t>
        </is>
      </c>
      <c r="C345" s="90" t="n"/>
      <c r="D345" s="90" t="n"/>
      <c r="E345" s="81" t="inlineStr">
        <is>
          <t>Quadro de iluminação normal e tomadas de uso geral para Chaminé de Equilíbrio +6L</t>
        </is>
      </c>
      <c r="F345" s="83" t="inlineStr">
        <is>
          <t>CJ.</t>
        </is>
      </c>
      <c r="G345" s="83" t="n">
        <v>1</v>
      </c>
      <c r="H345" s="1274" t="n">
        <v>340594.06</v>
      </c>
      <c r="I345" s="367" t="n"/>
      <c r="J345" s="1275" t="n"/>
      <c r="K345" s="1278" t="n"/>
      <c r="L345" s="1277" t="n"/>
      <c r="M345" s="236" t="inlineStr">
        <is>
          <t>INSIGHT ENERGY</t>
        </is>
      </c>
      <c r="N345" s="237" t="n"/>
      <c r="O345" s="302" t="n"/>
      <c r="P345" s="309" t="n"/>
      <c r="Q345" s="310" t="n"/>
      <c r="R345" s="310" t="n"/>
      <c r="S345" s="311" t="n"/>
      <c r="T345" s="311" t="n"/>
      <c r="U345" s="309" t="n"/>
      <c r="V345" s="1279">
        <f>G345*H345</f>
        <v/>
      </c>
    </row>
    <row r="346" ht="15.6" customFormat="1" customHeight="1" s="353" thickBot="1">
      <c r="A346" s="341" t="n"/>
      <c r="B346" s="340" t="n"/>
      <c r="C346" s="340" t="inlineStr">
        <is>
          <t>.</t>
        </is>
      </c>
      <c r="D346" s="340" t="n"/>
      <c r="E346" s="342" t="n"/>
      <c r="F346" s="343" t="n"/>
      <c r="G346" s="344" t="n"/>
      <c r="H346" s="1267" t="n"/>
      <c r="I346" s="316" t="n"/>
      <c r="J346" s="1268" t="n"/>
      <c r="K346" s="345" t="n"/>
      <c r="L346" s="346" t="n"/>
      <c r="M346" s="347" t="n"/>
      <c r="N346" s="348" t="n"/>
      <c r="O346" s="1269" t="n"/>
      <c r="P346" s="1270" t="n"/>
      <c r="Q346" s="1269" t="n"/>
      <c r="R346" s="1270" t="n"/>
      <c r="S346" s="1271" t="n"/>
      <c r="T346" s="1270" t="n"/>
      <c r="U346" s="1271" t="n"/>
      <c r="V346" s="1272" t="n"/>
    </row>
    <row r="347" ht="16.2" customHeight="1" thickBot="1">
      <c r="A347" s="379" t="inlineStr">
        <is>
          <t>2.16 - Cubículos de Média Tensão</t>
        </is>
      </c>
      <c r="B347" s="380" t="n"/>
      <c r="C347" s="380" t="n"/>
      <c r="D347" s="380" t="n"/>
      <c r="E347" s="380" t="n"/>
      <c r="F347" s="380" t="n"/>
      <c r="G347" s="380" t="n"/>
      <c r="H347" s="380" t="n"/>
      <c r="I347" s="381" t="n"/>
      <c r="J347" s="1258" t="n"/>
      <c r="K347" s="380" t="n"/>
      <c r="L347" s="380" t="n"/>
      <c r="M347" s="385" t="n"/>
      <c r="N347" s="380" t="n"/>
      <c r="O347" s="383" t="n"/>
      <c r="P347" s="380" t="n"/>
      <c r="Q347" s="383" t="n"/>
      <c r="R347" s="380" t="n"/>
      <c r="S347" s="380" t="n"/>
      <c r="T347" s="380" t="n"/>
      <c r="U347" s="384" t="n"/>
      <c r="V347" s="1259">
        <f>SUM(V348:V362)</f>
        <v/>
      </c>
      <c r="W347" s="1260" t="n"/>
    </row>
    <row r="348" ht="15" customHeight="1">
      <c r="A348" s="89" t="inlineStr">
        <is>
          <t>2.16.01</t>
        </is>
      </c>
      <c r="B348" s="90" t="inlineStr">
        <is>
          <t>SERVIÇO</t>
        </is>
      </c>
      <c r="C348" s="90" t="n"/>
      <c r="D348" s="90" t="n"/>
      <c r="E348" s="81" t="inlineStr">
        <is>
          <t>Engenharia e projeto executivo</t>
        </is>
      </c>
      <c r="F348" s="91" t="inlineStr">
        <is>
          <t>VB.</t>
        </is>
      </c>
      <c r="G348" s="91" t="n">
        <v>1</v>
      </c>
      <c r="H348" s="1289" t="n">
        <v>370076.22</v>
      </c>
      <c r="I348" s="367" t="n"/>
      <c r="J348" s="1275" t="n"/>
      <c r="K348" s="9" t="n"/>
      <c r="L348" s="10" t="n"/>
      <c r="M348" s="233" t="inlineStr">
        <is>
          <t>INSIGHT ENERGYERZEG</t>
        </is>
      </c>
      <c r="N348" s="237" t="n"/>
      <c r="O348" s="1276" t="n"/>
      <c r="P348" s="1277" t="n"/>
      <c r="Q348" s="1276" t="n"/>
      <c r="R348" s="1277" t="n"/>
      <c r="S348" s="1278" t="n"/>
      <c r="T348" s="1277" t="n"/>
      <c r="U348" s="1278" t="n"/>
      <c r="V348" s="1279">
        <f>G348*H348</f>
        <v/>
      </c>
      <c r="W348" s="1260" t="n"/>
    </row>
    <row r="349" ht="15" customFormat="1" customHeight="1" s="353">
      <c r="A349" s="341" t="n"/>
      <c r="B349" s="340" t="n"/>
      <c r="C349" s="340" t="inlineStr">
        <is>
          <t>.</t>
        </is>
      </c>
      <c r="D349" s="340" t="n"/>
      <c r="E349" s="342" t="n"/>
      <c r="F349" s="343" t="n"/>
      <c r="G349" s="344" t="n"/>
      <c r="H349" s="1267" t="n"/>
      <c r="I349" s="316" t="n"/>
      <c r="J349" s="1268" t="n"/>
      <c r="K349" s="345" t="n"/>
      <c r="L349" s="346" t="n"/>
      <c r="M349" s="347" t="n"/>
      <c r="N349" s="348" t="n"/>
      <c r="O349" s="1269" t="n"/>
      <c r="P349" s="1270" t="n"/>
      <c r="Q349" s="1269" t="n"/>
      <c r="R349" s="1270" t="n"/>
      <c r="S349" s="1271" t="n"/>
      <c r="T349" s="1270" t="n"/>
      <c r="U349" s="1271" t="n"/>
      <c r="V349" s="1272" t="n"/>
    </row>
    <row r="350" ht="27.6" customHeight="1">
      <c r="A350" s="89" t="inlineStr">
        <is>
          <t>2.16.02</t>
        </is>
      </c>
      <c r="B350" s="90" t="inlineStr">
        <is>
          <t>SERVIÇO</t>
        </is>
      </c>
      <c r="C350" s="90" t="n"/>
      <c r="D350" s="90" t="n"/>
      <c r="E350" s="81" t="inlineStr">
        <is>
          <t>Desmontagem e adequação dos painéis de média tensão existentes e respectiva infraestrutura de interligação</t>
        </is>
      </c>
      <c r="F350" s="91" t="inlineStr">
        <is>
          <t>VB.</t>
        </is>
      </c>
      <c r="G350" s="91" t="n">
        <v>1</v>
      </c>
      <c r="H350" s="1289" t="n">
        <v>197612.5</v>
      </c>
      <c r="I350" s="367" t="n"/>
      <c r="J350" s="1275" t="n"/>
      <c r="K350" s="9" t="n"/>
      <c r="L350" s="10" t="n"/>
      <c r="M350" s="238" t="inlineStr">
        <is>
          <t>INSIGHT ENERGY</t>
        </is>
      </c>
      <c r="N350" s="237" t="n"/>
      <c r="O350" s="1276" t="n"/>
      <c r="P350" s="1277" t="n"/>
      <c r="Q350" s="1276" t="n"/>
      <c r="R350" s="1277" t="n"/>
      <c r="S350" s="1278" t="n"/>
      <c r="T350" s="1277" t="n"/>
      <c r="U350" s="1278" t="n"/>
      <c r="V350" s="1279">
        <f>G350*H350</f>
        <v/>
      </c>
    </row>
    <row r="351" ht="15" customFormat="1" customHeight="1" s="353">
      <c r="A351" s="341" t="n"/>
      <c r="B351" s="340" t="n"/>
      <c r="C351" s="340" t="inlineStr">
        <is>
          <t>.</t>
        </is>
      </c>
      <c r="D351" s="340" t="n"/>
      <c r="E351" s="342" t="n"/>
      <c r="F351" s="343" t="n"/>
      <c r="G351" s="344" t="n"/>
      <c r="H351" s="1267" t="n"/>
      <c r="I351" s="316" t="n"/>
      <c r="J351" s="1268" t="n"/>
      <c r="K351" s="345" t="n"/>
      <c r="L351" s="346" t="n"/>
      <c r="M351" s="347" t="n"/>
      <c r="N351" s="348" t="n"/>
      <c r="O351" s="1269" t="n"/>
      <c r="P351" s="1270" t="n"/>
      <c r="Q351" s="1269" t="n"/>
      <c r="R351" s="1270" t="n"/>
      <c r="S351" s="1271" t="n"/>
      <c r="T351" s="1270" t="n"/>
      <c r="U351" s="1271" t="n"/>
      <c r="V351" s="1272" t="n"/>
    </row>
    <row r="352" ht="15" customHeight="1">
      <c r="A352" s="89" t="inlineStr">
        <is>
          <t>2.16.03</t>
        </is>
      </c>
      <c r="B352" s="90" t="inlineStr">
        <is>
          <t>SERVIÇO</t>
        </is>
      </c>
      <c r="C352" s="90" t="n"/>
      <c r="D352" s="90" t="n"/>
      <c r="E352" s="81" t="inlineStr">
        <is>
          <t>Montagem eletromecânica completa</t>
        </is>
      </c>
      <c r="F352" s="91" t="inlineStr">
        <is>
          <t>VB.</t>
        </is>
      </c>
      <c r="G352" s="91" t="n">
        <v>1</v>
      </c>
      <c r="H352" s="1289" t="n">
        <v>595332</v>
      </c>
      <c r="I352" s="367" t="n"/>
      <c r="J352" s="1275" t="n"/>
      <c r="K352" s="9" t="n"/>
      <c r="L352" s="10" t="n"/>
      <c r="M352" s="238" t="inlineStr">
        <is>
          <t>INSIGHT ENERGY</t>
        </is>
      </c>
      <c r="N352" s="237" t="n"/>
      <c r="O352" s="1276" t="n"/>
      <c r="P352" s="1277" t="n"/>
      <c r="Q352" s="1276" t="n"/>
      <c r="R352" s="1277" t="n"/>
      <c r="S352" s="1278" t="n"/>
      <c r="T352" s="1277" t="n"/>
      <c r="U352" s="1278" t="n"/>
      <c r="V352" s="1279">
        <f>G352*H352</f>
        <v/>
      </c>
    </row>
    <row r="353" ht="15" customFormat="1" customHeight="1" s="353">
      <c r="A353" s="341" t="n"/>
      <c r="B353" s="340" t="n"/>
      <c r="C353" s="340" t="inlineStr">
        <is>
          <t>.</t>
        </is>
      </c>
      <c r="D353" s="340" t="n"/>
      <c r="E353" s="342" t="n"/>
      <c r="F353" s="343" t="n"/>
      <c r="G353" s="344" t="n"/>
      <c r="H353" s="1267" t="n"/>
      <c r="I353" s="316" t="n"/>
      <c r="J353" s="1268" t="n"/>
      <c r="K353" s="345" t="n"/>
      <c r="L353" s="346" t="n"/>
      <c r="M353" s="347" t="n"/>
      <c r="N353" s="348" t="n"/>
      <c r="O353" s="1269" t="n"/>
      <c r="P353" s="1270" t="n"/>
      <c r="Q353" s="1269" t="n"/>
      <c r="R353" s="1270" t="n"/>
      <c r="S353" s="1271" t="n"/>
      <c r="T353" s="1270" t="n"/>
      <c r="U353" s="1271" t="n"/>
      <c r="V353" s="1272" t="n"/>
    </row>
    <row r="354" ht="15" customHeight="1">
      <c r="A354" s="89" t="inlineStr">
        <is>
          <t>2.16.04</t>
        </is>
      </c>
      <c r="B354" s="90" t="inlineStr">
        <is>
          <t>SERVIÇO</t>
        </is>
      </c>
      <c r="C354" s="90" t="n"/>
      <c r="D354" s="90" t="n"/>
      <c r="E354" s="81" t="inlineStr">
        <is>
          <t>Supervisão, ensaios de campo e comissionamento</t>
        </is>
      </c>
      <c r="F354" s="91" t="inlineStr">
        <is>
          <t>VB.</t>
        </is>
      </c>
      <c r="G354" s="91" t="n">
        <v>1</v>
      </c>
      <c r="H354" s="1289" t="n">
        <v>78727.16</v>
      </c>
      <c r="I354" s="367" t="n"/>
      <c r="J354" s="1275" t="n"/>
      <c r="K354" s="9" t="n"/>
      <c r="L354" s="10" t="n"/>
      <c r="M354" s="233" t="inlineStr">
        <is>
          <t>INSIGHT ENERGYERZEG</t>
        </is>
      </c>
      <c r="N354" s="237" t="n"/>
      <c r="O354" s="1276" t="n"/>
      <c r="P354" s="1277" t="n"/>
      <c r="Q354" s="1276" t="n"/>
      <c r="R354" s="1277" t="n"/>
      <c r="S354" s="1278" t="n"/>
      <c r="T354" s="1277" t="n"/>
      <c r="U354" s="1278" t="n"/>
      <c r="V354" s="1279">
        <f>G354*H354</f>
        <v/>
      </c>
    </row>
    <row r="355" ht="15" customFormat="1" customHeight="1" s="353">
      <c r="A355" s="341" t="n"/>
      <c r="B355" s="340" t="n"/>
      <c r="C355" s="340" t="inlineStr">
        <is>
          <t>.</t>
        </is>
      </c>
      <c r="D355" s="340" t="n"/>
      <c r="E355" s="342" t="n"/>
      <c r="F355" s="343" t="n"/>
      <c r="G355" s="344" t="n"/>
      <c r="H355" s="1267" t="n"/>
      <c r="I355" s="316" t="n"/>
      <c r="J355" s="1268" t="n"/>
      <c r="K355" s="345" t="n"/>
      <c r="L355" s="346" t="n"/>
      <c r="M355" s="347" t="n"/>
      <c r="N355" s="348" t="n"/>
      <c r="O355" s="1269" t="n"/>
      <c r="P355" s="1270" t="n"/>
      <c r="Q355" s="1269" t="n"/>
      <c r="R355" s="1270" t="n"/>
      <c r="S355" s="1271" t="n"/>
      <c r="T355" s="1270" t="n"/>
      <c r="U355" s="1271" t="n"/>
      <c r="V355" s="1272" t="n"/>
    </row>
    <row r="356" ht="15" customHeight="1">
      <c r="A356" s="89" t="inlineStr">
        <is>
          <t>2.16.05</t>
        </is>
      </c>
      <c r="B356" s="90" t="inlineStr">
        <is>
          <t>MATERIAL</t>
        </is>
      </c>
      <c r="C356" s="90" t="n"/>
      <c r="D356" s="90" t="n"/>
      <c r="E356" s="81" t="inlineStr">
        <is>
          <t>Conjuntos de manobra e proteção trifásicos, completos</t>
        </is>
      </c>
      <c r="F356" s="91" t="inlineStr">
        <is>
          <t>CJ.</t>
        </is>
      </c>
      <c r="G356" s="91" t="n">
        <v>2</v>
      </c>
      <c r="H356" s="1289" t="n">
        <v>860097.2</v>
      </c>
      <c r="I356" s="367" t="n"/>
      <c r="J356" s="1275" t="n"/>
      <c r="K356" s="1278" t="n"/>
      <c r="L356" s="1277" t="n"/>
      <c r="M356" s="233" t="inlineStr">
        <is>
          <t>INSIGHT ENERGYERZEG</t>
        </is>
      </c>
      <c r="N356" s="237" t="n"/>
      <c r="O356" s="302" t="n"/>
      <c r="P356" s="309" t="n"/>
      <c r="Q356" s="310" t="n"/>
      <c r="R356" s="310" t="n"/>
      <c r="S356" s="311" t="n"/>
      <c r="T356" s="311" t="n"/>
      <c r="U356" s="309" t="n"/>
      <c r="V356" s="1279">
        <f>G356*H356</f>
        <v/>
      </c>
    </row>
    <row r="357" ht="15" customFormat="1" customHeight="1" s="353">
      <c r="A357" s="341" t="n"/>
      <c r="B357" s="340" t="n"/>
      <c r="C357" s="340" t="inlineStr">
        <is>
          <t>.</t>
        </is>
      </c>
      <c r="D357" s="340" t="n"/>
      <c r="E357" s="342" t="n"/>
      <c r="F357" s="343" t="n"/>
      <c r="G357" s="344" t="n"/>
      <c r="H357" s="1267" t="n"/>
      <c r="I357" s="316" t="n"/>
      <c r="J357" s="1268" t="n"/>
      <c r="K357" s="345" t="n"/>
      <c r="L357" s="346" t="n"/>
      <c r="M357" s="347" t="n"/>
      <c r="N357" s="348" t="n"/>
      <c r="O357" s="1269" t="n"/>
      <c r="P357" s="1270" t="n"/>
      <c r="Q357" s="1269" t="n"/>
      <c r="R357" s="1270" t="n"/>
      <c r="S357" s="1271" t="n"/>
      <c r="T357" s="1270" t="n"/>
      <c r="U357" s="1271" t="n"/>
      <c r="V357" s="1272" t="n"/>
    </row>
    <row r="358" ht="15" customHeight="1">
      <c r="A358" s="89" t="inlineStr">
        <is>
          <t>2.16.06</t>
        </is>
      </c>
      <c r="B358" s="90" t="inlineStr">
        <is>
          <t>MATERIAL</t>
        </is>
      </c>
      <c r="C358" s="90" t="n"/>
      <c r="D358" s="90" t="n"/>
      <c r="E358" s="81" t="inlineStr">
        <is>
          <t>Cubículos trifásicos para proteção contra surtos de tensão (+#PS), completos</t>
        </is>
      </c>
      <c r="F358" s="91" t="inlineStr">
        <is>
          <t>CJ.</t>
        </is>
      </c>
      <c r="G358" s="91" t="n">
        <v>2</v>
      </c>
      <c r="H358" s="1289" t="n">
        <v>734124.05</v>
      </c>
      <c r="I358" s="367" t="n"/>
      <c r="J358" s="1275" t="n"/>
      <c r="K358" s="1278" t="n"/>
      <c r="L358" s="1277" t="n"/>
      <c r="M358" s="233" t="inlineStr">
        <is>
          <t>INSIGHT ENERGYERZEG</t>
        </is>
      </c>
      <c r="N358" s="237" t="n"/>
      <c r="O358" s="302" t="n"/>
      <c r="P358" s="309" t="n"/>
      <c r="Q358" s="310" t="n"/>
      <c r="R358" s="310" t="n"/>
      <c r="S358" s="311" t="n"/>
      <c r="T358" s="311" t="n"/>
      <c r="U358" s="309" t="n"/>
      <c r="V358" s="1279">
        <f>G358*H358</f>
        <v/>
      </c>
    </row>
    <row r="359" ht="15" customFormat="1" customHeight="1" s="353">
      <c r="A359" s="341" t="n"/>
      <c r="B359" s="340" t="n"/>
      <c r="C359" s="340" t="inlineStr">
        <is>
          <t>.</t>
        </is>
      </c>
      <c r="D359" s="340" t="n"/>
      <c r="E359" s="342" t="n"/>
      <c r="F359" s="343" t="n"/>
      <c r="G359" s="344" t="n"/>
      <c r="H359" s="1267" t="n"/>
      <c r="I359" s="316" t="n"/>
      <c r="J359" s="1268" t="n"/>
      <c r="K359" s="345" t="n"/>
      <c r="L359" s="346" t="n"/>
      <c r="M359" s="347" t="n"/>
      <c r="N359" s="348" t="n"/>
      <c r="O359" s="1269" t="n"/>
      <c r="P359" s="1270" t="n"/>
      <c r="Q359" s="1269" t="n"/>
      <c r="R359" s="1270" t="n"/>
      <c r="S359" s="1271" t="n"/>
      <c r="T359" s="1270" t="n"/>
      <c r="U359" s="1271" t="n"/>
      <c r="V359" s="1272" t="n"/>
    </row>
    <row r="360" ht="15" customHeight="1">
      <c r="A360" s="89" t="inlineStr">
        <is>
          <t>2.16.07</t>
        </is>
      </c>
      <c r="B360" s="90" t="inlineStr">
        <is>
          <t>MATERIAL</t>
        </is>
      </c>
      <c r="C360" s="90" t="n"/>
      <c r="D360" s="90" t="n"/>
      <c r="E360" s="81" t="inlineStr">
        <is>
          <t>Conjuntos para aterramento do neutro dos geradores (+#NG), completos</t>
        </is>
      </c>
      <c r="F360" s="91" t="inlineStr">
        <is>
          <t>CJ.</t>
        </is>
      </c>
      <c r="G360" s="91" t="n">
        <v>4</v>
      </c>
      <c r="H360" s="1289" t="n">
        <v>157056.375</v>
      </c>
      <c r="I360" s="367" t="n"/>
      <c r="J360" s="1275" t="n"/>
      <c r="K360" s="1278" t="n"/>
      <c r="L360" s="1277" t="n"/>
      <c r="M360" s="233" t="inlineStr">
        <is>
          <t>INSIGHT ENERGYERZEG</t>
        </is>
      </c>
      <c r="N360" s="237" t="n"/>
      <c r="O360" s="302" t="n"/>
      <c r="P360" s="309" t="n"/>
      <c r="Q360" s="310" t="n"/>
      <c r="R360" s="310" t="n"/>
      <c r="S360" s="311" t="n"/>
      <c r="T360" s="311" t="n"/>
      <c r="U360" s="309" t="n"/>
      <c r="V360" s="1279">
        <f>G360*H360</f>
        <v/>
      </c>
    </row>
    <row r="361" ht="15" customFormat="1" customHeight="1" s="353">
      <c r="A361" s="341" t="n"/>
      <c r="B361" s="340" t="n"/>
      <c r="C361" s="340" t="inlineStr">
        <is>
          <t>.</t>
        </is>
      </c>
      <c r="D361" s="340" t="n"/>
      <c r="E361" s="342" t="n"/>
      <c r="F361" s="343" t="n"/>
      <c r="G361" s="344" t="n"/>
      <c r="H361" s="1267" t="n"/>
      <c r="I361" s="316" t="n"/>
      <c r="J361" s="1268" t="n"/>
      <c r="K361" s="345" t="n"/>
      <c r="L361" s="346" t="n"/>
      <c r="M361" s="347" t="n"/>
      <c r="N361" s="348" t="n"/>
      <c r="O361" s="1269" t="n"/>
      <c r="P361" s="1270" t="n"/>
      <c r="Q361" s="1269" t="n"/>
      <c r="R361" s="1270" t="n"/>
      <c r="S361" s="1271" t="n"/>
      <c r="T361" s="1270" t="n"/>
      <c r="U361" s="1271" t="n"/>
      <c r="V361" s="1272" t="n"/>
    </row>
    <row r="362" ht="41.4" customHeight="1">
      <c r="A362" s="89" t="inlineStr">
        <is>
          <t>2.16.08</t>
        </is>
      </c>
      <c r="B362" s="90" t="inlineStr">
        <is>
          <t>MATERIAL</t>
        </is>
      </c>
      <c r="C362" s="90" t="n"/>
      <c r="D362" s="90" t="n"/>
      <c r="E362" s="81" t="inlineStr">
        <is>
          <t>Barras de interligação, sistemas de iluminação e aquecimento do cubículo, fiação dos circuitos de controle, alarme, sinalização, alimentação de força CA e CC, circuitos de TP´s e demais acessórios e componentes necessários</t>
        </is>
      </c>
      <c r="F362" s="91" t="inlineStr">
        <is>
          <t>CJ.</t>
        </is>
      </c>
      <c r="G362" s="91" t="n">
        <v>4</v>
      </c>
      <c r="H362" s="1289" t="n">
        <v>185050</v>
      </c>
      <c r="I362" s="367" t="n"/>
      <c r="J362" s="1275" t="n"/>
      <c r="K362" s="1278" t="n"/>
      <c r="L362" s="1277" t="n"/>
      <c r="M362" s="233" t="inlineStr">
        <is>
          <t>INSIGHT ENERGYERZEG</t>
        </is>
      </c>
      <c r="N362" s="237" t="n"/>
      <c r="O362" s="302" t="n"/>
      <c r="P362" s="309" t="n"/>
      <c r="Q362" s="310" t="n"/>
      <c r="R362" s="310" t="n"/>
      <c r="S362" s="311" t="n"/>
      <c r="T362" s="311" t="n"/>
      <c r="U362" s="309" t="n"/>
      <c r="V362" s="1279">
        <f>G362*H362</f>
        <v/>
      </c>
    </row>
    <row r="363" ht="15" customFormat="1" customHeight="1" s="353">
      <c r="A363" s="341" t="n"/>
      <c r="B363" s="340" t="n"/>
      <c r="C363" s="340" t="inlineStr">
        <is>
          <t>.</t>
        </is>
      </c>
      <c r="D363" s="340" t="n"/>
      <c r="E363" s="342" t="n"/>
      <c r="F363" s="343" t="n"/>
      <c r="G363" s="344" t="n"/>
      <c r="H363" s="1267" t="n"/>
      <c r="I363" s="316" t="n"/>
      <c r="J363" s="1268" t="n"/>
      <c r="K363" s="345" t="n"/>
      <c r="L363" s="346" t="n"/>
      <c r="M363" s="347" t="n"/>
      <c r="N363" s="348" t="n"/>
      <c r="O363" s="1269" t="n"/>
      <c r="P363" s="1270" t="n"/>
      <c r="Q363" s="1269" t="n"/>
      <c r="R363" s="1270" t="n"/>
      <c r="S363" s="1271" t="n"/>
      <c r="T363" s="1270" t="n"/>
      <c r="U363" s="1271" t="n"/>
      <c r="V363" s="1272" t="n"/>
    </row>
    <row r="364" ht="15.6" customFormat="1" customHeight="1" s="353" thickBot="1">
      <c r="A364" s="341" t="n"/>
      <c r="B364" s="340" t="n"/>
      <c r="C364" s="340" t="inlineStr">
        <is>
          <t>.</t>
        </is>
      </c>
      <c r="D364" s="340" t="n"/>
      <c r="E364" s="342" t="n"/>
      <c r="F364" s="343" t="n"/>
      <c r="G364" s="344" t="n"/>
      <c r="H364" s="1267" t="n"/>
      <c r="I364" s="316" t="n"/>
      <c r="J364" s="1268" t="n"/>
      <c r="K364" s="345" t="n"/>
      <c r="L364" s="346" t="n"/>
      <c r="M364" s="347" t="n"/>
      <c r="N364" s="348" t="n"/>
      <c r="O364" s="1269" t="n"/>
      <c r="P364" s="1270" t="n"/>
      <c r="Q364" s="1269" t="n"/>
      <c r="R364" s="1270" t="n"/>
      <c r="S364" s="1271" t="n"/>
      <c r="T364" s="1270" t="n"/>
      <c r="U364" s="1271" t="n"/>
      <c r="V364" s="1272" t="n"/>
    </row>
    <row r="365" ht="16.2" customHeight="1" thickBot="1">
      <c r="A365" s="379" t="inlineStr">
        <is>
          <t>2.18 - Sistema de Ar Comprimido</t>
        </is>
      </c>
      <c r="B365" s="380" t="n"/>
      <c r="C365" s="380" t="n"/>
      <c r="D365" s="380" t="n"/>
      <c r="E365" s="380" t="n"/>
      <c r="F365" s="380" t="n"/>
      <c r="G365" s="380" t="n"/>
      <c r="H365" s="380" t="n"/>
      <c r="I365" s="381" t="n"/>
      <c r="J365" s="1258" t="n"/>
      <c r="K365" s="380" t="n"/>
      <c r="L365" s="380" t="n"/>
      <c r="M365" s="385" t="n"/>
      <c r="N365" s="380" t="n"/>
      <c r="O365" s="383" t="n"/>
      <c r="P365" s="380" t="n"/>
      <c r="Q365" s="383" t="n"/>
      <c r="R365" s="380" t="n"/>
      <c r="S365" s="380" t="n"/>
      <c r="T365" s="380" t="n"/>
      <c r="U365" s="384" t="n"/>
      <c r="V365" s="1259">
        <f>SUM(V366:V374)</f>
        <v/>
      </c>
      <c r="W365" s="1260" t="n"/>
    </row>
    <row r="366" ht="15" customHeight="1">
      <c r="A366" s="95" t="inlineStr">
        <is>
          <t>2.18.01</t>
        </is>
      </c>
      <c r="B366" s="80" t="inlineStr">
        <is>
          <t>SERVIÇO</t>
        </is>
      </c>
      <c r="C366" s="80" t="n"/>
      <c r="D366" s="80" t="n"/>
      <c r="E366" s="81" t="inlineStr">
        <is>
          <t>Engenharia e projeto executivo</t>
        </is>
      </c>
      <c r="F366" s="83" t="inlineStr">
        <is>
          <t>VB.</t>
        </is>
      </c>
      <c r="G366" s="23" t="n">
        <v>1</v>
      </c>
      <c r="H366" s="1289" t="n">
        <v>66304.64999999999</v>
      </c>
      <c r="I366" s="367" t="n"/>
      <c r="J366" s="1275" t="n"/>
      <c r="K366" s="7" t="n"/>
      <c r="L366" s="7" t="n"/>
      <c r="M366" s="236" t="inlineStr">
        <is>
          <t>ALL ENERGY</t>
        </is>
      </c>
      <c r="N366" s="237" t="n"/>
      <c r="O366" s="1276" t="n"/>
      <c r="P366" s="1277" t="n"/>
      <c r="Q366" s="1276" t="n"/>
      <c r="R366" s="1277" t="n"/>
      <c r="S366" s="1278" t="n"/>
      <c r="T366" s="1277" t="n"/>
      <c r="U366" s="1278" t="n"/>
      <c r="V366" s="1279">
        <f>G366*H366</f>
        <v/>
      </c>
      <c r="W366" s="1260" t="n"/>
    </row>
    <row r="367" ht="15" customFormat="1" customHeight="1" s="353">
      <c r="A367" s="341" t="n"/>
      <c r="B367" s="340" t="n"/>
      <c r="C367" s="340" t="inlineStr">
        <is>
          <t>.</t>
        </is>
      </c>
      <c r="D367" s="340" t="n"/>
      <c r="E367" s="342" t="n"/>
      <c r="F367" s="343" t="n"/>
      <c r="G367" s="344" t="n"/>
      <c r="H367" s="1267" t="n"/>
      <c r="I367" s="316" t="n"/>
      <c r="J367" s="1268" t="n"/>
      <c r="K367" s="345" t="n"/>
      <c r="L367" s="346" t="n"/>
      <c r="M367" s="347" t="n"/>
      <c r="N367" s="348" t="n"/>
      <c r="O367" s="1269" t="n"/>
      <c r="P367" s="1270" t="n"/>
      <c r="Q367" s="1269" t="n"/>
      <c r="R367" s="1270" t="n"/>
      <c r="S367" s="1271" t="n"/>
      <c r="T367" s="1270" t="n"/>
      <c r="U367" s="1271" t="n"/>
      <c r="V367" s="1272" t="n"/>
    </row>
    <row r="368" ht="15" customHeight="1">
      <c r="A368" s="95" t="inlineStr">
        <is>
          <t>2.18.02</t>
        </is>
      </c>
      <c r="B368" s="80" t="inlineStr">
        <is>
          <t>SERVIÇO</t>
        </is>
      </c>
      <c r="C368" s="80" t="n"/>
      <c r="D368" s="80" t="n"/>
      <c r="E368" s="81" t="inlineStr">
        <is>
          <t>Desmontagem e montagem eletromecânica completa</t>
        </is>
      </c>
      <c r="F368" s="83" t="inlineStr">
        <is>
          <t>VB.</t>
        </is>
      </c>
      <c r="G368" s="23" t="n">
        <v>1</v>
      </c>
      <c r="H368" s="1289" t="n">
        <v>356598.84</v>
      </c>
      <c r="I368" s="367" t="n"/>
      <c r="J368" s="1275" t="n"/>
      <c r="K368" s="7" t="n"/>
      <c r="L368" s="7" t="n"/>
      <c r="M368" s="236" t="inlineStr">
        <is>
          <t>ALL ENERGY</t>
        </is>
      </c>
      <c r="N368" s="237" t="n"/>
      <c r="O368" s="1276" t="n"/>
      <c r="P368" s="1277" t="n"/>
      <c r="Q368" s="1276" t="n"/>
      <c r="R368" s="1277" t="n"/>
      <c r="S368" s="1278" t="n"/>
      <c r="T368" s="1277" t="n"/>
      <c r="U368" s="1278" t="n"/>
      <c r="V368" s="1279">
        <f>G368*H368</f>
        <v/>
      </c>
    </row>
    <row r="369" ht="15" customFormat="1" customHeight="1" s="353">
      <c r="A369" s="341" t="n"/>
      <c r="B369" s="340" t="n"/>
      <c r="C369" s="340" t="inlineStr">
        <is>
          <t>.</t>
        </is>
      </c>
      <c r="D369" s="340" t="n"/>
      <c r="E369" s="342" t="n"/>
      <c r="F369" s="343" t="n"/>
      <c r="G369" s="344" t="n"/>
      <c r="H369" s="1267" t="n"/>
      <c r="I369" s="316" t="n"/>
      <c r="J369" s="1268" t="n"/>
      <c r="K369" s="345" t="n"/>
      <c r="L369" s="346" t="n"/>
      <c r="M369" s="347" t="n"/>
      <c r="N369" s="348" t="n"/>
      <c r="O369" s="1269" t="n"/>
      <c r="P369" s="1270" t="n"/>
      <c r="Q369" s="1269" t="n"/>
      <c r="R369" s="1270" t="n"/>
      <c r="S369" s="1271" t="n"/>
      <c r="T369" s="1270" t="n"/>
      <c r="U369" s="1271" t="n"/>
      <c r="V369" s="1272" t="n"/>
    </row>
    <row r="370" ht="15" customHeight="1">
      <c r="A370" s="95" t="inlineStr">
        <is>
          <t>2.18.03</t>
        </is>
      </c>
      <c r="B370" s="80" t="inlineStr">
        <is>
          <t>SERVIÇO</t>
        </is>
      </c>
      <c r="C370" s="80" t="n"/>
      <c r="D370" s="80" t="n"/>
      <c r="E370" s="81" t="inlineStr">
        <is>
          <t>Supervisão, ensaios de campo e comissionamento</t>
        </is>
      </c>
      <c r="F370" s="83" t="inlineStr">
        <is>
          <t>VB.</t>
        </is>
      </c>
      <c r="G370" s="23" t="n">
        <v>1</v>
      </c>
      <c r="H370" s="1289" t="n">
        <v>35459.52</v>
      </c>
      <c r="I370" s="367" t="n"/>
      <c r="J370" s="1275" t="n"/>
      <c r="K370" s="7" t="n"/>
      <c r="L370" s="7" t="n"/>
      <c r="M370" s="236" t="inlineStr">
        <is>
          <t>ALL ENERGY</t>
        </is>
      </c>
      <c r="N370" s="237" t="n"/>
      <c r="O370" s="1276" t="n"/>
      <c r="P370" s="1277" t="n"/>
      <c r="Q370" s="1276" t="n"/>
      <c r="R370" s="1277" t="n"/>
      <c r="S370" s="1278" t="n"/>
      <c r="T370" s="1277" t="n"/>
      <c r="U370" s="1278" t="n"/>
      <c r="V370" s="1279">
        <f>G370*H370</f>
        <v/>
      </c>
    </row>
    <row r="371" ht="15" customFormat="1" customHeight="1" s="353">
      <c r="A371" s="341" t="n"/>
      <c r="B371" s="340" t="n"/>
      <c r="C371" s="340" t="inlineStr">
        <is>
          <t>.</t>
        </is>
      </c>
      <c r="D371" s="340" t="n"/>
      <c r="E371" s="342" t="n"/>
      <c r="F371" s="343" t="n"/>
      <c r="G371" s="344" t="n"/>
      <c r="H371" s="1267" t="n"/>
      <c r="I371" s="316" t="n"/>
      <c r="J371" s="1268" t="n"/>
      <c r="K371" s="345" t="n"/>
      <c r="L371" s="346" t="n"/>
      <c r="M371" s="347" t="n"/>
      <c r="N371" s="348" t="n"/>
      <c r="O371" s="1269" t="n"/>
      <c r="P371" s="1270" t="n"/>
      <c r="Q371" s="1269" t="n"/>
      <c r="R371" s="1270" t="n"/>
      <c r="S371" s="1271" t="n"/>
      <c r="T371" s="1270" t="n"/>
      <c r="U371" s="1271" t="n"/>
      <c r="V371" s="1272" t="n"/>
    </row>
    <row r="372" ht="15" customHeight="1">
      <c r="A372" s="95" t="inlineStr">
        <is>
          <t>2.18.04</t>
        </is>
      </c>
      <c r="B372" s="80" t="inlineStr">
        <is>
          <t>MATERIAL</t>
        </is>
      </c>
      <c r="C372" s="80" t="n"/>
      <c r="D372" s="80" t="n"/>
      <c r="E372" s="81" t="inlineStr">
        <is>
          <t>Compressores para o sistema de ar de baixa pressão</t>
        </is>
      </c>
      <c r="F372" s="4" t="inlineStr">
        <is>
          <t>CJ.</t>
        </is>
      </c>
      <c r="G372" s="23" t="n">
        <v>2</v>
      </c>
      <c r="H372" s="1289" t="n">
        <v>150448.3</v>
      </c>
      <c r="I372" s="367" t="n"/>
      <c r="J372" s="1275" t="n"/>
      <c r="K372" s="1278" t="n"/>
      <c r="L372" s="1277" t="n"/>
      <c r="M372" s="236" t="inlineStr">
        <is>
          <t>ALL ENERGY</t>
        </is>
      </c>
      <c r="N372" s="237" t="n"/>
      <c r="O372" s="302" t="n"/>
      <c r="P372" s="309" t="n"/>
      <c r="Q372" s="310" t="n"/>
      <c r="R372" s="310" t="n"/>
      <c r="S372" s="311" t="n"/>
      <c r="T372" s="311" t="n"/>
      <c r="U372" s="309" t="n"/>
      <c r="V372" s="1279">
        <f>G372*H372</f>
        <v/>
      </c>
    </row>
    <row r="373" ht="15" customFormat="1" customHeight="1" s="353">
      <c r="A373" s="341" t="n"/>
      <c r="B373" s="340" t="n"/>
      <c r="C373" s="340" t="inlineStr">
        <is>
          <t>.</t>
        </is>
      </c>
      <c r="D373" s="340" t="n"/>
      <c r="E373" s="342" t="n"/>
      <c r="F373" s="343" t="n"/>
      <c r="G373" s="344" t="n"/>
      <c r="H373" s="1267" t="n"/>
      <c r="I373" s="316" t="n"/>
      <c r="J373" s="1267" t="n"/>
      <c r="K373" s="345" t="n"/>
      <c r="L373" s="346" t="n"/>
      <c r="M373" s="347" t="n"/>
      <c r="N373" s="348" t="n"/>
      <c r="O373" s="1269" t="n"/>
      <c r="P373" s="1270" t="n"/>
      <c r="Q373" s="1269" t="n"/>
      <c r="R373" s="1270" t="n"/>
      <c r="S373" s="1271" t="n"/>
      <c r="T373" s="1270" t="n"/>
      <c r="U373" s="1271" t="n"/>
      <c r="V373" s="1272" t="n"/>
    </row>
    <row r="374" ht="27.6" customHeight="1">
      <c r="A374" s="95" t="inlineStr">
        <is>
          <t>2.18.05</t>
        </is>
      </c>
      <c r="B374" s="80" t="inlineStr">
        <is>
          <t>MATERIAL</t>
        </is>
      </c>
      <c r="C374" s="80" t="n"/>
      <c r="D374" s="80" t="n"/>
      <c r="E374" s="81" t="inlineStr">
        <is>
          <t>Tubulações, suportes, adaptações e acessórios para o Sistema de Ar Comprimido</t>
        </is>
      </c>
      <c r="F374" s="83" t="inlineStr">
        <is>
          <t>CJ.</t>
        </is>
      </c>
      <c r="G374" s="23" t="n">
        <v>1</v>
      </c>
      <c r="H374" s="1289" t="n">
        <v>81936.42999999999</v>
      </c>
      <c r="I374" s="367" t="n"/>
      <c r="J374" s="1275" t="n"/>
      <c r="K374" s="1278" t="n"/>
      <c r="L374" s="1277" t="n"/>
      <c r="M374" s="236" t="inlineStr">
        <is>
          <t>ALL ENERGY</t>
        </is>
      </c>
      <c r="N374" s="237" t="n"/>
      <c r="O374" s="302" t="n"/>
      <c r="P374" s="309" t="n"/>
      <c r="Q374" s="310" t="n"/>
      <c r="R374" s="310" t="n"/>
      <c r="S374" s="311" t="n"/>
      <c r="T374" s="311" t="n"/>
      <c r="U374" s="309" t="n"/>
      <c r="V374" s="1279">
        <f>G374*H374</f>
        <v/>
      </c>
    </row>
    <row r="375" ht="15.6" customFormat="1" customHeight="1" s="353" thickBot="1">
      <c r="A375" s="341" t="n"/>
      <c r="B375" s="340" t="n"/>
      <c r="C375" s="340" t="inlineStr">
        <is>
          <t>.</t>
        </is>
      </c>
      <c r="D375" s="340" t="n"/>
      <c r="E375" s="342" t="n"/>
      <c r="F375" s="343" t="n"/>
      <c r="G375" s="344" t="n"/>
      <c r="H375" s="1267" t="n"/>
      <c r="I375" s="316" t="n"/>
      <c r="J375" s="1268" t="n"/>
      <c r="K375" s="345" t="n"/>
      <c r="L375" s="346" t="n"/>
      <c r="M375" s="347" t="n"/>
      <c r="N375" s="348" t="n"/>
      <c r="O375" s="1269" t="n"/>
      <c r="P375" s="1270" t="n"/>
      <c r="Q375" s="1269" t="n"/>
      <c r="R375" s="1270" t="n"/>
      <c r="S375" s="1271" t="n"/>
      <c r="T375" s="1270" t="n"/>
      <c r="U375" s="1271" t="n"/>
      <c r="V375" s="1272" t="n"/>
    </row>
    <row r="376" ht="16.2" customHeight="1" thickBot="1">
      <c r="A376" s="379" t="inlineStr">
        <is>
          <t>2.21 - Interferências Civis</t>
        </is>
      </c>
      <c r="B376" s="380" t="n"/>
      <c r="C376" s="380" t="n"/>
      <c r="D376" s="380" t="n"/>
      <c r="E376" s="380" t="n"/>
      <c r="F376" s="380" t="n"/>
      <c r="G376" s="380" t="n"/>
      <c r="H376" s="380" t="n"/>
      <c r="I376" s="381" t="n"/>
      <c r="J376" s="1258" t="n"/>
      <c r="K376" s="380" t="n"/>
      <c r="L376" s="380" t="n"/>
      <c r="M376" s="385" t="n"/>
      <c r="N376" s="380" t="n"/>
      <c r="O376" s="383" t="n"/>
      <c r="P376" s="380" t="n"/>
      <c r="Q376" s="383" t="n"/>
      <c r="R376" s="380" t="n"/>
      <c r="S376" s="380" t="n"/>
      <c r="T376" s="380" t="n"/>
      <c r="U376" s="384" t="n"/>
      <c r="V376" s="1259">
        <f>SUM(V377:V401)</f>
        <v/>
      </c>
      <c r="W376" s="1260" t="n"/>
    </row>
    <row r="377" ht="15" customHeight="1">
      <c r="A377" s="95" t="inlineStr">
        <is>
          <t>2.21.01</t>
        </is>
      </c>
      <c r="B377" s="80" t="inlineStr">
        <is>
          <t>SERVIÇO</t>
        </is>
      </c>
      <c r="C377" s="80" t="n"/>
      <c r="D377" s="80" t="n"/>
      <c r="E377" s="81" t="inlineStr">
        <is>
          <t>Engenharia e projeto executivo</t>
        </is>
      </c>
      <c r="F377" s="83" t="inlineStr">
        <is>
          <t>VB.</t>
        </is>
      </c>
      <c r="G377" s="23" t="n">
        <v>1</v>
      </c>
      <c r="H377" s="1289" t="n">
        <v>220115.37</v>
      </c>
      <c r="I377" s="367" t="n"/>
      <c r="J377" s="9" t="n"/>
      <c r="K377" s="9" t="n"/>
      <c r="L377" s="10" t="n"/>
      <c r="M377" s="238" t="inlineStr">
        <is>
          <t>INSIGHT ENERGY</t>
        </is>
      </c>
      <c r="N377" s="237" t="n"/>
      <c r="O377" s="1276" t="n"/>
      <c r="P377" s="1277" t="n"/>
      <c r="Q377" s="1276" t="n"/>
      <c r="R377" s="1277" t="n"/>
      <c r="S377" s="1278" t="n"/>
      <c r="T377" s="1277" t="n"/>
      <c r="U377" s="1278" t="n"/>
      <c r="V377" s="1279">
        <f>G377*H377</f>
        <v/>
      </c>
      <c r="W377" s="1260" t="n"/>
    </row>
    <row r="378" ht="15" customFormat="1" customHeight="1" s="353">
      <c r="A378" s="341" t="n"/>
      <c r="B378" s="340" t="n"/>
      <c r="C378" s="340" t="inlineStr">
        <is>
          <t>.</t>
        </is>
      </c>
      <c r="D378" s="340" t="n"/>
      <c r="E378" s="342" t="n"/>
      <c r="F378" s="343" t="n"/>
      <c r="G378" s="344" t="n"/>
      <c r="H378" s="1267" t="n"/>
      <c r="I378" s="316" t="n"/>
      <c r="J378" s="345" t="n"/>
      <c r="K378" s="345" t="n"/>
      <c r="L378" s="346" t="n"/>
      <c r="M378" s="347" t="n"/>
      <c r="N378" s="348" t="n"/>
      <c r="O378" s="1269" t="n"/>
      <c r="P378" s="1270" t="n"/>
      <c r="Q378" s="1269" t="n"/>
      <c r="R378" s="1270" t="n"/>
      <c r="S378" s="1271" t="n"/>
      <c r="T378" s="1270" t="n"/>
      <c r="U378" s="1271" t="n"/>
      <c r="V378" s="1272" t="n"/>
    </row>
    <row r="379" ht="15" customHeight="1">
      <c r="A379" s="95" t="inlineStr">
        <is>
          <t>2.21.02</t>
        </is>
      </c>
      <c r="B379" s="80" t="inlineStr">
        <is>
          <t>SERVIÇO</t>
        </is>
      </c>
      <c r="C379" s="80" t="n"/>
      <c r="D379" s="80" t="n"/>
      <c r="E379" s="81" t="inlineStr">
        <is>
          <t>Mobilização na obra</t>
        </is>
      </c>
      <c r="F379" s="83" t="inlineStr">
        <is>
          <t>VB.</t>
        </is>
      </c>
      <c r="G379" s="23" t="n">
        <v>1</v>
      </c>
      <c r="H379" s="1289" t="n">
        <v>325662.58</v>
      </c>
      <c r="I379" s="367" t="n"/>
      <c r="J379" s="9" t="n"/>
      <c r="K379" s="9" t="n"/>
      <c r="L379" s="10" t="n"/>
      <c r="M379" s="238" t="inlineStr">
        <is>
          <t>INSIGHT ENERGY</t>
        </is>
      </c>
      <c r="N379" s="237" t="n"/>
      <c r="O379" s="1276" t="n"/>
      <c r="P379" s="1277" t="n"/>
      <c r="Q379" s="1276" t="n"/>
      <c r="R379" s="1277" t="n"/>
      <c r="S379" s="1278" t="n"/>
      <c r="T379" s="1277" t="n"/>
      <c r="U379" s="1278" t="n"/>
      <c r="V379" s="1279">
        <f>G379*H379</f>
        <v/>
      </c>
    </row>
    <row r="380" ht="15" customFormat="1" customHeight="1" s="353">
      <c r="A380" s="341" t="n"/>
      <c r="B380" s="340" t="n"/>
      <c r="C380" s="340" t="inlineStr">
        <is>
          <t>.</t>
        </is>
      </c>
      <c r="D380" s="340" t="n"/>
      <c r="E380" s="342" t="n"/>
      <c r="F380" s="343" t="n"/>
      <c r="G380" s="344" t="n"/>
      <c r="H380" s="1267" t="n"/>
      <c r="I380" s="316" t="n"/>
      <c r="J380" s="345" t="n"/>
      <c r="K380" s="345" t="n"/>
      <c r="L380" s="346" t="n"/>
      <c r="M380" s="347" t="n"/>
      <c r="N380" s="348" t="n"/>
      <c r="O380" s="1269" t="n"/>
      <c r="P380" s="1270" t="n"/>
      <c r="Q380" s="1269" t="n"/>
      <c r="R380" s="1270" t="n"/>
      <c r="S380" s="1271" t="n"/>
      <c r="T380" s="1270" t="n"/>
      <c r="U380" s="1271" t="n"/>
      <c r="V380" s="1272" t="n"/>
    </row>
    <row r="381" ht="41.4" customHeight="1">
      <c r="A381" s="95" t="inlineStr">
        <is>
          <t>2.21.03</t>
        </is>
      </c>
      <c r="B381" s="80" t="inlineStr">
        <is>
          <t>SERVIÇO</t>
        </is>
      </c>
      <c r="C381" s="80" t="n"/>
      <c r="D381" s="80" t="n"/>
      <c r="E381" s="81" t="inlineStr">
        <is>
          <t>Demolições e remoções, execução de paredes em alvenaria, recomposição de revestimento de paredes e pisos após intervenções, execução de canaletas de cabos nos pisos</t>
        </is>
      </c>
      <c r="F381" s="83" t="inlineStr">
        <is>
          <t>VB.</t>
        </is>
      </c>
      <c r="G381" s="23" t="n">
        <v>1</v>
      </c>
      <c r="H381" s="1289" t="n">
        <v>225126.2</v>
      </c>
      <c r="I381" s="367" t="n"/>
      <c r="J381" s="9" t="n"/>
      <c r="K381" s="9" t="n"/>
      <c r="L381" s="10" t="n"/>
      <c r="M381" s="238" t="inlineStr">
        <is>
          <t>INSIGHT ENERGY</t>
        </is>
      </c>
      <c r="N381" s="237" t="n"/>
      <c r="O381" s="1276" t="n"/>
      <c r="P381" s="1277" t="n"/>
      <c r="Q381" s="1276" t="n"/>
      <c r="R381" s="1277" t="n"/>
      <c r="S381" s="1278" t="n"/>
      <c r="T381" s="1277" t="n"/>
      <c r="U381" s="1278" t="n"/>
      <c r="V381" s="1279">
        <f>G381*H381</f>
        <v/>
      </c>
    </row>
    <row r="382" ht="15" customFormat="1" customHeight="1" s="353">
      <c r="A382" s="341" t="n"/>
      <c r="B382" s="340" t="n"/>
      <c r="C382" s="340" t="inlineStr">
        <is>
          <t>.</t>
        </is>
      </c>
      <c r="D382" s="340" t="n"/>
      <c r="E382" s="342" t="n"/>
      <c r="F382" s="343" t="n"/>
      <c r="G382" s="344" t="n"/>
      <c r="H382" s="1267" t="n"/>
      <c r="I382" s="316" t="n"/>
      <c r="J382" s="345" t="n"/>
      <c r="K382" s="345" t="n"/>
      <c r="L382" s="346" t="n"/>
      <c r="M382" s="347" t="n"/>
      <c r="N382" s="348" t="n"/>
      <c r="O382" s="1269" t="n"/>
      <c r="P382" s="1270" t="n"/>
      <c r="Q382" s="1269" t="n"/>
      <c r="R382" s="1270" t="n"/>
      <c r="S382" s="1271" t="n"/>
      <c r="T382" s="1270" t="n"/>
      <c r="U382" s="1271" t="n"/>
      <c r="V382" s="1272" t="n"/>
    </row>
    <row r="383" ht="15" customHeight="1">
      <c r="A383" s="95" t="inlineStr">
        <is>
          <t>2.21.04</t>
        </is>
      </c>
      <c r="B383" s="80" t="inlineStr">
        <is>
          <t>SERVIÇO</t>
        </is>
      </c>
      <c r="C383" s="80" t="n"/>
      <c r="D383" s="80" t="n"/>
      <c r="E383" s="81" t="inlineStr">
        <is>
          <t>Adequação civis da Sala de Baterias</t>
        </is>
      </c>
      <c r="F383" s="83" t="inlineStr">
        <is>
          <t>VB.</t>
        </is>
      </c>
      <c r="G383" s="23" t="n">
        <v>1</v>
      </c>
      <c r="H383" s="1289" t="n">
        <v>76376.89</v>
      </c>
      <c r="I383" s="367" t="n"/>
      <c r="J383" s="9" t="n"/>
      <c r="K383" s="9" t="n"/>
      <c r="L383" s="10" t="n"/>
      <c r="M383" s="238" t="inlineStr">
        <is>
          <t>INSIGHT ENERGY</t>
        </is>
      </c>
      <c r="N383" s="237" t="n"/>
      <c r="O383" s="1276" t="n"/>
      <c r="P383" s="1277" t="n"/>
      <c r="Q383" s="1276" t="n"/>
      <c r="R383" s="1277" t="n"/>
      <c r="S383" s="1278" t="n"/>
      <c r="T383" s="1277" t="n"/>
      <c r="U383" s="1278" t="n"/>
      <c r="V383" s="1279">
        <f>G383*H383</f>
        <v/>
      </c>
    </row>
    <row r="384" ht="15" customFormat="1" customHeight="1" s="353">
      <c r="A384" s="341" t="n"/>
      <c r="B384" s="340" t="n"/>
      <c r="C384" s="340" t="inlineStr">
        <is>
          <t>.</t>
        </is>
      </c>
      <c r="D384" s="340" t="n"/>
      <c r="E384" s="342" t="n"/>
      <c r="F384" s="343" t="n"/>
      <c r="G384" s="344" t="n"/>
      <c r="H384" s="1267" t="n"/>
      <c r="I384" s="316" t="n"/>
      <c r="J384" s="345" t="n"/>
      <c r="K384" s="345" t="n"/>
      <c r="L384" s="346" t="n"/>
      <c r="M384" s="347" t="n"/>
      <c r="N384" s="348" t="n"/>
      <c r="O384" s="1269" t="n"/>
      <c r="P384" s="1270" t="n"/>
      <c r="Q384" s="1269" t="n"/>
      <c r="R384" s="1270" t="n"/>
      <c r="S384" s="1271" t="n"/>
      <c r="T384" s="1270" t="n"/>
      <c r="U384" s="1271" t="n"/>
      <c r="V384" s="1272" t="n"/>
    </row>
    <row r="385" ht="15" customHeight="1">
      <c r="A385" s="95" t="inlineStr">
        <is>
          <t>2.21.05</t>
        </is>
      </c>
      <c r="B385" s="80" t="inlineStr">
        <is>
          <t>SERVIÇO</t>
        </is>
      </c>
      <c r="C385" s="80" t="n"/>
      <c r="D385" s="80" t="n"/>
      <c r="E385" s="81" t="inlineStr">
        <is>
          <t>Adequação civis do Depósito de Óleo</t>
        </is>
      </c>
      <c r="F385" s="83" t="inlineStr">
        <is>
          <t>VB.</t>
        </is>
      </c>
      <c r="G385" s="23" t="n">
        <v>1</v>
      </c>
      <c r="H385" s="1289" t="n">
        <v>90167.16</v>
      </c>
      <c r="I385" s="367" t="n"/>
      <c r="J385" s="9" t="n"/>
      <c r="K385" s="9" t="n"/>
      <c r="L385" s="10" t="n"/>
      <c r="M385" s="238" t="inlineStr">
        <is>
          <t>INSIGHT ENERGY</t>
        </is>
      </c>
      <c r="N385" s="237" t="n"/>
      <c r="O385" s="1276" t="n"/>
      <c r="P385" s="1277" t="n"/>
      <c r="Q385" s="1276" t="n"/>
      <c r="R385" s="1277" t="n"/>
      <c r="S385" s="1278" t="n"/>
      <c r="T385" s="1277" t="n"/>
      <c r="U385" s="1278" t="n"/>
      <c r="V385" s="1279">
        <f>G385*H385</f>
        <v/>
      </c>
    </row>
    <row r="386" ht="15" customFormat="1" customHeight="1" s="353">
      <c r="A386" s="341" t="n"/>
      <c r="B386" s="340" t="n"/>
      <c r="C386" s="340" t="inlineStr">
        <is>
          <t>.</t>
        </is>
      </c>
      <c r="D386" s="340" t="n"/>
      <c r="E386" s="342" t="n"/>
      <c r="F386" s="343" t="n"/>
      <c r="G386" s="344" t="n"/>
      <c r="H386" s="1267" t="n"/>
      <c r="I386" s="316" t="n"/>
      <c r="J386" s="345" t="n"/>
      <c r="K386" s="345" t="n"/>
      <c r="L386" s="346" t="n"/>
      <c r="M386" s="347" t="n"/>
      <c r="N386" s="348" t="n"/>
      <c r="O386" s="1269" t="n"/>
      <c r="P386" s="1270" t="n"/>
      <c r="Q386" s="1269" t="n"/>
      <c r="R386" s="1270" t="n"/>
      <c r="S386" s="1271" t="n"/>
      <c r="T386" s="1270" t="n"/>
      <c r="U386" s="1271" t="n"/>
      <c r="V386" s="1272" t="n"/>
    </row>
    <row r="387" ht="27.6" customHeight="1">
      <c r="A387" s="95" t="inlineStr">
        <is>
          <t>2.21.06</t>
        </is>
      </c>
      <c r="B387" s="80" t="inlineStr">
        <is>
          <t>SERVIÇO</t>
        </is>
      </c>
      <c r="C387" s="80" t="n"/>
      <c r="D387" s="80" t="n"/>
      <c r="E387" s="81" t="inlineStr">
        <is>
          <t>Construção de edícula para equipamentos e base para instalação de câmeras - Barramento de Guanhães</t>
        </is>
      </c>
      <c r="F387" s="83" t="inlineStr">
        <is>
          <t>VB.</t>
        </is>
      </c>
      <c r="G387" s="23" t="n">
        <v>1</v>
      </c>
      <c r="H387" s="1289" t="n">
        <v>90167.16</v>
      </c>
      <c r="I387" s="367" t="n"/>
      <c r="J387" s="9" t="n"/>
      <c r="K387" s="9" t="n"/>
      <c r="L387" s="10" t="n"/>
      <c r="M387" s="238" t="inlineStr">
        <is>
          <t>INSIGHT ENERGY</t>
        </is>
      </c>
      <c r="N387" s="237" t="n"/>
      <c r="O387" s="1276" t="n"/>
      <c r="P387" s="1277" t="n"/>
      <c r="Q387" s="1276" t="n"/>
      <c r="R387" s="1277" t="n"/>
      <c r="S387" s="1278" t="n"/>
      <c r="T387" s="1277" t="n"/>
      <c r="U387" s="1278" t="n"/>
      <c r="V387" s="1279">
        <f>G387*H387</f>
        <v/>
      </c>
    </row>
    <row r="388" ht="15" customFormat="1" customHeight="1" s="353">
      <c r="A388" s="341" t="n"/>
      <c r="B388" s="340" t="n"/>
      <c r="C388" s="340" t="inlineStr">
        <is>
          <t>.</t>
        </is>
      </c>
      <c r="D388" s="340" t="n"/>
      <c r="E388" s="342" t="n"/>
      <c r="F388" s="343" t="n"/>
      <c r="G388" s="344" t="n"/>
      <c r="H388" s="1267" t="n"/>
      <c r="I388" s="316" t="n"/>
      <c r="J388" s="345" t="n"/>
      <c r="K388" s="345" t="n"/>
      <c r="L388" s="346" t="n"/>
      <c r="M388" s="347" t="n"/>
      <c r="N388" s="348" t="n"/>
      <c r="O388" s="1269" t="n"/>
      <c r="P388" s="1270" t="n"/>
      <c r="Q388" s="1269" t="n"/>
      <c r="R388" s="1270" t="n"/>
      <c r="S388" s="1271" t="n"/>
      <c r="T388" s="1270" t="n"/>
      <c r="U388" s="1271" t="n"/>
      <c r="V388" s="1272" t="n"/>
    </row>
    <row r="389" ht="27.6" customHeight="1">
      <c r="A389" s="95" t="inlineStr">
        <is>
          <t>2.21.07</t>
        </is>
      </c>
      <c r="B389" s="80" t="inlineStr">
        <is>
          <t>SERVIÇO</t>
        </is>
      </c>
      <c r="C389" s="80" t="n"/>
      <c r="D389" s="80" t="n"/>
      <c r="E389" s="81" t="inlineStr">
        <is>
          <t>Construção de edícula para equipamentos e base para instalação de câmeras - Barramento de Santo Antônio</t>
        </is>
      </c>
      <c r="F389" s="83" t="inlineStr">
        <is>
          <t>VB.</t>
        </is>
      </c>
      <c r="G389" s="23" t="n">
        <v>1</v>
      </c>
      <c r="H389" s="1289" t="n">
        <v>90167.16</v>
      </c>
      <c r="I389" s="367" t="n"/>
      <c r="J389" s="9" t="n"/>
      <c r="K389" s="9" t="n"/>
      <c r="L389" s="10" t="n"/>
      <c r="M389" s="238" t="inlineStr">
        <is>
          <t>INSIGHT ENERGY</t>
        </is>
      </c>
      <c r="N389" s="237" t="n"/>
      <c r="O389" s="1276" t="n"/>
      <c r="P389" s="1277" t="n"/>
      <c r="Q389" s="1276" t="n"/>
      <c r="R389" s="1277" t="n"/>
      <c r="S389" s="1278" t="n"/>
      <c r="T389" s="1277" t="n"/>
      <c r="U389" s="1278" t="n"/>
      <c r="V389" s="1279">
        <f>G389*H389</f>
        <v/>
      </c>
    </row>
    <row r="390" ht="15" customFormat="1" customHeight="1" s="353">
      <c r="A390" s="341" t="n"/>
      <c r="B390" s="340" t="n"/>
      <c r="C390" s="340" t="inlineStr">
        <is>
          <t>.</t>
        </is>
      </c>
      <c r="D390" s="340" t="n"/>
      <c r="E390" s="342" t="n"/>
      <c r="F390" s="343" t="n"/>
      <c r="G390" s="344" t="n"/>
      <c r="H390" s="1267" t="n"/>
      <c r="I390" s="316" t="n"/>
      <c r="J390" s="345" t="n"/>
      <c r="K390" s="345" t="n"/>
      <c r="L390" s="346" t="n"/>
      <c r="M390" s="347" t="n"/>
      <c r="N390" s="348" t="n"/>
      <c r="O390" s="1269" t="n"/>
      <c r="P390" s="1270" t="n"/>
      <c r="Q390" s="1269" t="n"/>
      <c r="R390" s="1270" t="n"/>
      <c r="S390" s="1271" t="n"/>
      <c r="T390" s="1270" t="n"/>
      <c r="U390" s="1271" t="n"/>
      <c r="V390" s="1272" t="n"/>
    </row>
    <row r="391" ht="15" customHeight="1">
      <c r="A391" s="95" t="inlineStr">
        <is>
          <t>2.21.08</t>
        </is>
      </c>
      <c r="B391" s="80" t="inlineStr">
        <is>
          <t>SERVIÇO</t>
        </is>
      </c>
      <c r="C391" s="80" t="n"/>
      <c r="D391" s="80" t="n"/>
      <c r="E391" s="81" t="inlineStr">
        <is>
          <t>Construção de edícula para equipamentos na Tomada D'água Santo Antônio</t>
        </is>
      </c>
      <c r="F391" s="83" t="inlineStr">
        <is>
          <t>VB.</t>
        </is>
      </c>
      <c r="G391" s="23" t="n">
        <v>1</v>
      </c>
      <c r="H391" s="1289" t="n">
        <v>108200.59</v>
      </c>
      <c r="I391" s="367" t="n"/>
      <c r="J391" s="9" t="n"/>
      <c r="K391" s="9" t="n"/>
      <c r="L391" s="10" t="n"/>
      <c r="M391" s="238" t="inlineStr">
        <is>
          <t>INSIGHT ENERGY</t>
        </is>
      </c>
      <c r="N391" s="237" t="n"/>
      <c r="O391" s="1276" t="n"/>
      <c r="P391" s="1277" t="n"/>
      <c r="Q391" s="1276" t="n"/>
      <c r="R391" s="1277" t="n"/>
      <c r="S391" s="1278" t="n"/>
      <c r="T391" s="1277" t="n"/>
      <c r="U391" s="1278" t="n"/>
      <c r="V391" s="1279">
        <f>G391*H391</f>
        <v/>
      </c>
    </row>
    <row r="392" ht="15" customFormat="1" customHeight="1" s="353">
      <c r="A392" s="341" t="n"/>
      <c r="B392" s="340" t="n"/>
      <c r="C392" s="340" t="inlineStr">
        <is>
          <t>.</t>
        </is>
      </c>
      <c r="D392" s="340" t="n"/>
      <c r="E392" s="342" t="n"/>
      <c r="F392" s="343" t="n"/>
      <c r="G392" s="344" t="n"/>
      <c r="H392" s="1267" t="n"/>
      <c r="I392" s="316" t="n"/>
      <c r="J392" s="345" t="n"/>
      <c r="K392" s="345" t="n"/>
      <c r="L392" s="346" t="n"/>
      <c r="M392" s="347" t="n"/>
      <c r="N392" s="348" t="n"/>
      <c r="O392" s="1269" t="n"/>
      <c r="P392" s="1270" t="n"/>
      <c r="Q392" s="1269" t="n"/>
      <c r="R392" s="1270" t="n"/>
      <c r="S392" s="1271" t="n"/>
      <c r="T392" s="1270" t="n"/>
      <c r="U392" s="1271" t="n"/>
      <c r="V392" s="1272" t="n"/>
    </row>
    <row r="393" ht="15" customHeight="1">
      <c r="A393" s="95" t="inlineStr">
        <is>
          <t>2.21.09</t>
        </is>
      </c>
      <c r="B393" s="80" t="inlineStr">
        <is>
          <t>SERVIÇO</t>
        </is>
      </c>
      <c r="C393" s="80" t="n"/>
      <c r="D393" s="80" t="n"/>
      <c r="E393" s="81" t="inlineStr">
        <is>
          <t>Construção de abrigo para GMG da casa de força</t>
        </is>
      </c>
      <c r="F393" s="83" t="inlineStr">
        <is>
          <t>VB.</t>
        </is>
      </c>
      <c r="G393" s="23" t="n">
        <v>1</v>
      </c>
      <c r="H393" s="1289" t="n">
        <v>58343.46</v>
      </c>
      <c r="I393" s="367" t="n"/>
      <c r="J393" s="9" t="n"/>
      <c r="K393" s="9" t="n"/>
      <c r="L393" s="10" t="n"/>
      <c r="M393" s="238" t="inlineStr">
        <is>
          <t>INSIGHT ENERGY</t>
        </is>
      </c>
      <c r="N393" s="237" t="n"/>
      <c r="O393" s="1276" t="n"/>
      <c r="P393" s="1277" t="n"/>
      <c r="Q393" s="1276" t="n"/>
      <c r="R393" s="1277" t="n"/>
      <c r="S393" s="1278" t="n"/>
      <c r="T393" s="1277" t="n"/>
      <c r="U393" s="1278" t="n"/>
      <c r="V393" s="1279">
        <f>G393*H393</f>
        <v/>
      </c>
    </row>
    <row r="394" ht="15" customFormat="1" customHeight="1" s="353">
      <c r="A394" s="341" t="n"/>
      <c r="B394" s="340" t="n"/>
      <c r="C394" s="340" t="inlineStr">
        <is>
          <t>.</t>
        </is>
      </c>
      <c r="D394" s="340" t="n"/>
      <c r="E394" s="342" t="n"/>
      <c r="F394" s="343" t="n"/>
      <c r="G394" s="344" t="n"/>
      <c r="H394" s="1267" t="n"/>
      <c r="I394" s="316" t="n"/>
      <c r="J394" s="345" t="n"/>
      <c r="K394" s="345" t="n"/>
      <c r="L394" s="346" t="n"/>
      <c r="M394" s="347" t="n"/>
      <c r="N394" s="348" t="n"/>
      <c r="O394" s="1269" t="n"/>
      <c r="P394" s="1270" t="n"/>
      <c r="Q394" s="1269" t="n"/>
      <c r="R394" s="1270" t="n"/>
      <c r="S394" s="1271" t="n"/>
      <c r="T394" s="1270" t="n"/>
      <c r="U394" s="1271" t="n"/>
      <c r="V394" s="1272" t="n"/>
    </row>
    <row r="395" ht="15" customHeight="1">
      <c r="A395" s="95" t="inlineStr">
        <is>
          <t>2.21.10</t>
        </is>
      </c>
      <c r="B395" s="80" t="inlineStr">
        <is>
          <t>SERVIÇO</t>
        </is>
      </c>
      <c r="C395" s="80" t="n"/>
      <c r="D395" s="80" t="n"/>
      <c r="E395" s="81" t="inlineStr">
        <is>
          <t>Revitalização do piso da casa de força</t>
        </is>
      </c>
      <c r="F395" s="83" t="inlineStr">
        <is>
          <t>VB.</t>
        </is>
      </c>
      <c r="G395" s="23" t="n">
        <v>1</v>
      </c>
      <c r="H395" s="1289" t="n">
        <v>469504.5</v>
      </c>
      <c r="I395" s="367" t="n"/>
      <c r="J395" s="9" t="n"/>
      <c r="K395" s="9" t="n"/>
      <c r="L395" s="10" t="n"/>
      <c r="M395" s="238" t="inlineStr">
        <is>
          <t>INSIGHT ENERGY</t>
        </is>
      </c>
      <c r="N395" s="237" t="n"/>
      <c r="O395" s="1276" t="n"/>
      <c r="P395" s="1277" t="n"/>
      <c r="Q395" s="1276" t="n"/>
      <c r="R395" s="1277" t="n"/>
      <c r="S395" s="1278" t="n"/>
      <c r="T395" s="1277" t="n"/>
      <c r="U395" s="1278" t="n"/>
      <c r="V395" s="1279">
        <f>G395*H395</f>
        <v/>
      </c>
    </row>
    <row r="396" ht="15" customFormat="1" customHeight="1" s="353">
      <c r="A396" s="341" t="n"/>
      <c r="B396" s="340" t="n"/>
      <c r="C396" s="340" t="inlineStr">
        <is>
          <t>.</t>
        </is>
      </c>
      <c r="D396" s="340" t="n"/>
      <c r="E396" s="342" t="n"/>
      <c r="F396" s="343" t="n"/>
      <c r="G396" s="344" t="n"/>
      <c r="H396" s="1267" t="n"/>
      <c r="I396" s="316" t="n"/>
      <c r="J396" s="345" t="n"/>
      <c r="K396" s="345" t="n"/>
      <c r="L396" s="346" t="n"/>
      <c r="M396" s="347" t="n"/>
      <c r="N396" s="348" t="n"/>
      <c r="O396" s="1269" t="n"/>
      <c r="P396" s="1270" t="n"/>
      <c r="Q396" s="1269" t="n"/>
      <c r="R396" s="1270" t="n"/>
      <c r="S396" s="1271" t="n"/>
      <c r="T396" s="1270" t="n"/>
      <c r="U396" s="1271" t="n"/>
      <c r="V396" s="1272" t="n"/>
    </row>
    <row r="397" ht="27.6" customHeight="1">
      <c r="A397" s="95" t="inlineStr">
        <is>
          <t>2.21.11</t>
        </is>
      </c>
      <c r="B397" s="80" t="inlineStr">
        <is>
          <t>SERVIÇO</t>
        </is>
      </c>
      <c r="C397" s="80" t="n"/>
      <c r="D397" s="80" t="n"/>
      <c r="E397" s="81" t="inlineStr">
        <is>
          <t>Adequação das Escadas e Passarela de Acesso às Edículas da Chaminé de Equilíbrio</t>
        </is>
      </c>
      <c r="F397" s="83" t="inlineStr">
        <is>
          <t>VB.</t>
        </is>
      </c>
      <c r="G397" s="23" t="n">
        <v>1</v>
      </c>
      <c r="H397" s="1289" t="n">
        <v>272623.07</v>
      </c>
      <c r="I397" s="367" t="n"/>
      <c r="J397" s="9" t="n"/>
      <c r="K397" s="9" t="n"/>
      <c r="L397" s="10" t="n"/>
      <c r="M397" s="238" t="inlineStr">
        <is>
          <t>INSIGHT ENERGY</t>
        </is>
      </c>
      <c r="N397" s="237" t="n"/>
      <c r="O397" s="1276" t="n"/>
      <c r="P397" s="1277" t="n"/>
      <c r="Q397" s="1276" t="n"/>
      <c r="R397" s="1277" t="n"/>
      <c r="S397" s="1278" t="n"/>
      <c r="T397" s="1277" t="n"/>
      <c r="U397" s="1278" t="n"/>
      <c r="V397" s="1279">
        <f>G397*H397</f>
        <v/>
      </c>
    </row>
    <row r="398" ht="15" customFormat="1" customHeight="1" s="353">
      <c r="A398" s="341" t="n"/>
      <c r="B398" s="340" t="n"/>
      <c r="C398" s="340" t="inlineStr">
        <is>
          <t>.</t>
        </is>
      </c>
      <c r="D398" s="340" t="n"/>
      <c r="E398" s="342" t="n"/>
      <c r="F398" s="343" t="n"/>
      <c r="G398" s="344" t="n"/>
      <c r="H398" s="1267" t="n"/>
      <c r="I398" s="316" t="n"/>
      <c r="J398" s="345" t="n"/>
      <c r="K398" s="345" t="n"/>
      <c r="L398" s="346" t="n"/>
      <c r="M398" s="347" t="n"/>
      <c r="N398" s="348" t="n"/>
      <c r="O398" s="1269" t="n"/>
      <c r="P398" s="1270" t="n"/>
      <c r="Q398" s="1269" t="n"/>
      <c r="R398" s="1270" t="n"/>
      <c r="S398" s="1271" t="n"/>
      <c r="T398" s="1270" t="n"/>
      <c r="U398" s="1271" t="n"/>
      <c r="V398" s="1272" t="n"/>
    </row>
    <row r="399" ht="27.6" customHeight="1">
      <c r="A399" s="95" t="inlineStr">
        <is>
          <t>2.21.12</t>
        </is>
      </c>
      <c r="B399" s="80" t="inlineStr">
        <is>
          <t>SERVIÇO</t>
        </is>
      </c>
      <c r="C399" s="80" t="n"/>
      <c r="D399" s="80" t="n"/>
      <c r="E399" s="81" t="inlineStr">
        <is>
          <t>Adequações civis para substituição da válvula de equilíbrio de pressão e respectivas tubulações da Chaminé de Equilíbrio</t>
        </is>
      </c>
      <c r="F399" s="83" t="inlineStr">
        <is>
          <t>VB.</t>
        </is>
      </c>
      <c r="G399" s="23" t="n">
        <v>1</v>
      </c>
      <c r="H399" s="1289" t="n">
        <v>115848.89</v>
      </c>
      <c r="I399" s="367" t="n"/>
      <c r="J399" s="9" t="n"/>
      <c r="K399" s="9" t="n"/>
      <c r="L399" s="10" t="n"/>
      <c r="M399" s="238" t="inlineStr">
        <is>
          <t>INSIGHT ENERGY</t>
        </is>
      </c>
      <c r="N399" s="237" t="n"/>
      <c r="O399" s="1276" t="n"/>
      <c r="P399" s="1277" t="n"/>
      <c r="Q399" s="1276" t="n"/>
      <c r="R399" s="1277" t="n"/>
      <c r="S399" s="1278" t="n"/>
      <c r="T399" s="1277" t="n"/>
      <c r="U399" s="1278" t="n"/>
      <c r="V399" s="1279">
        <f>G399*H399</f>
        <v/>
      </c>
    </row>
    <row r="400" ht="15" customFormat="1" customHeight="1" s="353">
      <c r="A400" s="341" t="n"/>
      <c r="B400" s="340" t="n"/>
      <c r="C400" s="340" t="inlineStr">
        <is>
          <t>.</t>
        </is>
      </c>
      <c r="D400" s="340" t="n"/>
      <c r="E400" s="342" t="n"/>
      <c r="F400" s="343" t="n"/>
      <c r="G400" s="344" t="n"/>
      <c r="H400" s="1267" t="n"/>
      <c r="I400" s="316" t="n"/>
      <c r="J400" s="345" t="n"/>
      <c r="K400" s="345" t="n"/>
      <c r="L400" s="346" t="n"/>
      <c r="M400" s="347" t="n"/>
      <c r="N400" s="348" t="n"/>
      <c r="O400" s="1269" t="n"/>
      <c r="P400" s="1270" t="n"/>
      <c r="Q400" s="1269" t="n"/>
      <c r="R400" s="1270" t="n"/>
      <c r="S400" s="1271" t="n"/>
      <c r="T400" s="1270" t="n"/>
      <c r="U400" s="1271" t="n"/>
      <c r="V400" s="1272" t="n"/>
    </row>
    <row r="401" ht="15" customHeight="1">
      <c r="A401" s="95" t="inlineStr">
        <is>
          <t>2.21.13</t>
        </is>
      </c>
      <c r="B401" s="80" t="inlineStr">
        <is>
          <t>SERVIÇO</t>
        </is>
      </c>
      <c r="C401" s="80" t="n"/>
      <c r="D401" s="80" t="n"/>
      <c r="E401" s="81" t="inlineStr">
        <is>
          <t>Desmobilização final e limpeza da obra</t>
        </is>
      </c>
      <c r="F401" s="83" t="inlineStr">
        <is>
          <t>VB.</t>
        </is>
      </c>
      <c r="G401" s="23" t="n">
        <v>1</v>
      </c>
      <c r="H401" s="1289" t="n">
        <v>111382.97</v>
      </c>
      <c r="I401" s="367" t="n"/>
      <c r="J401" s="9" t="n"/>
      <c r="K401" s="9" t="n"/>
      <c r="L401" s="10" t="n"/>
      <c r="M401" s="238" t="inlineStr">
        <is>
          <t>INSIGHT ENERGY</t>
        </is>
      </c>
      <c r="N401" s="237" t="n"/>
      <c r="O401" s="1276" t="n"/>
      <c r="P401" s="1277" t="n"/>
      <c r="Q401" s="1276" t="n"/>
      <c r="R401" s="1277" t="n"/>
      <c r="S401" s="1278" t="n"/>
      <c r="T401" s="1277" t="n"/>
      <c r="U401" s="1278" t="n"/>
      <c r="V401" s="1279">
        <f>G401*H401</f>
        <v/>
      </c>
    </row>
    <row r="402" ht="15.6" customFormat="1" customHeight="1" s="353" thickBot="1">
      <c r="A402" s="341" t="n"/>
      <c r="B402" s="340" t="n"/>
      <c r="C402" s="340" t="inlineStr">
        <is>
          <t>.</t>
        </is>
      </c>
      <c r="D402" s="340" t="n"/>
      <c r="E402" s="342" t="n"/>
      <c r="F402" s="343" t="n"/>
      <c r="G402" s="344" t="n"/>
      <c r="H402" s="1267" t="n"/>
      <c r="I402" s="316" t="n"/>
      <c r="J402" s="1268" t="n"/>
      <c r="K402" s="345" t="n"/>
      <c r="L402" s="346" t="n"/>
      <c r="M402" s="347" t="n"/>
      <c r="N402" s="348" t="n"/>
      <c r="O402" s="1269" t="n"/>
      <c r="P402" s="1270" t="n"/>
      <c r="Q402" s="1269" t="n"/>
      <c r="R402" s="1270" t="n"/>
      <c r="S402" s="1271" t="n"/>
      <c r="T402" s="1270" t="n"/>
      <c r="U402" s="1271" t="n"/>
      <c r="V402" s="1272" t="n"/>
    </row>
    <row r="403" ht="16.2" customHeight="1" thickBot="1">
      <c r="A403" s="379" t="inlineStr">
        <is>
          <t>2.22 - Disjuntores e Secionadores de 145kV</t>
        </is>
      </c>
      <c r="B403" s="380" t="n"/>
      <c r="C403" s="380" t="n"/>
      <c r="D403" s="380" t="n"/>
      <c r="E403" s="380" t="n"/>
      <c r="F403" s="380" t="n"/>
      <c r="G403" s="380" t="n"/>
      <c r="H403" s="380" t="n"/>
      <c r="I403" s="381" t="n"/>
      <c r="J403" s="1258" t="n"/>
      <c r="K403" s="380" t="n"/>
      <c r="L403" s="380" t="n"/>
      <c r="M403" s="385" t="n"/>
      <c r="N403" s="380" t="n"/>
      <c r="O403" s="383" t="n"/>
      <c r="P403" s="380" t="n"/>
      <c r="Q403" s="383" t="n"/>
      <c r="R403" s="380" t="n"/>
      <c r="S403" s="380" t="n"/>
      <c r="T403" s="380" t="n"/>
      <c r="U403" s="384" t="n"/>
      <c r="V403" s="1259">
        <f>SUM(V404:V414)</f>
        <v/>
      </c>
      <c r="W403" s="1260" t="n"/>
    </row>
    <row r="404" ht="15" customHeight="1">
      <c r="A404" s="89" t="inlineStr">
        <is>
          <t>2.22.01</t>
        </is>
      </c>
      <c r="B404" s="90" t="inlineStr">
        <is>
          <t>SERVIÇO</t>
        </is>
      </c>
      <c r="C404" s="90" t="n"/>
      <c r="D404" s="90" t="n"/>
      <c r="E404" s="81" t="inlineStr">
        <is>
          <t>Engenharia e projeto executivo</t>
        </is>
      </c>
      <c r="F404" s="91" t="inlineStr">
        <is>
          <t>VB.</t>
        </is>
      </c>
      <c r="G404" s="91" t="n">
        <v>1</v>
      </c>
      <c r="H404" s="1289" t="n">
        <v>393711.2</v>
      </c>
      <c r="I404" s="367" t="n"/>
      <c r="J404" s="1275" t="n"/>
      <c r="K404" s="9" t="n"/>
      <c r="L404" s="10" t="n"/>
      <c r="M404" s="238" t="inlineStr">
        <is>
          <t>INSIGHT ENERGY</t>
        </is>
      </c>
      <c r="N404" s="237" t="n"/>
      <c r="O404" s="1276" t="n"/>
      <c r="P404" s="1277" t="n"/>
      <c r="Q404" s="1276" t="n"/>
      <c r="R404" s="1277" t="n"/>
      <c r="S404" s="1278" t="n"/>
      <c r="T404" s="1277" t="n"/>
      <c r="U404" s="1278" t="n"/>
      <c r="V404" s="1279">
        <f>G404*H404</f>
        <v/>
      </c>
      <c r="W404" s="1260" t="n"/>
    </row>
    <row r="405" ht="15" customFormat="1" customHeight="1" s="353">
      <c r="A405" s="341" t="n"/>
      <c r="B405" s="340" t="n"/>
      <c r="C405" s="340" t="inlineStr">
        <is>
          <t>.</t>
        </is>
      </c>
      <c r="D405" s="340" t="n"/>
      <c r="E405" s="342" t="n"/>
      <c r="F405" s="343" t="n"/>
      <c r="G405" s="344" t="n"/>
      <c r="H405" s="1267" t="n"/>
      <c r="I405" s="316" t="n"/>
      <c r="J405" s="1268" t="n"/>
      <c r="K405" s="345" t="n"/>
      <c r="L405" s="346" t="n"/>
      <c r="M405" s="347" t="n"/>
      <c r="N405" s="348" t="n"/>
      <c r="O405" s="1269" t="n"/>
      <c r="P405" s="1270" t="n"/>
      <c r="Q405" s="1269" t="n"/>
      <c r="R405" s="1270" t="n"/>
      <c r="S405" s="1271" t="n"/>
      <c r="T405" s="1270" t="n"/>
      <c r="U405" s="1271" t="n"/>
      <c r="V405" s="1272" t="n"/>
    </row>
    <row r="406" ht="15" customHeight="1">
      <c r="A406" s="89" t="inlineStr">
        <is>
          <t>2.22.02</t>
        </is>
      </c>
      <c r="B406" s="90" t="inlineStr">
        <is>
          <t>SERVIÇO</t>
        </is>
      </c>
      <c r="C406" s="90" t="n"/>
      <c r="D406" s="90" t="n"/>
      <c r="E406" s="81" t="inlineStr">
        <is>
          <t>Desmontagem e montagem eletromecânica completa</t>
        </is>
      </c>
      <c r="F406" s="91" t="inlineStr">
        <is>
          <t>VB.</t>
        </is>
      </c>
      <c r="G406" s="91" t="n">
        <v>1</v>
      </c>
      <c r="H406" s="1289" t="n">
        <v>2354192.1</v>
      </c>
      <c r="I406" s="367" t="n"/>
      <c r="J406" s="1275" t="n"/>
      <c r="K406" s="9" t="n"/>
      <c r="L406" s="10" t="n"/>
      <c r="M406" s="238" t="inlineStr">
        <is>
          <t>INSIGHT ENERGY</t>
        </is>
      </c>
      <c r="N406" s="237" t="n"/>
      <c r="O406" s="1276" t="n"/>
      <c r="P406" s="1277" t="n"/>
      <c r="Q406" s="1276" t="n"/>
      <c r="R406" s="1277" t="n"/>
      <c r="S406" s="1278" t="n"/>
      <c r="T406" s="1277" t="n"/>
      <c r="U406" s="1278" t="n"/>
      <c r="V406" s="1279">
        <f>G406*H406</f>
        <v/>
      </c>
    </row>
    <row r="407" ht="15" customFormat="1" customHeight="1" s="353">
      <c r="A407" s="341" t="n"/>
      <c r="B407" s="340" t="n"/>
      <c r="C407" s="340" t="inlineStr">
        <is>
          <t>.</t>
        </is>
      </c>
      <c r="D407" s="340" t="n"/>
      <c r="E407" s="342" t="n"/>
      <c r="F407" s="343" t="n"/>
      <c r="G407" s="344" t="n"/>
      <c r="H407" s="1267" t="n"/>
      <c r="I407" s="316" t="n"/>
      <c r="J407" s="1268" t="n"/>
      <c r="K407" s="345" t="n"/>
      <c r="L407" s="346" t="n"/>
      <c r="M407" s="347" t="n"/>
      <c r="N407" s="348" t="n"/>
      <c r="O407" s="1269" t="n"/>
      <c r="P407" s="1270" t="n"/>
      <c r="Q407" s="1269" t="n"/>
      <c r="R407" s="1270" t="n"/>
      <c r="S407" s="1271" t="n"/>
      <c r="T407" s="1270" t="n"/>
      <c r="U407" s="1271" t="n"/>
      <c r="V407" s="1272" t="n"/>
    </row>
    <row r="408" ht="15" customHeight="1">
      <c r="A408" s="89" t="inlineStr">
        <is>
          <t>2.22.03</t>
        </is>
      </c>
      <c r="B408" s="90" t="inlineStr">
        <is>
          <t>SERVIÇO</t>
        </is>
      </c>
      <c r="C408" s="90" t="n"/>
      <c r="D408" s="90" t="n"/>
      <c r="E408" s="81" t="inlineStr">
        <is>
          <t>Supervisão, ensaios de campo e comissionamento</t>
        </is>
      </c>
      <c r="F408" s="91" t="inlineStr">
        <is>
          <t>VB.</t>
        </is>
      </c>
      <c r="G408" s="91" t="n">
        <v>1</v>
      </c>
      <c r="H408" s="1289" t="n">
        <v>144000</v>
      </c>
      <c r="I408" s="367" t="n"/>
      <c r="J408" s="1275" t="n"/>
      <c r="K408" s="9" t="n"/>
      <c r="L408" s="10" t="n"/>
      <c r="M408" s="238" t="inlineStr">
        <is>
          <t>SIEYUAN</t>
        </is>
      </c>
      <c r="N408" s="237" t="n"/>
      <c r="O408" s="1276" t="n"/>
      <c r="P408" s="1277" t="n"/>
      <c r="Q408" s="1276" t="n"/>
      <c r="R408" s="1277" t="n"/>
      <c r="S408" s="1278" t="n"/>
      <c r="T408" s="1277" t="n"/>
      <c r="U408" s="1278" t="n"/>
      <c r="V408" s="1279">
        <f>G408*H408</f>
        <v/>
      </c>
    </row>
    <row r="409" ht="15" customFormat="1" customHeight="1" s="353">
      <c r="A409" s="341" t="n"/>
      <c r="B409" s="340" t="n"/>
      <c r="C409" s="340" t="inlineStr">
        <is>
          <t>.</t>
        </is>
      </c>
      <c r="D409" s="340" t="n"/>
      <c r="E409" s="342" t="n"/>
      <c r="F409" s="343" t="n"/>
      <c r="G409" s="344" t="n"/>
      <c r="H409" s="1267" t="n"/>
      <c r="I409" s="316" t="n"/>
      <c r="J409" s="1268" t="n"/>
      <c r="K409" s="345" t="n"/>
      <c r="L409" s="346" t="n"/>
      <c r="M409" s="347" t="n"/>
      <c r="N409" s="348" t="n"/>
      <c r="O409" s="1269" t="n"/>
      <c r="P409" s="1270" t="n"/>
      <c r="Q409" s="1269" t="n"/>
      <c r="R409" s="1270" t="n"/>
      <c r="S409" s="1271" t="n"/>
      <c r="T409" s="1270" t="n"/>
      <c r="U409" s="1271" t="n"/>
      <c r="V409" s="1272" t="n"/>
    </row>
    <row r="410" ht="15" customHeight="1">
      <c r="A410" s="89" t="inlineStr">
        <is>
          <t>2.22.04</t>
        </is>
      </c>
      <c r="B410" s="90" t="inlineStr">
        <is>
          <t>MATERIAL</t>
        </is>
      </c>
      <c r="C410" s="90" t="n"/>
      <c r="D410" s="90" t="n"/>
      <c r="E410" s="81" t="inlineStr">
        <is>
          <t>Secionadores tripolares motorizados, 145kV</t>
        </is>
      </c>
      <c r="F410" s="91" t="inlineStr">
        <is>
          <t>CJ.</t>
        </is>
      </c>
      <c r="G410" s="91" t="n">
        <v>4</v>
      </c>
      <c r="H410" s="1289" t="n">
        <v>65535.1775</v>
      </c>
      <c r="I410" s="367" t="n"/>
      <c r="J410" s="1275" t="n"/>
      <c r="K410" s="1278" t="n"/>
      <c r="L410" s="1277" t="n"/>
      <c r="M410" s="238" t="inlineStr">
        <is>
          <t>SIEYUAN</t>
        </is>
      </c>
      <c r="N410" s="237" t="n"/>
      <c r="O410" s="302" t="n"/>
      <c r="P410" s="309" t="n"/>
      <c r="Q410" s="310" t="n"/>
      <c r="R410" s="310" t="n"/>
      <c r="S410" s="311" t="n"/>
      <c r="T410" s="311" t="n"/>
      <c r="U410" s="309" t="n"/>
      <c r="V410" s="1279">
        <f>G410*H410</f>
        <v/>
      </c>
      <c r="W410" s="1290" t="n"/>
    </row>
    <row r="411" ht="15" customFormat="1" customHeight="1" s="353">
      <c r="A411" s="341" t="n"/>
      <c r="B411" s="340" t="n"/>
      <c r="C411" s="340" t="inlineStr">
        <is>
          <t>.</t>
        </is>
      </c>
      <c r="D411" s="340" t="n"/>
      <c r="E411" s="342" t="n"/>
      <c r="F411" s="343" t="n"/>
      <c r="G411" s="344" t="n"/>
      <c r="H411" s="1267" t="n"/>
      <c r="I411" s="316" t="n"/>
      <c r="J411" s="1268" t="n"/>
      <c r="K411" s="345" t="n"/>
      <c r="L411" s="346" t="n"/>
      <c r="M411" s="347" t="n"/>
      <c r="N411" s="348" t="n"/>
      <c r="O411" s="1269" t="n"/>
      <c r="P411" s="1270" t="n"/>
      <c r="Q411" s="1269" t="n"/>
      <c r="R411" s="1270" t="n"/>
      <c r="S411" s="1271" t="n"/>
      <c r="T411" s="1270" t="n"/>
      <c r="U411" s="1271" t="n"/>
      <c r="V411" s="1272" t="n"/>
      <c r="W411" s="1290" t="n"/>
    </row>
    <row r="412" ht="15" customHeight="1">
      <c r="A412" s="89" t="inlineStr">
        <is>
          <t>2.22.05</t>
        </is>
      </c>
      <c r="B412" s="90" t="inlineStr">
        <is>
          <t>MATERIAL</t>
        </is>
      </c>
      <c r="C412" s="90" t="n"/>
      <c r="D412" s="90" t="n"/>
      <c r="E412" s="81" t="inlineStr">
        <is>
          <t>Secionadores tripolares manuais, 145kV</t>
        </is>
      </c>
      <c r="F412" s="91" t="inlineStr">
        <is>
          <t>CJ.</t>
        </is>
      </c>
      <c r="G412" s="91" t="n">
        <v>8</v>
      </c>
      <c r="H412" s="1289" t="n">
        <v>35272.1</v>
      </c>
      <c r="I412" s="367" t="n"/>
      <c r="J412" s="1275" t="n"/>
      <c r="K412" s="1278" t="n"/>
      <c r="L412" s="1277" t="n"/>
      <c r="M412" s="238" t="inlineStr">
        <is>
          <t>SIEYUAN</t>
        </is>
      </c>
      <c r="N412" s="237" t="n"/>
      <c r="O412" s="302" t="n"/>
      <c r="P412" s="309" t="n"/>
      <c r="Q412" s="310" t="n"/>
      <c r="R412" s="310" t="n"/>
      <c r="S412" s="311" t="n"/>
      <c r="T412" s="311" t="n"/>
      <c r="U412" s="309" t="n"/>
      <c r="V412" s="1279">
        <f>G412*H412</f>
        <v/>
      </c>
    </row>
    <row r="413" ht="15" customFormat="1" customHeight="1" s="353">
      <c r="A413" s="341" t="n"/>
      <c r="B413" s="340" t="n"/>
      <c r="C413" s="340" t="inlineStr">
        <is>
          <t>.</t>
        </is>
      </c>
      <c r="D413" s="340" t="n"/>
      <c r="E413" s="342" t="n"/>
      <c r="F413" s="343" t="n"/>
      <c r="G413" s="344" t="n"/>
      <c r="H413" s="1267" t="n"/>
      <c r="I413" s="316" t="n"/>
      <c r="J413" s="1268" t="n"/>
      <c r="K413" s="345" t="n"/>
      <c r="L413" s="346" t="n"/>
      <c r="M413" s="347" t="n"/>
      <c r="N413" s="348" t="n"/>
      <c r="O413" s="1269" t="n"/>
      <c r="P413" s="1270" t="n"/>
      <c r="Q413" s="1269" t="n"/>
      <c r="R413" s="1270" t="n"/>
      <c r="S413" s="1271" t="n"/>
      <c r="T413" s="1270" t="n"/>
      <c r="U413" s="1271" t="n"/>
      <c r="V413" s="1272" t="n"/>
    </row>
    <row r="414" ht="15" customHeight="1">
      <c r="A414" s="89" t="inlineStr">
        <is>
          <t>2.22.06</t>
        </is>
      </c>
      <c r="B414" s="90" t="inlineStr">
        <is>
          <t>MATERIAL</t>
        </is>
      </c>
      <c r="C414" s="90" t="n"/>
      <c r="D414" s="90" t="n"/>
      <c r="E414" s="81" t="inlineStr">
        <is>
          <t>Disjuntor, SF6, 145 kV, 275/650 kV, tripolar, completo</t>
        </is>
      </c>
      <c r="F414" s="91" t="inlineStr">
        <is>
          <t>CJ.</t>
        </is>
      </c>
      <c r="G414" s="91" t="n">
        <v>4</v>
      </c>
      <c r="H414" s="1289" t="n">
        <v>133952</v>
      </c>
      <c r="I414" s="367" t="n"/>
      <c r="J414" s="1275" t="n"/>
      <c r="K414" s="1278" t="n"/>
      <c r="L414" s="1277" t="n"/>
      <c r="M414" s="238" t="inlineStr">
        <is>
          <t>SIEYUAN</t>
        </is>
      </c>
      <c r="N414" s="237" t="n"/>
      <c r="O414" s="302" t="n"/>
      <c r="P414" s="309" t="n"/>
      <c r="Q414" s="310" t="n"/>
      <c r="R414" s="310" t="n"/>
      <c r="S414" s="311" t="n"/>
      <c r="T414" s="311" t="n"/>
      <c r="U414" s="309" t="n"/>
      <c r="V414" s="1279">
        <f>G414*H414</f>
        <v/>
      </c>
    </row>
    <row r="415" ht="15.6" customFormat="1" customHeight="1" s="353" thickBot="1">
      <c r="A415" s="341" t="n"/>
      <c r="B415" s="340" t="n"/>
      <c r="C415" s="340" t="inlineStr">
        <is>
          <t>.</t>
        </is>
      </c>
      <c r="D415" s="340" t="n"/>
      <c r="E415" s="342" t="n"/>
      <c r="F415" s="343" t="n"/>
      <c r="G415" s="344" t="n"/>
      <c r="H415" s="1267" t="n"/>
      <c r="I415" s="316" t="n"/>
      <c r="J415" s="1268" t="n"/>
      <c r="K415" s="345" t="n"/>
      <c r="L415" s="346" t="n"/>
      <c r="M415" s="347" t="n"/>
      <c r="N415" s="348" t="n"/>
      <c r="O415" s="1269" t="n"/>
      <c r="P415" s="1270" t="n"/>
      <c r="Q415" s="1269" t="n"/>
      <c r="R415" s="1270" t="n"/>
      <c r="S415" s="1271" t="n"/>
      <c r="T415" s="1270" t="n"/>
      <c r="U415" s="1271" t="n"/>
      <c r="V415" s="1272" t="n"/>
    </row>
    <row r="416" ht="16.2" customHeight="1" thickBot="1">
      <c r="A416" s="379" t="inlineStr">
        <is>
          <t>2.23 - Para-raios</t>
        </is>
      </c>
      <c r="B416" s="380" t="n"/>
      <c r="C416" s="380" t="n"/>
      <c r="D416" s="380" t="n"/>
      <c r="E416" s="380" t="n"/>
      <c r="F416" s="380" t="n"/>
      <c r="G416" s="380" t="n"/>
      <c r="H416" s="380" t="n"/>
      <c r="I416" s="381" t="n"/>
      <c r="J416" s="1258" t="n"/>
      <c r="K416" s="380" t="n"/>
      <c r="L416" s="380" t="n"/>
      <c r="M416" s="385" t="n"/>
      <c r="N416" s="380" t="n"/>
      <c r="O416" s="383" t="n"/>
      <c r="P416" s="380" t="n"/>
      <c r="Q416" s="383" t="n"/>
      <c r="R416" s="380" t="n"/>
      <c r="S416" s="380" t="n"/>
      <c r="T416" s="380" t="n"/>
      <c r="U416" s="384" t="n"/>
      <c r="V416" s="1259">
        <f>SUM(V417:V425)</f>
        <v/>
      </c>
      <c r="W416" s="1260" t="n"/>
    </row>
    <row r="417" ht="15" customHeight="1">
      <c r="A417" s="95" t="inlineStr">
        <is>
          <t>2.23.01</t>
        </is>
      </c>
      <c r="B417" s="80" t="inlineStr">
        <is>
          <t>SERVIÇO</t>
        </is>
      </c>
      <c r="C417" s="80" t="n"/>
      <c r="D417" s="80" t="n"/>
      <c r="E417" s="81" t="inlineStr">
        <is>
          <t>Engenharia e projeto executivo</t>
        </is>
      </c>
      <c r="F417" s="83" t="inlineStr">
        <is>
          <t>VB.</t>
        </is>
      </c>
      <c r="G417" s="83" t="n">
        <v>1</v>
      </c>
      <c r="H417" s="1289" t="n">
        <v>118077.54</v>
      </c>
      <c r="I417" s="367" t="n"/>
      <c r="J417" s="1275" t="n"/>
      <c r="K417" s="9" t="n"/>
      <c r="L417" s="10" t="n"/>
      <c r="M417" s="238" t="inlineStr">
        <is>
          <t>INSIGHT ENERGY</t>
        </is>
      </c>
      <c r="N417" s="237" t="n"/>
      <c r="O417" s="1276" t="n"/>
      <c r="P417" s="1277" t="n"/>
      <c r="Q417" s="1276" t="n"/>
      <c r="R417" s="1277" t="n"/>
      <c r="S417" s="1278" t="n"/>
      <c r="T417" s="1277" t="n"/>
      <c r="U417" s="1278" t="n"/>
      <c r="V417" s="1279">
        <f>G417*H417</f>
        <v/>
      </c>
      <c r="W417" s="1260" t="n"/>
    </row>
    <row r="418" ht="15" customFormat="1" customHeight="1" s="353">
      <c r="A418" s="341" t="n"/>
      <c r="B418" s="340" t="n"/>
      <c r="C418" s="340" t="inlineStr">
        <is>
          <t>.</t>
        </is>
      </c>
      <c r="D418" s="340" t="n"/>
      <c r="E418" s="342" t="n"/>
      <c r="F418" s="343" t="n"/>
      <c r="G418" s="344" t="n"/>
      <c r="H418" s="1267" t="n"/>
      <c r="I418" s="316" t="n"/>
      <c r="J418" s="1268" t="n"/>
      <c r="K418" s="345" t="n"/>
      <c r="L418" s="346" t="n"/>
      <c r="M418" s="347" t="n"/>
      <c r="N418" s="348" t="n"/>
      <c r="O418" s="1269" t="n"/>
      <c r="P418" s="1270" t="n"/>
      <c r="Q418" s="1269" t="n"/>
      <c r="R418" s="1270" t="n"/>
      <c r="S418" s="1271" t="n"/>
      <c r="T418" s="1270" t="n"/>
      <c r="U418" s="1271" t="n"/>
      <c r="V418" s="1272" t="n"/>
    </row>
    <row r="419" ht="15" customHeight="1">
      <c r="A419" s="95" t="inlineStr">
        <is>
          <t>2.23.02</t>
        </is>
      </c>
      <c r="B419" s="80" t="inlineStr">
        <is>
          <t>SERVIÇO</t>
        </is>
      </c>
      <c r="C419" s="80" t="n"/>
      <c r="D419" s="80" t="n"/>
      <c r="E419" s="81" t="inlineStr">
        <is>
          <t>Desmontagem e montagem eletromecânica completa</t>
        </is>
      </c>
      <c r="F419" s="83" t="inlineStr">
        <is>
          <t>VB.</t>
        </is>
      </c>
      <c r="G419" s="83" t="n">
        <v>1</v>
      </c>
      <c r="H419" s="1289" t="n">
        <v>218811.79</v>
      </c>
      <c r="I419" s="367" t="n"/>
      <c r="J419" s="1275" t="n"/>
      <c r="K419" s="9" t="n"/>
      <c r="L419" s="10" t="n"/>
      <c r="M419" s="238" t="inlineStr">
        <is>
          <t>INSIGHT ENERGY</t>
        </is>
      </c>
      <c r="N419" s="237" t="n"/>
      <c r="O419" s="1276" t="n"/>
      <c r="P419" s="1277" t="n"/>
      <c r="Q419" s="1276" t="n"/>
      <c r="R419" s="1277" t="n"/>
      <c r="S419" s="1278" t="n"/>
      <c r="T419" s="1277" t="n"/>
      <c r="U419" s="1278" t="n"/>
      <c r="V419" s="1279">
        <f>G419*H419</f>
        <v/>
      </c>
    </row>
    <row r="420" ht="15" customFormat="1" customHeight="1" s="353">
      <c r="A420" s="341" t="n"/>
      <c r="B420" s="340" t="n"/>
      <c r="C420" s="340" t="inlineStr">
        <is>
          <t>.</t>
        </is>
      </c>
      <c r="D420" s="340" t="n"/>
      <c r="E420" s="342" t="n"/>
      <c r="F420" s="343" t="n"/>
      <c r="G420" s="344" t="n"/>
      <c r="H420" s="1267" t="n"/>
      <c r="I420" s="316" t="n"/>
      <c r="J420" s="1268" t="n"/>
      <c r="K420" s="345" t="n"/>
      <c r="L420" s="346" t="n"/>
      <c r="M420" s="347" t="n"/>
      <c r="N420" s="348" t="n"/>
      <c r="O420" s="1269" t="n"/>
      <c r="P420" s="1270" t="n"/>
      <c r="Q420" s="1269" t="n"/>
      <c r="R420" s="1270" t="n"/>
      <c r="S420" s="1271" t="n"/>
      <c r="T420" s="1270" t="n"/>
      <c r="U420" s="1271" t="n"/>
      <c r="V420" s="1272" t="n"/>
    </row>
    <row r="421" ht="15" customHeight="1">
      <c r="A421" s="95" t="inlineStr">
        <is>
          <t>2.23.03</t>
        </is>
      </c>
      <c r="B421" s="80" t="inlineStr">
        <is>
          <t>SERVIÇO</t>
        </is>
      </c>
      <c r="C421" s="80" t="n"/>
      <c r="D421" s="80" t="n"/>
      <c r="E421" s="81" t="inlineStr">
        <is>
          <t>Supervisão, ensaios de campo e comissionamento</t>
        </is>
      </c>
      <c r="F421" s="83" t="inlineStr">
        <is>
          <t>VB.</t>
        </is>
      </c>
      <c r="G421" s="83" t="n">
        <v>1</v>
      </c>
      <c r="H421" s="1289" t="n">
        <v>158282.36</v>
      </c>
      <c r="I421" s="367" t="n"/>
      <c r="J421" s="1275" t="n"/>
      <c r="K421" s="9" t="n"/>
      <c r="L421" s="10" t="n"/>
      <c r="M421" s="238" t="inlineStr">
        <is>
          <t>INSIGHT ENERGY</t>
        </is>
      </c>
      <c r="N421" s="237" t="n"/>
      <c r="O421" s="1276" t="n"/>
      <c r="P421" s="1277" t="n"/>
      <c r="Q421" s="1276" t="n"/>
      <c r="R421" s="1277" t="n"/>
      <c r="S421" s="1278" t="n"/>
      <c r="T421" s="1277" t="n"/>
      <c r="U421" s="1278" t="n"/>
      <c r="V421" s="1279">
        <f>G421*H421</f>
        <v/>
      </c>
    </row>
    <row r="422" ht="15" customFormat="1" customHeight="1" s="353">
      <c r="A422" s="341" t="n"/>
      <c r="B422" s="340" t="n"/>
      <c r="C422" s="340" t="inlineStr">
        <is>
          <t>.</t>
        </is>
      </c>
      <c r="D422" s="340" t="n"/>
      <c r="E422" s="342" t="n"/>
      <c r="F422" s="343" t="n"/>
      <c r="G422" s="344" t="n"/>
      <c r="H422" s="1267" t="n"/>
      <c r="I422" s="316" t="n"/>
      <c r="J422" s="1268" t="n"/>
      <c r="K422" s="345" t="n"/>
      <c r="L422" s="346" t="n"/>
      <c r="M422" s="347" t="n"/>
      <c r="N422" s="348" t="n"/>
      <c r="O422" s="1269" t="n"/>
      <c r="P422" s="1270" t="n"/>
      <c r="Q422" s="1269" t="n"/>
      <c r="R422" s="1270" t="n"/>
      <c r="S422" s="1271" t="n"/>
      <c r="T422" s="1270" t="n"/>
      <c r="U422" s="1271" t="n"/>
      <c r="V422" s="1272" t="n"/>
    </row>
    <row r="423" ht="15" customHeight="1">
      <c r="A423" s="95" t="inlineStr">
        <is>
          <t>2.23.04</t>
        </is>
      </c>
      <c r="B423" s="80" t="inlineStr">
        <is>
          <t>MATERIAL</t>
        </is>
      </c>
      <c r="C423" s="80" t="n"/>
      <c r="D423" s="80" t="n"/>
      <c r="E423" s="81" t="inlineStr">
        <is>
          <t>Para-raios, estação, reconectável, 120 kV, 10kA, 60Hz</t>
        </is>
      </c>
      <c r="F423" s="83" t="inlineStr">
        <is>
          <t>CJ.</t>
        </is>
      </c>
      <c r="G423" s="83" t="n">
        <v>14</v>
      </c>
      <c r="H423" s="1289" t="n">
        <v>36857.181</v>
      </c>
      <c r="I423" s="367" t="n"/>
      <c r="J423" s="1275" t="n"/>
      <c r="K423" s="1278" t="n"/>
      <c r="L423" s="1277" t="n"/>
      <c r="M423" s="238" t="inlineStr">
        <is>
          <t>INSIGHT ENERGY</t>
        </is>
      </c>
      <c r="N423" s="237" t="n"/>
      <c r="O423" s="302" t="n"/>
      <c r="P423" s="309" t="n"/>
      <c r="Q423" s="310" t="n"/>
      <c r="R423" s="310" t="n"/>
      <c r="S423" s="311" t="n"/>
      <c r="T423" s="311" t="n"/>
      <c r="U423" s="309" t="n"/>
      <c r="V423" s="1279">
        <f>G423*H423</f>
        <v/>
      </c>
    </row>
    <row r="424" ht="15" customFormat="1" customHeight="1" s="353">
      <c r="A424" s="341" t="n"/>
      <c r="B424" s="340" t="n"/>
      <c r="C424" s="340" t="inlineStr">
        <is>
          <t>.</t>
        </is>
      </c>
      <c r="D424" s="340" t="n"/>
      <c r="E424" s="342" t="n"/>
      <c r="F424" s="343" t="n"/>
      <c r="G424" s="344" t="n"/>
      <c r="H424" s="1267" t="n"/>
      <c r="I424" s="316" t="n"/>
      <c r="J424" s="1268" t="n"/>
      <c r="K424" s="345" t="n"/>
      <c r="L424" s="346" t="n"/>
      <c r="M424" s="347" t="n"/>
      <c r="N424" s="348" t="n"/>
      <c r="O424" s="1269" t="n"/>
      <c r="P424" s="1270" t="n"/>
      <c r="Q424" s="1269" t="n"/>
      <c r="R424" s="1270" t="n"/>
      <c r="S424" s="1271" t="n"/>
      <c r="T424" s="1270" t="n"/>
      <c r="U424" s="1271" t="n"/>
      <c r="V424" s="1272" t="n"/>
    </row>
    <row r="425" ht="15" customHeight="1">
      <c r="A425" s="95" t="inlineStr">
        <is>
          <t>2.23.05</t>
        </is>
      </c>
      <c r="B425" s="80" t="inlineStr">
        <is>
          <t>MATERIAL</t>
        </is>
      </c>
      <c r="C425" s="80" t="n"/>
      <c r="D425" s="80" t="n"/>
      <c r="E425" s="81" t="inlineStr">
        <is>
          <t>Contador, operação, 4 dígitos, compatíveis c/ para-raios tipo SiC ou ZnO</t>
        </is>
      </c>
      <c r="F425" s="83" t="inlineStr">
        <is>
          <t>CJ.</t>
        </is>
      </c>
      <c r="G425" s="83" t="n">
        <v>14</v>
      </c>
      <c r="H425" s="1289" t="n">
        <v>13340.945</v>
      </c>
      <c r="I425" s="367" t="n"/>
      <c r="J425" s="1275" t="n"/>
      <c r="K425" s="1278" t="n"/>
      <c r="L425" s="1277" t="n"/>
      <c r="M425" s="236" t="inlineStr">
        <is>
          <t>INSIGHT ENERGY</t>
        </is>
      </c>
      <c r="N425" s="237" t="n"/>
      <c r="O425" s="302" t="n"/>
      <c r="P425" s="309" t="n"/>
      <c r="Q425" s="310" t="n"/>
      <c r="R425" s="310" t="n"/>
      <c r="S425" s="311" t="n"/>
      <c r="T425" s="311" t="n"/>
      <c r="U425" s="309" t="n"/>
      <c r="V425" s="1279">
        <f>G425*H425</f>
        <v/>
      </c>
    </row>
    <row r="426" ht="15.6" customFormat="1" customHeight="1" s="353" thickBot="1">
      <c r="A426" s="341" t="n"/>
      <c r="B426" s="340" t="n"/>
      <c r="C426" s="340" t="inlineStr">
        <is>
          <t>.</t>
        </is>
      </c>
      <c r="D426" s="340" t="n"/>
      <c r="E426" s="342" t="n"/>
      <c r="F426" s="343" t="n"/>
      <c r="G426" s="344" t="n"/>
      <c r="H426" s="1267" t="n"/>
      <c r="I426" s="316" t="n"/>
      <c r="J426" s="1268" t="n"/>
      <c r="K426" s="345" t="n"/>
      <c r="L426" s="346" t="n"/>
      <c r="M426" s="347" t="n"/>
      <c r="N426" s="348" t="n"/>
      <c r="O426" s="1269" t="n"/>
      <c r="P426" s="1270" t="n"/>
      <c r="Q426" s="1269" t="n"/>
      <c r="R426" s="1270" t="n"/>
      <c r="S426" s="1271" t="n"/>
      <c r="T426" s="1270" t="n"/>
      <c r="U426" s="1271" t="n"/>
      <c r="V426" s="1272" t="n"/>
    </row>
    <row r="427" ht="16.2" customHeight="1" thickBot="1">
      <c r="A427" s="379" t="inlineStr">
        <is>
          <t>2.25 - Arranjo</t>
        </is>
      </c>
      <c r="B427" s="380" t="n"/>
      <c r="C427" s="380" t="n"/>
      <c r="D427" s="380" t="n"/>
      <c r="E427" s="380" t="n"/>
      <c r="F427" s="380" t="n"/>
      <c r="G427" s="380" t="n"/>
      <c r="H427" s="380" t="n"/>
      <c r="I427" s="381" t="n"/>
      <c r="J427" s="1258" t="n"/>
      <c r="K427" s="380" t="n"/>
      <c r="L427" s="380" t="n"/>
      <c r="M427" s="385" t="n"/>
      <c r="N427" s="380" t="n"/>
      <c r="O427" s="383" t="n"/>
      <c r="P427" s="380" t="n"/>
      <c r="Q427" s="383" t="n"/>
      <c r="R427" s="380" t="n"/>
      <c r="S427" s="380" t="n"/>
      <c r="T427" s="380" t="n"/>
      <c r="U427" s="384" t="n"/>
      <c r="V427" s="1259">
        <f>SUM(V428:V432)</f>
        <v/>
      </c>
      <c r="W427" s="1260" t="n"/>
    </row>
    <row r="428" ht="15" customHeight="1">
      <c r="A428" s="95" t="inlineStr">
        <is>
          <t>2.25.01</t>
        </is>
      </c>
      <c r="B428" s="90" t="inlineStr">
        <is>
          <t>SERVIÇO</t>
        </is>
      </c>
      <c r="C428" s="314" t="n"/>
      <c r="D428" s="314" t="n"/>
      <c r="E428" s="96" t="inlineStr">
        <is>
          <t>Engenharia e projeto executivo</t>
        </is>
      </c>
      <c r="F428" s="83" t="inlineStr">
        <is>
          <t>VB.</t>
        </is>
      </c>
      <c r="G428" s="91" t="n">
        <v>1</v>
      </c>
      <c r="H428" s="1274" t="n">
        <v>227658.8328337494</v>
      </c>
      <c r="I428" s="367" t="n"/>
      <c r="J428" s="1275" t="n"/>
      <c r="K428" s="9" t="n"/>
      <c r="L428" s="10" t="n"/>
      <c r="M428" s="238" t="inlineStr">
        <is>
          <t>INSIGHT ENERGY</t>
        </is>
      </c>
      <c r="N428" s="237" t="n"/>
      <c r="O428" s="1276" t="n"/>
      <c r="P428" s="1277" t="n"/>
      <c r="Q428" s="1276" t="n"/>
      <c r="R428" s="1277" t="n"/>
      <c r="S428" s="1278" t="n"/>
      <c r="T428" s="1277" t="n"/>
      <c r="U428" s="1278" t="n"/>
      <c r="V428" s="1279">
        <f>G428*H428</f>
        <v/>
      </c>
      <c r="W428" s="1260" t="n"/>
    </row>
    <row r="429" ht="15" customFormat="1" customHeight="1" s="353">
      <c r="A429" s="341" t="n"/>
      <c r="B429" s="340" t="n"/>
      <c r="C429" s="340" t="inlineStr">
        <is>
          <t>.</t>
        </is>
      </c>
      <c r="D429" s="340" t="n"/>
      <c r="E429" s="342" t="n"/>
      <c r="F429" s="343" t="n"/>
      <c r="G429" s="344" t="n"/>
      <c r="H429" s="1267" t="n"/>
      <c r="I429" s="316" t="n"/>
      <c r="J429" s="1268" t="n"/>
      <c r="K429" s="345" t="n"/>
      <c r="L429" s="346" t="n"/>
      <c r="M429" s="347" t="n"/>
      <c r="N429" s="348" t="n"/>
      <c r="O429" s="1269" t="n"/>
      <c r="P429" s="1270" t="n"/>
      <c r="Q429" s="1269" t="n"/>
      <c r="R429" s="1270" t="n"/>
      <c r="S429" s="1271" t="n"/>
      <c r="T429" s="1270" t="n"/>
      <c r="U429" s="1271" t="n"/>
      <c r="V429" s="1272" t="n"/>
    </row>
    <row r="430" ht="15" customHeight="1">
      <c r="A430" s="95" t="inlineStr">
        <is>
          <t>2.25.02</t>
        </is>
      </c>
      <c r="B430" s="354" t="inlineStr">
        <is>
          <t>SERVIÇO</t>
        </is>
      </c>
      <c r="C430" s="354" t="n"/>
      <c r="D430" s="354" t="n"/>
      <c r="E430" s="97" t="inlineStr">
        <is>
          <t>Documentação de projeto executivo “conforme construído”.</t>
        </is>
      </c>
      <c r="F430" s="83" t="inlineStr">
        <is>
          <t>VB.</t>
        </is>
      </c>
      <c r="G430" s="91" t="n">
        <v>1</v>
      </c>
      <c r="H430" s="1274" t="n">
        <v>804300.5734490675</v>
      </c>
      <c r="I430" s="367" t="n"/>
      <c r="J430" s="1275" t="n"/>
      <c r="K430" s="9" t="n"/>
      <c r="L430" s="10" t="n"/>
      <c r="M430" s="238" t="inlineStr">
        <is>
          <t>INSIGHT ENERGY</t>
        </is>
      </c>
      <c r="N430" s="237" t="n"/>
      <c r="O430" s="1276" t="n"/>
      <c r="P430" s="1277" t="n"/>
      <c r="Q430" s="1276" t="n"/>
      <c r="R430" s="1277" t="n"/>
      <c r="S430" s="1278" t="n"/>
      <c r="T430" s="1277" t="n"/>
      <c r="U430" s="1278" t="n"/>
      <c r="V430" s="1279">
        <f>G430*H430</f>
        <v/>
      </c>
    </row>
    <row r="431" ht="15" customFormat="1" customHeight="1" s="353">
      <c r="A431" s="341" t="n"/>
      <c r="B431" s="340" t="n"/>
      <c r="C431" s="340" t="inlineStr">
        <is>
          <t>.</t>
        </is>
      </c>
      <c r="D431" s="340" t="n"/>
      <c r="E431" s="342" t="n"/>
      <c r="F431" s="343" t="n"/>
      <c r="G431" s="344" t="n"/>
      <c r="H431" s="1267" t="n"/>
      <c r="I431" s="316" t="n"/>
      <c r="J431" s="1268" t="n"/>
      <c r="K431" s="345" t="n"/>
      <c r="L431" s="346" t="n"/>
      <c r="M431" s="347" t="n"/>
      <c r="N431" s="348" t="n"/>
      <c r="O431" s="1269" t="n"/>
      <c r="P431" s="1270" t="n"/>
      <c r="Q431" s="1269" t="n"/>
      <c r="R431" s="1270" t="n"/>
      <c r="S431" s="1271" t="n"/>
      <c r="T431" s="1270" t="n"/>
      <c r="U431" s="1271" t="n"/>
      <c r="V431" s="1272" t="n"/>
    </row>
    <row r="432" ht="41.4" customHeight="1">
      <c r="A432" s="95" t="inlineStr">
        <is>
          <t>2.25.03</t>
        </is>
      </c>
      <c r="B432" s="354" t="inlineStr">
        <is>
          <t>SERVIÇO</t>
        </is>
      </c>
      <c r="C432" s="354" t="n"/>
      <c r="D432" s="354" t="n"/>
      <c r="E432" s="97" t="inlineStr">
        <is>
          <t>Desmontagem de equipamentos desativados, tais como o transformador T7 na galeria mecânica, e dos cubículos dos disjuntores 5F4 e 8F4 na galeria elétrica, entre outros</t>
        </is>
      </c>
      <c r="F432" s="83" t="inlineStr">
        <is>
          <t>VB.</t>
        </is>
      </c>
      <c r="G432" s="91" t="n">
        <v>1</v>
      </c>
      <c r="H432" s="1274" t="n">
        <v>1314421.081522061</v>
      </c>
      <c r="I432" s="367" t="n"/>
      <c r="J432" s="1275" t="n"/>
      <c r="K432" s="9" t="n"/>
      <c r="L432" s="10" t="n"/>
      <c r="M432" s="238" t="inlineStr">
        <is>
          <t>INSIGHT ENERGY</t>
        </is>
      </c>
      <c r="N432" s="237" t="n"/>
      <c r="O432" s="1276" t="n"/>
      <c r="P432" s="1277" t="n"/>
      <c r="Q432" s="1276" t="n"/>
      <c r="R432" s="1277" t="n"/>
      <c r="S432" s="1278" t="n"/>
      <c r="T432" s="1277" t="n"/>
      <c r="U432" s="1278" t="n"/>
      <c r="V432" s="1279">
        <f>G432*H432</f>
        <v/>
      </c>
    </row>
    <row r="433" ht="15.6" customFormat="1" customHeight="1" s="353" thickBot="1">
      <c r="A433" s="341" t="n"/>
      <c r="B433" s="340" t="n"/>
      <c r="C433" s="340" t="inlineStr">
        <is>
          <t>.</t>
        </is>
      </c>
      <c r="D433" s="340" t="n"/>
      <c r="E433" s="342" t="n"/>
      <c r="F433" s="343" t="n"/>
      <c r="G433" s="344" t="n"/>
      <c r="H433" s="1267" t="n"/>
      <c r="I433" s="316" t="n"/>
      <c r="J433" s="1268" t="n"/>
      <c r="K433" s="345" t="n"/>
      <c r="L433" s="346" t="n"/>
      <c r="M433" s="347" t="n"/>
      <c r="N433" s="348" t="n"/>
      <c r="O433" s="1269" t="n"/>
      <c r="P433" s="1270" t="n"/>
      <c r="Q433" s="1269" t="n"/>
      <c r="R433" s="1270" t="n"/>
      <c r="S433" s="1271" t="n"/>
      <c r="T433" s="1270" t="n"/>
      <c r="U433" s="1271" t="n"/>
      <c r="V433" s="1272" t="n"/>
    </row>
    <row r="434" ht="16.2" customHeight="1" thickBot="1">
      <c r="A434" s="379" t="inlineStr">
        <is>
          <t>2.28 - Modernização e Digitalização da SE UHE Salto Grande - Ativos CEMIG-D</t>
        </is>
      </c>
      <c r="B434" s="380" t="n"/>
      <c r="C434" s="380" t="n"/>
      <c r="D434" s="380" t="n"/>
      <c r="E434" s="380" t="n"/>
      <c r="F434" s="380" t="n"/>
      <c r="G434" s="380" t="n"/>
      <c r="H434" s="380" t="n"/>
      <c r="I434" s="381" t="n"/>
      <c r="J434" s="1258" t="n"/>
      <c r="K434" s="380" t="n"/>
      <c r="L434" s="380" t="n"/>
      <c r="M434" s="385" t="n"/>
      <c r="N434" s="380" t="n"/>
      <c r="O434" s="383" t="n"/>
      <c r="P434" s="380" t="n"/>
      <c r="Q434" s="383" t="n"/>
      <c r="R434" s="380" t="n"/>
      <c r="S434" s="380" t="n"/>
      <c r="T434" s="380" t="n"/>
      <c r="U434" s="384" t="n"/>
      <c r="V434" s="1259">
        <f>SUM(V435:V553)</f>
        <v/>
      </c>
      <c r="W434" s="1260" t="n"/>
    </row>
    <row r="435" ht="15" customHeight="1">
      <c r="A435" s="89" t="inlineStr">
        <is>
          <t>2.28.01</t>
        </is>
      </c>
      <c r="B435" s="90" t="inlineStr">
        <is>
          <t>SERVIÇO</t>
        </is>
      </c>
      <c r="C435" s="90" t="n"/>
      <c r="D435" s="90" t="n"/>
      <c r="E435" s="98" t="inlineStr">
        <is>
          <t>Engenharia e projeto executivo</t>
        </is>
      </c>
      <c r="F435" s="91" t="inlineStr">
        <is>
          <t>VB.</t>
        </is>
      </c>
      <c r="G435" s="91" t="n">
        <v>1</v>
      </c>
      <c r="H435" s="1289" t="n">
        <v>1339937.7</v>
      </c>
      <c r="I435" s="367" t="n"/>
      <c r="J435" s="1275" t="n"/>
      <c r="K435" s="9" t="n"/>
      <c r="L435" s="10" t="n"/>
      <c r="M435" s="238" t="inlineStr">
        <is>
          <t>INSIGHT/SIEMENS</t>
        </is>
      </c>
      <c r="N435" s="237" t="n"/>
      <c r="O435" s="1276" t="n"/>
      <c r="P435" s="1277" t="n"/>
      <c r="Q435" s="1276" t="n"/>
      <c r="R435" s="1277" t="n"/>
      <c r="S435" s="1278" t="n"/>
      <c r="T435" s="1277" t="n"/>
      <c r="U435" s="1278" t="n"/>
      <c r="V435" s="1279">
        <f>G435*H435</f>
        <v/>
      </c>
      <c r="W435" s="1260" t="n"/>
    </row>
    <row r="436" ht="15" customFormat="1" customHeight="1" s="353">
      <c r="A436" s="341" t="n"/>
      <c r="B436" s="340" t="n"/>
      <c r="C436" s="340" t="inlineStr">
        <is>
          <t>.</t>
        </is>
      </c>
      <c r="D436" s="340" t="n"/>
      <c r="E436" s="342" t="n"/>
      <c r="F436" s="343" t="n"/>
      <c r="G436" s="344" t="n"/>
      <c r="H436" s="1267" t="n"/>
      <c r="I436" s="316" t="n"/>
      <c r="J436" s="1268" t="n"/>
      <c r="K436" s="345" t="n"/>
      <c r="L436" s="346" t="n"/>
      <c r="M436" s="347" t="n"/>
      <c r="N436" s="348" t="n"/>
      <c r="O436" s="1269" t="n"/>
      <c r="P436" s="1270" t="n"/>
      <c r="Q436" s="1269" t="n"/>
      <c r="R436" s="1270" t="n"/>
      <c r="S436" s="1271" t="n"/>
      <c r="T436" s="1270" t="n"/>
      <c r="U436" s="1271" t="n"/>
      <c r="V436" s="1272" t="n"/>
    </row>
    <row r="437" ht="15" customHeight="1">
      <c r="A437" s="89" t="inlineStr">
        <is>
          <t>2.28.02</t>
        </is>
      </c>
      <c r="B437" s="90" t="inlineStr">
        <is>
          <t>MATERIAL</t>
        </is>
      </c>
      <c r="C437" s="90" t="n"/>
      <c r="D437" s="90" t="n"/>
      <c r="E437" s="98" t="inlineStr">
        <is>
          <t>Fornecimento de Estruturas Metálicas Suporte de Equipamento (Item 1) *Nota 4</t>
        </is>
      </c>
      <c r="F437" s="91" t="inlineStr">
        <is>
          <t>VB.</t>
        </is>
      </c>
      <c r="G437" s="91" t="n">
        <v>1</v>
      </c>
      <c r="H437" s="1289" t="n">
        <v>170350.88</v>
      </c>
      <c r="I437" s="367" t="n"/>
      <c r="J437" s="1275" t="n"/>
      <c r="K437" s="1278" t="n"/>
      <c r="L437" s="1277" t="n"/>
      <c r="M437" s="238" t="inlineStr">
        <is>
          <t>INSIGHT ENERGY</t>
        </is>
      </c>
      <c r="N437" s="237" t="n"/>
      <c r="O437" s="302" t="n"/>
      <c r="P437" s="309" t="n"/>
      <c r="Q437" s="310" t="n"/>
      <c r="R437" s="310" t="n"/>
      <c r="S437" s="311" t="n"/>
      <c r="T437" s="311" t="n"/>
      <c r="U437" s="309" t="n"/>
      <c r="V437" s="1279">
        <f>G437*H437</f>
        <v/>
      </c>
    </row>
    <row r="438" ht="15" customFormat="1" customHeight="1" s="353">
      <c r="A438" s="341" t="n"/>
      <c r="B438" s="340" t="n"/>
      <c r="C438" s="340" t="inlineStr">
        <is>
          <t>.</t>
        </is>
      </c>
      <c r="D438" s="340" t="n"/>
      <c r="E438" s="342" t="n"/>
      <c r="F438" s="343" t="n"/>
      <c r="G438" s="344" t="n"/>
      <c r="H438" s="1267" t="n"/>
      <c r="I438" s="316" t="n"/>
      <c r="J438" s="1268" t="n"/>
      <c r="K438" s="345" t="n"/>
      <c r="L438" s="346" t="n"/>
      <c r="M438" s="347" t="n"/>
      <c r="N438" s="348" t="n"/>
      <c r="O438" s="1269" t="n"/>
      <c r="P438" s="1270" t="n"/>
      <c r="Q438" s="1269" t="n"/>
      <c r="R438" s="1270" t="n"/>
      <c r="S438" s="1271" t="n"/>
      <c r="T438" s="1270" t="n"/>
      <c r="U438" s="1271" t="n"/>
      <c r="V438" s="1272" t="n"/>
    </row>
    <row r="439" ht="15" customHeight="1">
      <c r="A439" s="89" t="inlineStr">
        <is>
          <t>2.28.03</t>
        </is>
      </c>
      <c r="B439" s="90" t="inlineStr">
        <is>
          <t>MATERIAL</t>
        </is>
      </c>
      <c r="C439" s="90" t="n"/>
      <c r="D439" s="90" t="n"/>
      <c r="E439" s="98" t="inlineStr">
        <is>
          <t>Fornecimento de Estruturas Metálicas Suporte de Barramento (Item 2) *Nota 4</t>
        </is>
      </c>
      <c r="F439" s="91" t="inlineStr">
        <is>
          <t>VB.</t>
        </is>
      </c>
      <c r="G439" s="91" t="n">
        <v>1</v>
      </c>
      <c r="H439" s="1289" t="n">
        <v>129540.01</v>
      </c>
      <c r="I439" s="367" t="n"/>
      <c r="J439" s="1275" t="n"/>
      <c r="K439" s="1278" t="n"/>
      <c r="L439" s="1277" t="n"/>
      <c r="M439" s="238" t="inlineStr">
        <is>
          <t>INSIGHT ENERGY</t>
        </is>
      </c>
      <c r="N439" s="237" t="n"/>
      <c r="O439" s="302" t="n"/>
      <c r="P439" s="309" t="n"/>
      <c r="Q439" s="310" t="n"/>
      <c r="R439" s="310" t="n"/>
      <c r="S439" s="311" t="n"/>
      <c r="T439" s="311" t="n"/>
      <c r="U439" s="309" t="n"/>
      <c r="V439" s="1279">
        <f>G439*H439</f>
        <v/>
      </c>
    </row>
    <row r="440" ht="15" customFormat="1" customHeight="1" s="353">
      <c r="A440" s="341" t="n"/>
      <c r="B440" s="340" t="n"/>
      <c r="C440" s="340" t="inlineStr">
        <is>
          <t>.</t>
        </is>
      </c>
      <c r="D440" s="340" t="n"/>
      <c r="E440" s="342" t="n"/>
      <c r="F440" s="343" t="n"/>
      <c r="G440" s="344" t="n"/>
      <c r="H440" s="1267" t="n"/>
      <c r="I440" s="316" t="n"/>
      <c r="J440" s="1268" t="n"/>
      <c r="K440" s="345" t="n"/>
      <c r="L440" s="346" t="n"/>
      <c r="M440" s="347" t="n"/>
      <c r="N440" s="348" t="n"/>
      <c r="O440" s="1269" t="n"/>
      <c r="P440" s="1270" t="n"/>
      <c r="Q440" s="1269" t="n"/>
      <c r="R440" s="1270" t="n"/>
      <c r="S440" s="1271" t="n"/>
      <c r="T440" s="1270" t="n"/>
      <c r="U440" s="1271" t="n"/>
      <c r="V440" s="1272" t="n"/>
    </row>
    <row r="441" ht="15" customHeight="1">
      <c r="A441" s="89" t="inlineStr">
        <is>
          <t>2.28.04</t>
        </is>
      </c>
      <c r="B441" s="90" t="inlineStr">
        <is>
          <t>MATERIAL</t>
        </is>
      </c>
      <c r="C441" s="90" t="n"/>
      <c r="D441" s="90" t="n"/>
      <c r="E441" s="98" t="inlineStr">
        <is>
          <t>Fornecimento de Barramentos Rígidos e Flexíveis (Item 3) *Nota 4</t>
        </is>
      </c>
      <c r="F441" s="91" t="inlineStr">
        <is>
          <t>VB.</t>
        </is>
      </c>
      <c r="G441" s="91" t="n">
        <v>1</v>
      </c>
      <c r="H441" s="1289" t="n">
        <v>125211.39</v>
      </c>
      <c r="I441" s="367" t="n"/>
      <c r="J441" s="1275" t="n"/>
      <c r="K441" s="1278" t="n"/>
      <c r="L441" s="1277" t="n"/>
      <c r="M441" s="238" t="inlineStr">
        <is>
          <t>INSIGHT ENERGY</t>
        </is>
      </c>
      <c r="N441" s="237" t="n"/>
      <c r="O441" s="302" t="n"/>
      <c r="P441" s="309" t="n"/>
      <c r="Q441" s="310" t="n"/>
      <c r="R441" s="310" t="n"/>
      <c r="S441" s="311" t="n"/>
      <c r="T441" s="311" t="n"/>
      <c r="U441" s="309" t="n"/>
      <c r="V441" s="1279">
        <f>G441*H441</f>
        <v/>
      </c>
    </row>
    <row r="442" ht="15" customFormat="1" customHeight="1" s="353">
      <c r="A442" s="341" t="n"/>
      <c r="B442" s="340" t="n"/>
      <c r="C442" s="340" t="inlineStr">
        <is>
          <t>.</t>
        </is>
      </c>
      <c r="D442" s="340" t="n"/>
      <c r="E442" s="342" t="n"/>
      <c r="F442" s="343" t="n"/>
      <c r="G442" s="344" t="n"/>
      <c r="H442" s="1267" t="n"/>
      <c r="I442" s="316" t="n"/>
      <c r="J442" s="1268" t="n"/>
      <c r="K442" s="345" t="n"/>
      <c r="L442" s="346" t="n"/>
      <c r="M442" s="347" t="n"/>
      <c r="N442" s="348" t="n"/>
      <c r="O442" s="1269" t="n"/>
      <c r="P442" s="1270" t="n"/>
      <c r="Q442" s="1269" t="n"/>
      <c r="R442" s="1270" t="n"/>
      <c r="S442" s="1271" t="n"/>
      <c r="T442" s="1270" t="n"/>
      <c r="U442" s="1271" t="n"/>
      <c r="V442" s="1272" t="n"/>
    </row>
    <row r="443" ht="15" customHeight="1">
      <c r="A443" s="89" t="inlineStr">
        <is>
          <t>2.28.05</t>
        </is>
      </c>
      <c r="B443" s="90" t="inlineStr">
        <is>
          <t>MATERIAL</t>
        </is>
      </c>
      <c r="C443" s="90" t="n"/>
      <c r="D443" s="90" t="n"/>
      <c r="E443" s="98" t="inlineStr">
        <is>
          <t>Fornecimento de Cabos Isolados de MT (Item 4) *Nota 4</t>
        </is>
      </c>
      <c r="F443" s="91" t="inlineStr">
        <is>
          <t>VB.</t>
        </is>
      </c>
      <c r="G443" s="91" t="n">
        <v>1</v>
      </c>
      <c r="H443" s="1289" t="n">
        <v>413162.5</v>
      </c>
      <c r="I443" s="367" t="n"/>
      <c r="J443" s="1275" t="n"/>
      <c r="K443" s="1278" t="n"/>
      <c r="L443" s="1277" t="n"/>
      <c r="M443" s="238" t="inlineStr">
        <is>
          <t>INSIGHT ENERGY</t>
        </is>
      </c>
      <c r="N443" s="237" t="n"/>
      <c r="O443" s="302" t="n"/>
      <c r="P443" s="309" t="n"/>
      <c r="Q443" s="310" t="n"/>
      <c r="R443" s="310" t="n"/>
      <c r="S443" s="311" t="n"/>
      <c r="T443" s="311" t="n"/>
      <c r="U443" s="309" t="n"/>
      <c r="V443" s="1279">
        <f>G443*H443</f>
        <v/>
      </c>
    </row>
    <row r="444" ht="15" customFormat="1" customHeight="1" s="353">
      <c r="A444" s="341" t="n"/>
      <c r="B444" s="340" t="n"/>
      <c r="C444" s="340" t="inlineStr">
        <is>
          <t>.</t>
        </is>
      </c>
      <c r="D444" s="340" t="n"/>
      <c r="E444" s="342" t="n"/>
      <c r="F444" s="343" t="n"/>
      <c r="G444" s="344" t="n"/>
      <c r="H444" s="1267" t="n"/>
      <c r="I444" s="316" t="n"/>
      <c r="J444" s="1268" t="n"/>
      <c r="K444" s="345" t="n"/>
      <c r="L444" s="346" t="n"/>
      <c r="M444" s="347" t="n"/>
      <c r="N444" s="348" t="n"/>
      <c r="O444" s="1269" t="n"/>
      <c r="P444" s="1270" t="n"/>
      <c r="Q444" s="1269" t="n"/>
      <c r="R444" s="1270" t="n"/>
      <c r="S444" s="1271" t="n"/>
      <c r="T444" s="1270" t="n"/>
      <c r="U444" s="1271" t="n"/>
      <c r="V444" s="1272" t="n"/>
    </row>
    <row r="445" ht="15" customHeight="1">
      <c r="A445" s="89" t="inlineStr">
        <is>
          <t>2.28.06</t>
        </is>
      </c>
      <c r="B445" s="90" t="inlineStr">
        <is>
          <t>MATERIAL</t>
        </is>
      </c>
      <c r="C445" s="90" t="n"/>
      <c r="D445" s="90" t="n"/>
      <c r="E445" s="98" t="inlineStr">
        <is>
          <t>Fornecimento de Religadores de Média Tensão (Item 5) *Nota 4</t>
        </is>
      </c>
      <c r="F445" s="91" t="inlineStr">
        <is>
          <t>VB.</t>
        </is>
      </c>
      <c r="G445" s="91" t="n">
        <v>1</v>
      </c>
      <c r="H445" s="1289" t="n">
        <v>652254.4</v>
      </c>
      <c r="I445" s="367" t="n"/>
      <c r="J445" s="1275" t="n"/>
      <c r="K445" s="1278" t="n"/>
      <c r="L445" s="1277" t="n"/>
      <c r="M445" s="238" t="inlineStr">
        <is>
          <t>EATON</t>
        </is>
      </c>
      <c r="N445" s="237" t="n"/>
      <c r="O445" s="302" t="n"/>
      <c r="P445" s="309" t="n"/>
      <c r="Q445" s="310" t="n"/>
      <c r="R445" s="310" t="n"/>
      <c r="S445" s="311" t="n"/>
      <c r="T445" s="311" t="n"/>
      <c r="U445" s="309" t="n"/>
      <c r="V445" s="1279">
        <f>G445*H445</f>
        <v/>
      </c>
    </row>
    <row r="446" ht="15" customFormat="1" customHeight="1" s="353">
      <c r="A446" s="341" t="n"/>
      <c r="B446" s="340" t="n"/>
      <c r="C446" s="340" t="inlineStr">
        <is>
          <t>.</t>
        </is>
      </c>
      <c r="D446" s="340" t="n"/>
      <c r="E446" s="342" t="n"/>
      <c r="F446" s="343" t="n"/>
      <c r="G446" s="344" t="n"/>
      <c r="H446" s="1267" t="n"/>
      <c r="I446" s="316" t="n"/>
      <c r="J446" s="1268" t="n"/>
      <c r="K446" s="345" t="n"/>
      <c r="L446" s="346" t="n"/>
      <c r="M446" s="347" t="n"/>
      <c r="N446" s="348" t="n"/>
      <c r="O446" s="1269" t="n"/>
      <c r="P446" s="1270" t="n"/>
      <c r="Q446" s="1269" t="n"/>
      <c r="R446" s="1270" t="n"/>
      <c r="S446" s="1271" t="n"/>
      <c r="T446" s="1270" t="n"/>
      <c r="U446" s="1271" t="n"/>
      <c r="V446" s="1272" t="n"/>
    </row>
    <row r="447" ht="15" customHeight="1">
      <c r="A447" s="89" t="inlineStr">
        <is>
          <t>2.28.07</t>
        </is>
      </c>
      <c r="B447" s="90" t="inlineStr">
        <is>
          <t>MATERIAL</t>
        </is>
      </c>
      <c r="C447" s="90" t="n"/>
      <c r="D447" s="90" t="n"/>
      <c r="E447" s="98" t="inlineStr">
        <is>
          <t>Fornecimento de Transformadores de Corrente de MT (Item 6) *Nota 4</t>
        </is>
      </c>
      <c r="F447" s="91" t="inlineStr">
        <is>
          <t>VB.</t>
        </is>
      </c>
      <c r="G447" s="91" t="n">
        <v>1</v>
      </c>
      <c r="H447" s="1289" t="n">
        <v>336616.12</v>
      </c>
      <c r="I447" s="367" t="n"/>
      <c r="J447" s="1275" t="n"/>
      <c r="K447" s="1278" t="n"/>
      <c r="L447" s="1277" t="n"/>
      <c r="M447" s="238" t="inlineStr">
        <is>
          <t>INSIGHT ENERGY</t>
        </is>
      </c>
      <c r="N447" s="237" t="n"/>
      <c r="O447" s="302" t="n"/>
      <c r="P447" s="309" t="n"/>
      <c r="Q447" s="310" t="n"/>
      <c r="R447" s="310" t="n"/>
      <c r="S447" s="311" t="n"/>
      <c r="T447" s="311" t="n"/>
      <c r="U447" s="309" t="n"/>
      <c r="V447" s="1279">
        <f>G447*H447</f>
        <v/>
      </c>
    </row>
    <row r="448" ht="15" customFormat="1" customHeight="1" s="353">
      <c r="A448" s="341" t="n"/>
      <c r="B448" s="340" t="n"/>
      <c r="C448" s="340" t="inlineStr">
        <is>
          <t>.</t>
        </is>
      </c>
      <c r="D448" s="340" t="n"/>
      <c r="E448" s="342" t="n"/>
      <c r="F448" s="343" t="n"/>
      <c r="G448" s="344" t="n"/>
      <c r="H448" s="1267" t="n"/>
      <c r="I448" s="316" t="n"/>
      <c r="J448" s="1268" t="n"/>
      <c r="K448" s="345" t="n"/>
      <c r="L448" s="346" t="n"/>
      <c r="M448" s="347" t="n"/>
      <c r="N448" s="348" t="n"/>
      <c r="O448" s="1269" t="n"/>
      <c r="P448" s="1270" t="n"/>
      <c r="Q448" s="1269" t="n"/>
      <c r="R448" s="1270" t="n"/>
      <c r="S448" s="1271" t="n"/>
      <c r="T448" s="1270" t="n"/>
      <c r="U448" s="1271" t="n"/>
      <c r="V448" s="1272" t="n"/>
    </row>
    <row r="449" ht="15" customHeight="1">
      <c r="A449" s="89" t="inlineStr">
        <is>
          <t>2.28.08</t>
        </is>
      </c>
      <c r="B449" s="90" t="inlineStr">
        <is>
          <t>MATERIAL</t>
        </is>
      </c>
      <c r="C449" s="90" t="n"/>
      <c r="D449" s="90" t="n"/>
      <c r="E449" s="98" t="inlineStr">
        <is>
          <t>Fornecimento de Seccionadores de Média Tensão (Item 7) *Nota 4</t>
        </is>
      </c>
      <c r="F449" s="91" t="inlineStr">
        <is>
          <t>VB.</t>
        </is>
      </c>
      <c r="G449" s="91" t="n">
        <v>1</v>
      </c>
      <c r="H449" s="1289" t="n">
        <v>148699.35</v>
      </c>
      <c r="I449" s="367" t="n"/>
      <c r="J449" s="1275" t="n"/>
      <c r="K449" s="1278" t="n"/>
      <c r="L449" s="1277" t="n"/>
      <c r="M449" s="238" t="inlineStr">
        <is>
          <t>INSIGHT ENERGY</t>
        </is>
      </c>
      <c r="N449" s="237" t="n"/>
      <c r="O449" s="302" t="n"/>
      <c r="P449" s="309" t="n"/>
      <c r="Q449" s="310" t="n"/>
      <c r="R449" s="310" t="n"/>
      <c r="S449" s="311" t="n"/>
      <c r="T449" s="311" t="n"/>
      <c r="U449" s="309" t="n"/>
      <c r="V449" s="1279">
        <f>G449*H449</f>
        <v/>
      </c>
    </row>
    <row r="450" ht="15" customFormat="1" customHeight="1" s="353">
      <c r="A450" s="341" t="n"/>
      <c r="B450" s="340" t="n"/>
      <c r="C450" s="340" t="inlineStr">
        <is>
          <t>.</t>
        </is>
      </c>
      <c r="D450" s="340" t="n"/>
      <c r="E450" s="342" t="n"/>
      <c r="F450" s="343" t="n"/>
      <c r="G450" s="344" t="n"/>
      <c r="H450" s="1267" t="n"/>
      <c r="I450" s="316" t="n"/>
      <c r="J450" s="1268" t="n"/>
      <c r="K450" s="345" t="n"/>
      <c r="L450" s="346" t="n"/>
      <c r="M450" s="347" t="n"/>
      <c r="N450" s="348" t="n"/>
      <c r="O450" s="1269" t="n"/>
      <c r="P450" s="1270" t="n"/>
      <c r="Q450" s="1269" t="n"/>
      <c r="R450" s="1270" t="n"/>
      <c r="S450" s="1271" t="n"/>
      <c r="T450" s="1270" t="n"/>
      <c r="U450" s="1271" t="n"/>
      <c r="V450" s="1272" t="n"/>
    </row>
    <row r="451" ht="15" customHeight="1">
      <c r="A451" s="89" t="inlineStr">
        <is>
          <t>2.28.09</t>
        </is>
      </c>
      <c r="B451" s="90" t="inlineStr">
        <is>
          <t>MATERIAL</t>
        </is>
      </c>
      <c r="C451" s="90" t="n"/>
      <c r="D451" s="90" t="n"/>
      <c r="E451" s="98" t="inlineStr">
        <is>
          <t>Fornecimento de Para-raios de Média Tensão (Item 8) *Nota 4</t>
        </is>
      </c>
      <c r="F451" s="91" t="inlineStr">
        <is>
          <t>VB.</t>
        </is>
      </c>
      <c r="G451" s="91" t="n">
        <v>1</v>
      </c>
      <c r="H451" s="1289" t="n">
        <v>91915.8</v>
      </c>
      <c r="I451" s="367" t="n"/>
      <c r="J451" s="1275" t="n"/>
      <c r="K451" s="1278" t="n"/>
      <c r="L451" s="1277" t="n"/>
      <c r="M451" s="238" t="inlineStr">
        <is>
          <t>INSIGHT ENERGY</t>
        </is>
      </c>
      <c r="N451" s="237" t="n"/>
      <c r="O451" s="302" t="n"/>
      <c r="P451" s="309" t="n"/>
      <c r="Q451" s="310" t="n"/>
      <c r="R451" s="310" t="n"/>
      <c r="S451" s="311" t="n"/>
      <c r="T451" s="311" t="n"/>
      <c r="U451" s="309" t="n"/>
      <c r="V451" s="1279">
        <f>G451*H451</f>
        <v/>
      </c>
    </row>
    <row r="452" ht="15" customFormat="1" customHeight="1" s="353">
      <c r="A452" s="341" t="n"/>
      <c r="B452" s="340" t="n"/>
      <c r="C452" s="340" t="inlineStr">
        <is>
          <t>.</t>
        </is>
      </c>
      <c r="D452" s="340" t="n"/>
      <c r="E452" s="342" t="n"/>
      <c r="F452" s="343" t="n"/>
      <c r="G452" s="344" t="n"/>
      <c r="H452" s="1267" t="n"/>
      <c r="I452" s="316" t="n"/>
      <c r="J452" s="1268" t="n"/>
      <c r="K452" s="345" t="n"/>
      <c r="L452" s="346" t="n"/>
      <c r="M452" s="347" t="n"/>
      <c r="N452" s="348" t="n"/>
      <c r="O452" s="1269" t="n"/>
      <c r="P452" s="1270" t="n"/>
      <c r="Q452" s="1269" t="n"/>
      <c r="R452" s="1270" t="n"/>
      <c r="S452" s="1271" t="n"/>
      <c r="T452" s="1270" t="n"/>
      <c r="U452" s="1271" t="n"/>
      <c r="V452" s="1272" t="n"/>
    </row>
    <row r="453" ht="15" customHeight="1">
      <c r="A453" s="89" t="inlineStr">
        <is>
          <t>2.28.10</t>
        </is>
      </c>
      <c r="B453" s="90" t="inlineStr">
        <is>
          <t>MATERIAL</t>
        </is>
      </c>
      <c r="C453" s="90" t="n"/>
      <c r="D453" s="90" t="n"/>
      <c r="E453" s="98" t="inlineStr">
        <is>
          <t>Fornecimento de Cubículos com Disjuntores de Média Tensão (Item 9) *Nota 4</t>
        </is>
      </c>
      <c r="F453" s="91" t="inlineStr">
        <is>
          <t>VB.</t>
        </is>
      </c>
      <c r="G453" s="91" t="n">
        <v>1</v>
      </c>
      <c r="H453" s="1289" t="n">
        <v>218868.36</v>
      </c>
      <c r="I453" s="367" t="n"/>
      <c r="J453" s="1275" t="n"/>
      <c r="K453" s="1278" t="n"/>
      <c r="L453" s="1277" t="n"/>
      <c r="M453" s="238" t="inlineStr">
        <is>
          <t>LUCY ELETRIC</t>
        </is>
      </c>
      <c r="N453" s="237" t="n"/>
      <c r="O453" s="302" t="n"/>
      <c r="P453" s="309" t="n"/>
      <c r="Q453" s="310" t="n"/>
      <c r="R453" s="310" t="n"/>
      <c r="S453" s="311" t="n"/>
      <c r="T453" s="311" t="n"/>
      <c r="U453" s="309" t="n"/>
      <c r="V453" s="1279">
        <f>G453*H453</f>
        <v/>
      </c>
    </row>
    <row r="454" ht="15" customFormat="1" customHeight="1" s="353">
      <c r="A454" s="341" t="n"/>
      <c r="B454" s="340" t="n"/>
      <c r="C454" s="340" t="inlineStr">
        <is>
          <t>.</t>
        </is>
      </c>
      <c r="D454" s="340" t="n"/>
      <c r="E454" s="342" t="n"/>
      <c r="F454" s="343" t="n"/>
      <c r="G454" s="344" t="n"/>
      <c r="H454" s="1267" t="n"/>
      <c r="I454" s="316" t="n"/>
      <c r="J454" s="1268" t="n"/>
      <c r="K454" s="345" t="n"/>
      <c r="L454" s="346" t="n"/>
      <c r="M454" s="347" t="n"/>
      <c r="N454" s="348" t="n"/>
      <c r="O454" s="1269" t="n"/>
      <c r="P454" s="1270" t="n"/>
      <c r="Q454" s="1269" t="n"/>
      <c r="R454" s="1270" t="n"/>
      <c r="S454" s="1271" t="n"/>
      <c r="T454" s="1270" t="n"/>
      <c r="U454" s="1271" t="n"/>
      <c r="V454" s="1272" t="n"/>
    </row>
    <row r="455" ht="27.6" customHeight="1">
      <c r="A455" s="89" t="inlineStr">
        <is>
          <t>2.28.11</t>
        </is>
      </c>
      <c r="B455" s="90" t="inlineStr">
        <is>
          <t>MATERIAL</t>
        </is>
      </c>
      <c r="C455" s="90" t="n"/>
      <c r="D455" s="90" t="n"/>
      <c r="E455" s="98" t="inlineStr">
        <is>
          <t>Fornecimento de Equipamentos e Materiais para Bancos de Capacitores de MT (Item 10) *Nota 4</t>
        </is>
      </c>
      <c r="F455" s="91" t="inlineStr">
        <is>
          <t>VB.</t>
        </is>
      </c>
      <c r="G455" s="91" t="n">
        <v>1</v>
      </c>
      <c r="H455" s="1289" t="n">
        <v>411385.48</v>
      </c>
      <c r="I455" s="367" t="n"/>
      <c r="J455" s="1275" t="n"/>
      <c r="K455" s="1278" t="n"/>
      <c r="L455" s="1277" t="n"/>
      <c r="M455" s="238" t="inlineStr">
        <is>
          <t>BREE/LUCY ELETRIC</t>
        </is>
      </c>
      <c r="N455" s="237" t="n"/>
      <c r="O455" s="302" t="n"/>
      <c r="P455" s="309" t="n"/>
      <c r="Q455" s="310" t="n"/>
      <c r="R455" s="310" t="n"/>
      <c r="S455" s="311" t="n"/>
      <c r="T455" s="311" t="n"/>
      <c r="U455" s="309" t="n"/>
      <c r="V455" s="1279">
        <f>G455*H455</f>
        <v/>
      </c>
    </row>
    <row r="456" ht="15" customFormat="1" customHeight="1" s="353">
      <c r="A456" s="341" t="n"/>
      <c r="B456" s="340" t="n"/>
      <c r="C456" s="340" t="inlineStr">
        <is>
          <t>.</t>
        </is>
      </c>
      <c r="D456" s="340" t="n"/>
      <c r="E456" s="342" t="n"/>
      <c r="F456" s="343" t="n"/>
      <c r="G456" s="344" t="n"/>
      <c r="H456" s="1267" t="n"/>
      <c r="I456" s="316" t="n"/>
      <c r="J456" s="1268" t="n"/>
      <c r="K456" s="345" t="n"/>
      <c r="L456" s="346" t="n"/>
      <c r="M456" s="347" t="n"/>
      <c r="N456" s="348" t="n"/>
      <c r="O456" s="1269" t="n"/>
      <c r="P456" s="1270" t="n"/>
      <c r="Q456" s="1269" t="n"/>
      <c r="R456" s="1270" t="n"/>
      <c r="S456" s="1271" t="n"/>
      <c r="T456" s="1270" t="n"/>
      <c r="U456" s="1271" t="n"/>
      <c r="V456" s="1272" t="n"/>
    </row>
    <row r="457" ht="27.6" customHeight="1">
      <c r="A457" s="89" t="inlineStr">
        <is>
          <t>2.28.12</t>
        </is>
      </c>
      <c r="B457" s="90" t="inlineStr">
        <is>
          <t>MATERIAL</t>
        </is>
      </c>
      <c r="C457" s="90" t="n"/>
      <c r="D457" s="90" t="n"/>
      <c r="E457" s="98" t="inlineStr">
        <is>
          <t>Fornecimento de Transformadores de Potencial de Média Tensão (Item 11) *Nota 4</t>
        </is>
      </c>
      <c r="F457" s="91" t="inlineStr">
        <is>
          <t>VB.</t>
        </is>
      </c>
      <c r="G457" s="91" t="n">
        <v>1</v>
      </c>
      <c r="H457" s="1289" t="n">
        <v>26278.45</v>
      </c>
      <c r="I457" s="367" t="n"/>
      <c r="J457" s="1275" t="n"/>
      <c r="K457" s="1278" t="n"/>
      <c r="L457" s="1277" t="n"/>
      <c r="M457" s="238" t="inlineStr">
        <is>
          <t>INSIGHT ENERGY</t>
        </is>
      </c>
      <c r="N457" s="237" t="n"/>
      <c r="O457" s="302" t="n"/>
      <c r="P457" s="309" t="n"/>
      <c r="Q457" s="310" t="n"/>
      <c r="R457" s="310" t="n"/>
      <c r="S457" s="311" t="n"/>
      <c r="T457" s="311" t="n"/>
      <c r="U457" s="309" t="n"/>
      <c r="V457" s="1279">
        <f>G457*H457</f>
        <v/>
      </c>
    </row>
    <row r="458" ht="15" customFormat="1" customHeight="1" s="353">
      <c r="A458" s="341" t="n"/>
      <c r="B458" s="340" t="n"/>
      <c r="C458" s="340" t="inlineStr">
        <is>
          <t>.</t>
        </is>
      </c>
      <c r="D458" s="340" t="n"/>
      <c r="E458" s="342" t="n"/>
      <c r="F458" s="343" t="n"/>
      <c r="G458" s="344" t="n"/>
      <c r="H458" s="1267" t="n"/>
      <c r="I458" s="316" t="n"/>
      <c r="J458" s="1268" t="n"/>
      <c r="K458" s="345" t="n"/>
      <c r="L458" s="346" t="n"/>
      <c r="M458" s="347" t="n"/>
      <c r="N458" s="348" t="n"/>
      <c r="O458" s="1269" t="n"/>
      <c r="P458" s="1270" t="n"/>
      <c r="Q458" s="1269" t="n"/>
      <c r="R458" s="1270" t="n"/>
      <c r="S458" s="1271" t="n"/>
      <c r="T458" s="1270" t="n"/>
      <c r="U458" s="1271" t="n"/>
      <c r="V458" s="1272" t="n"/>
    </row>
    <row r="459" ht="15" customHeight="1">
      <c r="A459" s="89" t="inlineStr">
        <is>
          <t>2.28.13</t>
        </is>
      </c>
      <c r="B459" s="90" t="inlineStr">
        <is>
          <t>MATERIAL</t>
        </is>
      </c>
      <c r="C459" s="90" t="n"/>
      <c r="D459" s="90" t="n"/>
      <c r="E459" s="98" t="inlineStr">
        <is>
          <t>Fornecimento de Para-raios de Alta Tensão (Item 12) *Nota 4</t>
        </is>
      </c>
      <c r="F459" s="91" t="inlineStr">
        <is>
          <t>VB.</t>
        </is>
      </c>
      <c r="G459" s="91" t="n">
        <v>1</v>
      </c>
      <c r="H459" s="1289" t="n">
        <v>157670.71</v>
      </c>
      <c r="I459" s="367" t="n"/>
      <c r="J459" s="1275" t="n"/>
      <c r="K459" s="1278" t="n"/>
      <c r="L459" s="1277" t="n"/>
      <c r="M459" s="238" t="inlineStr">
        <is>
          <t>INSIGHT ENERGY</t>
        </is>
      </c>
      <c r="N459" s="237" t="n"/>
      <c r="O459" s="302" t="n"/>
      <c r="P459" s="309" t="n"/>
      <c r="Q459" s="310" t="n"/>
      <c r="R459" s="310" t="n"/>
      <c r="S459" s="311" t="n"/>
      <c r="T459" s="311" t="n"/>
      <c r="U459" s="309" t="n"/>
      <c r="V459" s="1279">
        <f>G459*H459</f>
        <v/>
      </c>
    </row>
    <row r="460" ht="15" customFormat="1" customHeight="1" s="353">
      <c r="A460" s="341" t="n"/>
      <c r="B460" s="340" t="n"/>
      <c r="C460" s="340" t="inlineStr">
        <is>
          <t>.</t>
        </is>
      </c>
      <c r="D460" s="340" t="n"/>
      <c r="E460" s="342" t="n"/>
      <c r="F460" s="343" t="n"/>
      <c r="G460" s="344" t="n"/>
      <c r="H460" s="1267" t="n"/>
      <c r="I460" s="316" t="n"/>
      <c r="J460" s="1268" t="n"/>
      <c r="K460" s="345" t="n"/>
      <c r="L460" s="346" t="n"/>
      <c r="M460" s="347" t="n"/>
      <c r="N460" s="348" t="n"/>
      <c r="O460" s="1269" t="n"/>
      <c r="P460" s="1270" t="n"/>
      <c r="Q460" s="1269" t="n"/>
      <c r="R460" s="1270" t="n"/>
      <c r="S460" s="1271" t="n"/>
      <c r="T460" s="1270" t="n"/>
      <c r="U460" s="1271" t="n"/>
      <c r="V460" s="1272" t="n"/>
    </row>
    <row r="461" ht="27.6" customHeight="1">
      <c r="A461" s="89" t="inlineStr">
        <is>
          <t>2.28.14</t>
        </is>
      </c>
      <c r="B461" s="90" t="inlineStr">
        <is>
          <t>MATERIAL</t>
        </is>
      </c>
      <c r="C461" s="90" t="n"/>
      <c r="D461" s="90" t="n"/>
      <c r="E461" s="98" t="inlineStr">
        <is>
          <t>Fornecimento de Transformadores de Potencial de Alta Tensão (Item 13) *Nota 4</t>
        </is>
      </c>
      <c r="F461" s="91" t="inlineStr">
        <is>
          <t>VB.</t>
        </is>
      </c>
      <c r="G461" s="91" t="n">
        <v>1</v>
      </c>
      <c r="H461" s="1289" t="n">
        <v>179569.43</v>
      </c>
      <c r="I461" s="367" t="n"/>
      <c r="J461" s="1275" t="n"/>
      <c r="K461" s="1278" t="n"/>
      <c r="L461" s="1277" t="n"/>
      <c r="M461" s="238" t="inlineStr">
        <is>
          <t>INSIGHT ENERGY</t>
        </is>
      </c>
      <c r="N461" s="237" t="n"/>
      <c r="O461" s="302" t="n"/>
      <c r="P461" s="309" t="n"/>
      <c r="Q461" s="310" t="n"/>
      <c r="R461" s="310" t="n"/>
      <c r="S461" s="311" t="n"/>
      <c r="T461" s="311" t="n"/>
      <c r="U461" s="309" t="n"/>
      <c r="V461" s="1279">
        <f>G461*H461</f>
        <v/>
      </c>
    </row>
    <row r="462" ht="15" customFormat="1" customHeight="1" s="353">
      <c r="A462" s="341" t="n"/>
      <c r="B462" s="340" t="n"/>
      <c r="C462" s="340" t="inlineStr">
        <is>
          <t>.</t>
        </is>
      </c>
      <c r="D462" s="340" t="n"/>
      <c r="E462" s="342" t="n"/>
      <c r="F462" s="343" t="n"/>
      <c r="G462" s="344" t="n"/>
      <c r="H462" s="1267" t="n"/>
      <c r="I462" s="316" t="n"/>
      <c r="J462" s="1268" t="n"/>
      <c r="K462" s="345" t="n"/>
      <c r="L462" s="346" t="n"/>
      <c r="M462" s="347" t="n"/>
      <c r="N462" s="348" t="n"/>
      <c r="O462" s="1269" t="n"/>
      <c r="P462" s="1270" t="n"/>
      <c r="Q462" s="1269" t="n"/>
      <c r="R462" s="1270" t="n"/>
      <c r="S462" s="1271" t="n"/>
      <c r="T462" s="1270" t="n"/>
      <c r="U462" s="1271" t="n"/>
      <c r="V462" s="1272" t="n"/>
    </row>
    <row r="463" ht="15" customHeight="1">
      <c r="A463" s="89" t="inlineStr">
        <is>
          <t>2.28.15</t>
        </is>
      </c>
      <c r="B463" s="90" t="inlineStr">
        <is>
          <t>MATERIAL</t>
        </is>
      </c>
      <c r="C463" s="90" t="n"/>
      <c r="D463" s="90" t="n"/>
      <c r="E463" s="98" t="inlineStr">
        <is>
          <t>Fornecimento de Transformadores de Corrente de Alta Tensão (Item 14) *Nota 4</t>
        </is>
      </c>
      <c r="F463" s="91" t="inlineStr">
        <is>
          <t>VB.</t>
        </is>
      </c>
      <c r="G463" s="91" t="n">
        <v>1</v>
      </c>
      <c r="H463" s="1289" t="n">
        <v>99858.12</v>
      </c>
      <c r="I463" s="367" t="n"/>
      <c r="J463" s="1275" t="n"/>
      <c r="K463" s="1278" t="n"/>
      <c r="L463" s="1277" t="n"/>
      <c r="M463" s="238" t="inlineStr">
        <is>
          <t>INSIGHT ENERGY</t>
        </is>
      </c>
      <c r="N463" s="237" t="n"/>
      <c r="O463" s="302" t="n"/>
      <c r="P463" s="309" t="n"/>
      <c r="Q463" s="310" t="n"/>
      <c r="R463" s="310" t="n"/>
      <c r="S463" s="311" t="n"/>
      <c r="T463" s="311" t="n"/>
      <c r="U463" s="309" t="n"/>
      <c r="V463" s="1279">
        <f>G463*H463</f>
        <v/>
      </c>
    </row>
    <row r="464" ht="15" customFormat="1" customHeight="1" s="353">
      <c r="A464" s="341" t="n"/>
      <c r="B464" s="340" t="n"/>
      <c r="C464" s="340" t="inlineStr">
        <is>
          <t>.</t>
        </is>
      </c>
      <c r="D464" s="340" t="n"/>
      <c r="E464" s="342" t="n"/>
      <c r="F464" s="343" t="n"/>
      <c r="G464" s="344" t="n"/>
      <c r="H464" s="1267" t="n"/>
      <c r="I464" s="316" t="n"/>
      <c r="J464" s="1268" t="n"/>
      <c r="K464" s="345" t="n"/>
      <c r="L464" s="346" t="n"/>
      <c r="M464" s="347" t="n"/>
      <c r="N464" s="348" t="n"/>
      <c r="O464" s="1269" t="n"/>
      <c r="P464" s="1270" t="n"/>
      <c r="Q464" s="1269" t="n"/>
      <c r="R464" s="1270" t="n"/>
      <c r="S464" s="1271" t="n"/>
      <c r="T464" s="1270" t="n"/>
      <c r="U464" s="1271" t="n"/>
      <c r="V464" s="1272" t="n"/>
    </row>
    <row r="465" ht="15" customHeight="1">
      <c r="A465" s="89" t="inlineStr">
        <is>
          <t>2.28.16</t>
        </is>
      </c>
      <c r="B465" s="90" t="inlineStr">
        <is>
          <t>MATERIAL</t>
        </is>
      </c>
      <c r="C465" s="90" t="n"/>
      <c r="D465" s="90" t="n"/>
      <c r="E465" s="98" t="inlineStr">
        <is>
          <t>Fornecimento de Seccionadores de Alta Tensão (Item 15) *Nota 4</t>
        </is>
      </c>
      <c r="F465" s="91" t="inlineStr">
        <is>
          <t>VB.</t>
        </is>
      </c>
      <c r="G465" s="91" t="n">
        <v>1</v>
      </c>
      <c r="H465" s="1289" t="n">
        <v>660706.54</v>
      </c>
      <c r="I465" s="367" t="n"/>
      <c r="J465" s="1275" t="n"/>
      <c r="K465" s="1278" t="n"/>
      <c r="L465" s="1277" t="n"/>
      <c r="M465" s="238" t="inlineStr">
        <is>
          <t>SIEYUAN</t>
        </is>
      </c>
      <c r="N465" s="237" t="n"/>
      <c r="O465" s="302" t="n"/>
      <c r="P465" s="309" t="n"/>
      <c r="Q465" s="310" t="n"/>
      <c r="R465" s="310" t="n"/>
      <c r="S465" s="311" t="n"/>
      <c r="T465" s="311" t="n"/>
      <c r="U465" s="309" t="n"/>
      <c r="V465" s="1279">
        <f>G465*H465</f>
        <v/>
      </c>
    </row>
    <row r="466" ht="15" customFormat="1" customHeight="1" s="353">
      <c r="A466" s="341" t="n"/>
      <c r="B466" s="340" t="n"/>
      <c r="C466" s="340" t="inlineStr">
        <is>
          <t>.</t>
        </is>
      </c>
      <c r="D466" s="340" t="n"/>
      <c r="E466" s="342" t="n"/>
      <c r="F466" s="343" t="n"/>
      <c r="G466" s="344" t="n"/>
      <c r="H466" s="1267" t="n"/>
      <c r="I466" s="316" t="n"/>
      <c r="J466" s="1268" t="n"/>
      <c r="K466" s="345" t="n"/>
      <c r="L466" s="346" t="n"/>
      <c r="M466" s="347" t="n"/>
      <c r="N466" s="348" t="n"/>
      <c r="O466" s="1269" t="n"/>
      <c r="P466" s="1270" t="n"/>
      <c r="Q466" s="1269" t="n"/>
      <c r="R466" s="1270" t="n"/>
      <c r="S466" s="1271" t="n"/>
      <c r="T466" s="1270" t="n"/>
      <c r="U466" s="1271" t="n"/>
      <c r="V466" s="1272" t="n"/>
    </row>
    <row r="467" ht="15" customHeight="1">
      <c r="A467" s="89" t="inlineStr">
        <is>
          <t>2.28.17</t>
        </is>
      </c>
      <c r="B467" s="90" t="inlineStr">
        <is>
          <t>MATERIAL</t>
        </is>
      </c>
      <c r="C467" s="90" t="n"/>
      <c r="D467" s="90" t="n"/>
      <c r="E467" s="98" t="inlineStr">
        <is>
          <t>Fornecimento de Disjuntores de Alta Tensão (Item 16) *Nota 4</t>
        </is>
      </c>
      <c r="F467" s="91" t="inlineStr">
        <is>
          <t>VB.</t>
        </is>
      </c>
      <c r="G467" s="91" t="n">
        <v>1</v>
      </c>
      <c r="H467" s="1289" t="n">
        <v>781846</v>
      </c>
      <c r="I467" s="367" t="n"/>
      <c r="J467" s="1275" t="n"/>
      <c r="K467" s="1278" t="n"/>
      <c r="L467" s="1277" t="n"/>
      <c r="M467" s="238" t="inlineStr">
        <is>
          <t>SIEYUAN</t>
        </is>
      </c>
      <c r="N467" s="237" t="n"/>
      <c r="O467" s="302" t="n"/>
      <c r="P467" s="309" t="n"/>
      <c r="Q467" s="310" t="n"/>
      <c r="R467" s="310" t="n"/>
      <c r="S467" s="311" t="n"/>
      <c r="T467" s="311" t="n"/>
      <c r="U467" s="309" t="n"/>
      <c r="V467" s="1279">
        <f>G467*H467</f>
        <v/>
      </c>
    </row>
    <row r="468" ht="15" customFormat="1" customHeight="1" s="353">
      <c r="A468" s="341" t="n"/>
      <c r="B468" s="340" t="n"/>
      <c r="C468" s="340" t="inlineStr">
        <is>
          <t>.</t>
        </is>
      </c>
      <c r="D468" s="340" t="n"/>
      <c r="E468" s="342" t="n"/>
      <c r="F468" s="343" t="n"/>
      <c r="G468" s="344" t="n"/>
      <c r="H468" s="1267" t="n"/>
      <c r="I468" s="316" t="n"/>
      <c r="J468" s="1268" t="n"/>
      <c r="K468" s="345" t="n"/>
      <c r="L468" s="346" t="n"/>
      <c r="M468" s="347" t="n"/>
      <c r="N468" s="348" t="n"/>
      <c r="O468" s="1269" t="n"/>
      <c r="P468" s="1270" t="n"/>
      <c r="Q468" s="1269" t="n"/>
      <c r="R468" s="1270" t="n"/>
      <c r="S468" s="1271" t="n"/>
      <c r="T468" s="1270" t="n"/>
      <c r="U468" s="1271" t="n"/>
      <c r="V468" s="1272" t="n"/>
    </row>
    <row r="469" ht="25.95" customHeight="1">
      <c r="A469" s="89" t="inlineStr">
        <is>
          <t>2.28.18</t>
        </is>
      </c>
      <c r="B469" s="90" t="inlineStr">
        <is>
          <t>MATERIAL</t>
        </is>
      </c>
      <c r="C469" s="90" t="n"/>
      <c r="D469" s="90" t="n"/>
      <c r="E469" s="98" t="inlineStr">
        <is>
          <t>Fornecimento de Sistema de Automação de Subestações e sobressalentes- SAS (Item 17) *Nota 4</t>
        </is>
      </c>
      <c r="F469" s="91" t="inlineStr">
        <is>
          <t>VB.</t>
        </is>
      </c>
      <c r="G469" s="91" t="n">
        <v>1</v>
      </c>
      <c r="H469" s="1289" t="n">
        <v>2729959.98</v>
      </c>
      <c r="I469" s="367" t="n"/>
      <c r="J469" s="1275" t="n"/>
      <c r="K469" s="1278" t="n"/>
      <c r="L469" s="1277" t="n"/>
      <c r="M469" s="238" t="inlineStr">
        <is>
          <t>SIEMENS</t>
        </is>
      </c>
      <c r="N469" s="237" t="n"/>
      <c r="O469" s="302" t="n"/>
      <c r="P469" s="309" t="n"/>
      <c r="Q469" s="310" t="n"/>
      <c r="R469" s="310" t="n"/>
      <c r="S469" s="311" t="n"/>
      <c r="T469" s="311" t="n"/>
      <c r="U469" s="309" t="n"/>
      <c r="V469" s="1279">
        <f>G469*H469</f>
        <v/>
      </c>
    </row>
    <row r="470" ht="15" customFormat="1" customHeight="1" s="353">
      <c r="A470" s="341" t="n"/>
      <c r="B470" s="340" t="n"/>
      <c r="C470" s="340" t="inlineStr">
        <is>
          <t>.</t>
        </is>
      </c>
      <c r="D470" s="340" t="n"/>
      <c r="E470" s="342" t="n"/>
      <c r="F470" s="343" t="n"/>
      <c r="G470" s="344" t="n"/>
      <c r="H470" s="1267" t="n"/>
      <c r="I470" s="316" t="n"/>
      <c r="J470" s="1268" t="n"/>
      <c r="K470" s="345" t="n"/>
      <c r="L470" s="346" t="n"/>
      <c r="M470" s="347" t="n"/>
      <c r="N470" s="348" t="n"/>
      <c r="O470" s="1269" t="n"/>
      <c r="P470" s="1270" t="n"/>
      <c r="Q470" s="1269" t="n"/>
      <c r="R470" s="1270" t="n"/>
      <c r="S470" s="1271" t="n"/>
      <c r="T470" s="1270" t="n"/>
      <c r="U470" s="1271" t="n"/>
      <c r="V470" s="1272" t="n"/>
    </row>
    <row r="471" ht="15" customHeight="1">
      <c r="A471" s="89" t="inlineStr">
        <is>
          <t>2.28.19</t>
        </is>
      </c>
      <c r="B471" s="90" t="inlineStr">
        <is>
          <t>MATERIAL</t>
        </is>
      </c>
      <c r="C471" s="90" t="n"/>
      <c r="D471" s="90" t="n"/>
      <c r="E471" s="98" t="inlineStr">
        <is>
          <t>Fornecimento de Cubículos de Serviços Auxiliares (Item 18) *Nota 4</t>
        </is>
      </c>
      <c r="F471" s="91" t="inlineStr">
        <is>
          <t>VB.</t>
        </is>
      </c>
      <c r="G471" s="91" t="n">
        <v>1</v>
      </c>
      <c r="H471" s="1289" t="n">
        <v>201945.05</v>
      </c>
      <c r="I471" s="367" t="n"/>
      <c r="J471" s="1275" t="n"/>
      <c r="K471" s="1278" t="n"/>
      <c r="L471" s="1277" t="n"/>
      <c r="M471" s="238" t="inlineStr">
        <is>
          <t>INSIGHT ENERGY</t>
        </is>
      </c>
      <c r="N471" s="237" t="n"/>
      <c r="O471" s="302" t="n"/>
      <c r="P471" s="309" t="n"/>
      <c r="Q471" s="310" t="n"/>
      <c r="R471" s="310" t="n"/>
      <c r="S471" s="311" t="n"/>
      <c r="T471" s="311" t="n"/>
      <c r="U471" s="309" t="n"/>
      <c r="V471" s="1279">
        <f>G471*H471</f>
        <v/>
      </c>
    </row>
    <row r="472" ht="15" customFormat="1" customHeight="1" s="353">
      <c r="A472" s="341" t="n"/>
      <c r="B472" s="340" t="n"/>
      <c r="C472" s="340" t="inlineStr">
        <is>
          <t>.</t>
        </is>
      </c>
      <c r="D472" s="340" t="n"/>
      <c r="E472" s="342" t="n"/>
      <c r="F472" s="343" t="n"/>
      <c r="G472" s="344" t="n"/>
      <c r="H472" s="1267" t="n"/>
      <c r="I472" s="316" t="n"/>
      <c r="J472" s="1268" t="n"/>
      <c r="K472" s="345" t="n"/>
      <c r="L472" s="346" t="n"/>
      <c r="M472" s="347" t="n"/>
      <c r="N472" s="348" t="n"/>
      <c r="O472" s="1269" t="n"/>
      <c r="P472" s="1270" t="n"/>
      <c r="Q472" s="1269" t="n"/>
      <c r="R472" s="1270" t="n"/>
      <c r="S472" s="1271" t="n"/>
      <c r="T472" s="1270" t="n"/>
      <c r="U472" s="1271" t="n"/>
      <c r="V472" s="1272" t="n"/>
    </row>
    <row r="473" ht="15" customHeight="1">
      <c r="A473" s="89" t="inlineStr">
        <is>
          <t>2.28.20</t>
        </is>
      </c>
      <c r="B473" s="90" t="inlineStr">
        <is>
          <t>MATERIAL</t>
        </is>
      </c>
      <c r="C473" s="90" t="n"/>
      <c r="D473" s="90" t="n"/>
      <c r="E473" s="98" t="inlineStr">
        <is>
          <t>Fornecimento de Sistema de Aterramento para Subestação (Item 19) *Nota 4</t>
        </is>
      </c>
      <c r="F473" s="91" t="inlineStr">
        <is>
          <t>VB.</t>
        </is>
      </c>
      <c r="G473" s="91" t="n">
        <v>1</v>
      </c>
      <c r="H473" s="1289" t="n">
        <v>30883.69</v>
      </c>
      <c r="I473" s="367" t="n"/>
      <c r="J473" s="1275" t="n"/>
      <c r="K473" s="1278" t="n"/>
      <c r="L473" s="1277" t="n"/>
      <c r="M473" s="238" t="inlineStr">
        <is>
          <t>INSIGHT ENERGY</t>
        </is>
      </c>
      <c r="N473" s="237" t="n"/>
      <c r="O473" s="302" t="n"/>
      <c r="P473" s="309" t="n"/>
      <c r="Q473" s="310" t="n"/>
      <c r="R473" s="310" t="n"/>
      <c r="S473" s="311" t="n"/>
      <c r="T473" s="311" t="n"/>
      <c r="U473" s="309" t="n"/>
      <c r="V473" s="1279">
        <f>G473*H473</f>
        <v/>
      </c>
    </row>
    <row r="474" ht="15" customFormat="1" customHeight="1" s="353">
      <c r="A474" s="341" t="n"/>
      <c r="B474" s="340" t="n"/>
      <c r="C474" s="340" t="inlineStr">
        <is>
          <t>.</t>
        </is>
      </c>
      <c r="D474" s="340" t="n"/>
      <c r="E474" s="342" t="n"/>
      <c r="F474" s="343" t="n"/>
      <c r="G474" s="344" t="n"/>
      <c r="H474" s="1267" t="n"/>
      <c r="I474" s="316" t="n"/>
      <c r="J474" s="1268" t="n"/>
      <c r="K474" s="345" t="n"/>
      <c r="L474" s="346" t="n"/>
      <c r="M474" s="347" t="n"/>
      <c r="N474" s="348" t="n"/>
      <c r="O474" s="1269" t="n"/>
      <c r="P474" s="1270" t="n"/>
      <c r="Q474" s="1269" t="n"/>
      <c r="R474" s="1270" t="n"/>
      <c r="S474" s="1271" t="n"/>
      <c r="T474" s="1270" t="n"/>
      <c r="U474" s="1271" t="n"/>
      <c r="V474" s="1272" t="n"/>
    </row>
    <row r="475" ht="27.6" customHeight="1">
      <c r="A475" s="89" t="inlineStr">
        <is>
          <t>2.28.21</t>
        </is>
      </c>
      <c r="B475" s="90" t="inlineStr">
        <is>
          <t>MATERIAL</t>
        </is>
      </c>
      <c r="C475" s="90" t="n"/>
      <c r="D475" s="90" t="n"/>
      <c r="E475" s="98" t="inlineStr">
        <is>
          <t>Fornecimento de Sistema de Iluminação e Força da Subestação (Item 20) *Nota 4</t>
        </is>
      </c>
      <c r="F475" s="91" t="inlineStr">
        <is>
          <t>VB.</t>
        </is>
      </c>
      <c r="G475" s="91" t="n">
        <v>1</v>
      </c>
      <c r="H475" s="1289" t="n">
        <v>40491.95</v>
      </c>
      <c r="I475" s="367" t="n"/>
      <c r="J475" s="1275" t="n"/>
      <c r="K475" s="1278" t="n"/>
      <c r="L475" s="1277" t="n"/>
      <c r="M475" s="238" t="inlineStr">
        <is>
          <t>INSIGHT ENERGY</t>
        </is>
      </c>
      <c r="N475" s="237" t="n"/>
      <c r="O475" s="302" t="n"/>
      <c r="P475" s="309" t="n"/>
      <c r="Q475" s="310" t="n"/>
      <c r="R475" s="310" t="n"/>
      <c r="S475" s="311" t="n"/>
      <c r="T475" s="311" t="n"/>
      <c r="U475" s="309" t="n"/>
      <c r="V475" s="1279">
        <f>G475*H475</f>
        <v/>
      </c>
    </row>
    <row r="476" ht="15" customFormat="1" customHeight="1" s="353">
      <c r="A476" s="341" t="n"/>
      <c r="B476" s="340" t="n"/>
      <c r="C476" s="340" t="inlineStr">
        <is>
          <t>.</t>
        </is>
      </c>
      <c r="D476" s="340" t="n"/>
      <c r="E476" s="342" t="n"/>
      <c r="F476" s="343" t="n"/>
      <c r="G476" s="344" t="n"/>
      <c r="H476" s="1267" t="n"/>
      <c r="I476" s="316" t="n"/>
      <c r="J476" s="1268" t="n"/>
      <c r="K476" s="345" t="n"/>
      <c r="L476" s="346" t="n"/>
      <c r="M476" s="347" t="n"/>
      <c r="N476" s="348" t="n"/>
      <c r="O476" s="1269" t="n"/>
      <c r="P476" s="1270" t="n"/>
      <c r="Q476" s="1269" t="n"/>
      <c r="R476" s="1270" t="n"/>
      <c r="S476" s="1271" t="n"/>
      <c r="T476" s="1270" t="n"/>
      <c r="U476" s="1271" t="n"/>
      <c r="V476" s="1272" t="n"/>
    </row>
    <row r="477" ht="15" customHeight="1">
      <c r="A477" s="89" t="inlineStr">
        <is>
          <t>2.28.22</t>
        </is>
      </c>
      <c r="B477" s="90" t="inlineStr">
        <is>
          <t>MATERIAL</t>
        </is>
      </c>
      <c r="C477" s="90" t="n"/>
      <c r="D477" s="90" t="n"/>
      <c r="E477" s="98" t="inlineStr">
        <is>
          <t>Fornecimento de Eletrodutos (Condutos) (Item 21) *Nota 4</t>
        </is>
      </c>
      <c r="F477" s="91" t="inlineStr">
        <is>
          <t>VB.</t>
        </is>
      </c>
      <c r="G477" s="91" t="n">
        <v>1</v>
      </c>
      <c r="H477" s="1289" t="n">
        <v>106548.74</v>
      </c>
      <c r="I477" s="367" t="n"/>
      <c r="J477" s="1275" t="n"/>
      <c r="K477" s="1278" t="n"/>
      <c r="L477" s="1277" t="n"/>
      <c r="M477" s="238" t="inlineStr">
        <is>
          <t>INSIGHT ENERGY</t>
        </is>
      </c>
      <c r="N477" s="237" t="n"/>
      <c r="O477" s="302" t="n"/>
      <c r="P477" s="309" t="n"/>
      <c r="Q477" s="310" t="n"/>
      <c r="R477" s="310" t="n"/>
      <c r="S477" s="311" t="n"/>
      <c r="T477" s="311" t="n"/>
      <c r="U477" s="309" t="n"/>
      <c r="V477" s="1279">
        <f>G477*H477</f>
        <v/>
      </c>
    </row>
    <row r="478" ht="15" customFormat="1" customHeight="1" s="353">
      <c r="A478" s="341" t="n"/>
      <c r="B478" s="340" t="n"/>
      <c r="C478" s="340" t="inlineStr">
        <is>
          <t>.</t>
        </is>
      </c>
      <c r="D478" s="340" t="n"/>
      <c r="E478" s="342" t="n"/>
      <c r="F478" s="343" t="n"/>
      <c r="G478" s="344" t="n"/>
      <c r="H478" s="1267" t="n"/>
      <c r="I478" s="316" t="n"/>
      <c r="J478" s="1268" t="n"/>
      <c r="K478" s="345" t="n"/>
      <c r="L478" s="346" t="n"/>
      <c r="M478" s="347" t="n"/>
      <c r="N478" s="348" t="n"/>
      <c r="O478" s="1269" t="n"/>
      <c r="P478" s="1270" t="n"/>
      <c r="Q478" s="1269" t="n"/>
      <c r="R478" s="1270" t="n"/>
      <c r="S478" s="1271" t="n"/>
      <c r="T478" s="1270" t="n"/>
      <c r="U478" s="1271" t="n"/>
      <c r="V478" s="1272" t="n"/>
    </row>
    <row r="479" ht="27.6" customHeight="1">
      <c r="A479" s="89" t="inlineStr">
        <is>
          <t>2.28.23</t>
        </is>
      </c>
      <c r="B479" s="90" t="inlineStr">
        <is>
          <t>MATERIAL</t>
        </is>
      </c>
      <c r="C479" s="90" t="n"/>
      <c r="D479" s="90" t="n"/>
      <c r="E479" s="98" t="inlineStr">
        <is>
          <t>Fornecimento de Equipamentos e Materiais para Arranjo Provisório de MT (Item 22) *Nota 4</t>
        </is>
      </c>
      <c r="F479" s="91" t="inlineStr">
        <is>
          <t>VB.</t>
        </is>
      </c>
      <c r="G479" s="91" t="n">
        <v>1</v>
      </c>
      <c r="H479" s="1289" t="n">
        <v>949991.88</v>
      </c>
      <c r="I479" s="367" t="n"/>
      <c r="J479" s="1275" t="n"/>
      <c r="K479" s="1278" t="n"/>
      <c r="L479" s="1277" t="n"/>
      <c r="M479" s="238" t="inlineStr">
        <is>
          <t>INSIGHT ENERGY</t>
        </is>
      </c>
      <c r="N479" s="237" t="n"/>
      <c r="O479" s="302" t="n"/>
      <c r="P479" s="309" t="n"/>
      <c r="Q479" s="310" t="n"/>
      <c r="R479" s="310" t="n"/>
      <c r="S479" s="311" t="n"/>
      <c r="T479" s="311" t="n"/>
      <c r="U479" s="309" t="n"/>
      <c r="V479" s="1279">
        <f>G479*H479</f>
        <v/>
      </c>
    </row>
    <row r="480" ht="15" customFormat="1" customHeight="1" s="353">
      <c r="A480" s="341" t="n"/>
      <c r="B480" s="340" t="n"/>
      <c r="C480" s="340" t="inlineStr">
        <is>
          <t>.</t>
        </is>
      </c>
      <c r="D480" s="340" t="n"/>
      <c r="E480" s="342" t="n"/>
      <c r="F480" s="343" t="n"/>
      <c r="G480" s="344" t="n"/>
      <c r="H480" s="1267" t="n"/>
      <c r="I480" s="316" t="n"/>
      <c r="J480" s="1268" t="n"/>
      <c r="K480" s="345" t="n"/>
      <c r="L480" s="346" t="n"/>
      <c r="M480" s="347" t="n"/>
      <c r="N480" s="348" t="n"/>
      <c r="O480" s="1269" t="n"/>
      <c r="P480" s="1270" t="n"/>
      <c r="Q480" s="1269" t="n"/>
      <c r="R480" s="1270" t="n"/>
      <c r="S480" s="1271" t="n"/>
      <c r="T480" s="1270" t="n"/>
      <c r="U480" s="1271" t="n"/>
      <c r="V480" s="1272" t="n"/>
    </row>
    <row r="481" ht="15" customHeight="1">
      <c r="A481" s="89" t="inlineStr">
        <is>
          <t>2.28.24</t>
        </is>
      </c>
      <c r="B481" s="90" t="inlineStr">
        <is>
          <t>SERVIÇO</t>
        </is>
      </c>
      <c r="C481" s="90" t="n"/>
      <c r="D481" s="90" t="n"/>
      <c r="E481" s="98" t="inlineStr">
        <is>
          <t>Terraplenagem</t>
        </is>
      </c>
      <c r="F481" s="91" t="inlineStr">
        <is>
          <t>VB.</t>
        </is>
      </c>
      <c r="G481" s="91" t="n">
        <v>1</v>
      </c>
      <c r="H481" s="1289" t="n">
        <v>339720.64</v>
      </c>
      <c r="I481" s="367" t="n"/>
      <c r="J481" s="1275" t="n"/>
      <c r="K481" s="9" t="n"/>
      <c r="L481" s="10" t="n"/>
      <c r="M481" s="238" t="inlineStr">
        <is>
          <t>INSIGHT ENERGY</t>
        </is>
      </c>
      <c r="N481" s="237" t="n"/>
      <c r="O481" s="1276" t="n"/>
      <c r="P481" s="1277" t="n"/>
      <c r="Q481" s="1276" t="n"/>
      <c r="R481" s="1277" t="n"/>
      <c r="S481" s="1278" t="n"/>
      <c r="T481" s="1277" t="n"/>
      <c r="U481" s="1278" t="n"/>
      <c r="V481" s="1279">
        <f>G481*H481</f>
        <v/>
      </c>
    </row>
    <row r="482" ht="15" customFormat="1" customHeight="1" s="353">
      <c r="A482" s="341" t="n"/>
      <c r="B482" s="340" t="n"/>
      <c r="C482" s="340" t="inlineStr">
        <is>
          <t>.</t>
        </is>
      </c>
      <c r="D482" s="340" t="n"/>
      <c r="E482" s="342" t="n"/>
      <c r="F482" s="343" t="n"/>
      <c r="G482" s="344" t="n"/>
      <c r="H482" s="1267" t="n"/>
      <c r="I482" s="316" t="n"/>
      <c r="J482" s="1268" t="n"/>
      <c r="K482" s="345" t="n"/>
      <c r="L482" s="346" t="n"/>
      <c r="M482" s="347" t="n"/>
      <c r="N482" s="348" t="n"/>
      <c r="O482" s="1269" t="n"/>
      <c r="P482" s="1270" t="n"/>
      <c r="Q482" s="1269" t="n"/>
      <c r="R482" s="1270" t="n"/>
      <c r="S482" s="1271" t="n"/>
      <c r="T482" s="1270" t="n"/>
      <c r="U482" s="1271" t="n"/>
      <c r="V482" s="1272" t="n"/>
    </row>
    <row r="483" ht="15" customHeight="1">
      <c r="A483" s="89" t="inlineStr">
        <is>
          <t>2.28.25</t>
        </is>
      </c>
      <c r="B483" s="90" t="inlineStr">
        <is>
          <t>SERVIÇO</t>
        </is>
      </c>
      <c r="C483" s="90" t="n"/>
      <c r="D483" s="90" t="n"/>
      <c r="E483" s="98" t="inlineStr">
        <is>
          <t>Sistema de Aterramento</t>
        </is>
      </c>
      <c r="F483" s="91" t="inlineStr">
        <is>
          <t>VB.</t>
        </is>
      </c>
      <c r="G483" s="91" t="n">
        <v>1</v>
      </c>
      <c r="H483" s="1289" t="n">
        <v>141550.26</v>
      </c>
      <c r="I483" s="367" t="n"/>
      <c r="J483" s="1275" t="n"/>
      <c r="K483" s="9" t="n"/>
      <c r="L483" s="10" t="n"/>
      <c r="M483" s="238" t="inlineStr">
        <is>
          <t>INSIGHT ENERGY</t>
        </is>
      </c>
      <c r="N483" s="237" t="n"/>
      <c r="O483" s="1276" t="n"/>
      <c r="P483" s="1277" t="n"/>
      <c r="Q483" s="1276" t="n"/>
      <c r="R483" s="1277" t="n"/>
      <c r="S483" s="1278" t="n"/>
      <c r="T483" s="1277" t="n"/>
      <c r="U483" s="1278" t="n"/>
      <c r="V483" s="1279">
        <f>G483*H483</f>
        <v/>
      </c>
    </row>
    <row r="484" ht="15" customFormat="1" customHeight="1" s="353">
      <c r="A484" s="341" t="n"/>
      <c r="B484" s="340" t="n"/>
      <c r="C484" s="340" t="inlineStr">
        <is>
          <t>.</t>
        </is>
      </c>
      <c r="D484" s="340" t="n"/>
      <c r="E484" s="342" t="n"/>
      <c r="F484" s="343" t="n"/>
      <c r="G484" s="344" t="n"/>
      <c r="H484" s="1267" t="n"/>
      <c r="I484" s="316" t="n"/>
      <c r="J484" s="1268" t="n"/>
      <c r="K484" s="345" t="n"/>
      <c r="L484" s="346" t="n"/>
      <c r="M484" s="347" t="n"/>
      <c r="N484" s="348" t="n"/>
      <c r="O484" s="1269" t="n"/>
      <c r="P484" s="1270" t="n"/>
      <c r="Q484" s="1269" t="n"/>
      <c r="R484" s="1270" t="n"/>
      <c r="S484" s="1271" t="n"/>
      <c r="T484" s="1270" t="n"/>
      <c r="U484" s="1271" t="n"/>
      <c r="V484" s="1272" t="n"/>
    </row>
    <row r="485" ht="15" customHeight="1">
      <c r="A485" s="89" t="inlineStr">
        <is>
          <t>2.28.26</t>
        </is>
      </c>
      <c r="B485" s="90" t="inlineStr">
        <is>
          <t>SERVIÇO</t>
        </is>
      </c>
      <c r="C485" s="90" t="n"/>
      <c r="D485" s="90" t="n"/>
      <c r="E485" s="98" t="inlineStr">
        <is>
          <t>Fundações (Estruturas de Barramentos)</t>
        </is>
      </c>
      <c r="F485" s="91" t="inlineStr">
        <is>
          <t>VB.</t>
        </is>
      </c>
      <c r="G485" s="91" t="n">
        <v>1</v>
      </c>
      <c r="H485" s="1289" t="n">
        <v>158707.87</v>
      </c>
      <c r="I485" s="367" t="n"/>
      <c r="J485" s="1275" t="n"/>
      <c r="K485" s="9" t="n"/>
      <c r="L485" s="10" t="n"/>
      <c r="M485" s="238" t="inlineStr">
        <is>
          <t>INSIGHT ENERGY</t>
        </is>
      </c>
      <c r="N485" s="237" t="n"/>
      <c r="O485" s="1276" t="n"/>
      <c r="P485" s="1277" t="n"/>
      <c r="Q485" s="1276" t="n"/>
      <c r="R485" s="1277" t="n"/>
      <c r="S485" s="1278" t="n"/>
      <c r="T485" s="1277" t="n"/>
      <c r="U485" s="1278" t="n"/>
      <c r="V485" s="1279">
        <f>G485*H485</f>
        <v/>
      </c>
    </row>
    <row r="486" ht="15" customFormat="1" customHeight="1" s="353">
      <c r="A486" s="341" t="n"/>
      <c r="B486" s="340" t="n"/>
      <c r="C486" s="340" t="inlineStr">
        <is>
          <t>.</t>
        </is>
      </c>
      <c r="D486" s="340" t="n"/>
      <c r="E486" s="342" t="n"/>
      <c r="F486" s="343" t="n"/>
      <c r="G486" s="344" t="n"/>
      <c r="H486" s="1267" t="n"/>
      <c r="I486" s="316" t="n"/>
      <c r="J486" s="1268" t="n"/>
      <c r="K486" s="345" t="n"/>
      <c r="L486" s="346" t="n"/>
      <c r="M486" s="347" t="n"/>
      <c r="N486" s="348" t="n"/>
      <c r="O486" s="1269" t="n"/>
      <c r="P486" s="1270" t="n"/>
      <c r="Q486" s="1269" t="n"/>
      <c r="R486" s="1270" t="n"/>
      <c r="S486" s="1271" t="n"/>
      <c r="T486" s="1270" t="n"/>
      <c r="U486" s="1271" t="n"/>
      <c r="V486" s="1272" t="n"/>
    </row>
    <row r="487" ht="15" customHeight="1">
      <c r="A487" s="89" t="inlineStr">
        <is>
          <t>2.28.27</t>
        </is>
      </c>
      <c r="B487" s="90" t="inlineStr">
        <is>
          <t>SERVIÇO</t>
        </is>
      </c>
      <c r="C487" s="90" t="n"/>
      <c r="D487" s="90" t="n"/>
      <c r="E487" s="98" t="inlineStr">
        <is>
          <t>Fundações (Equipamentos)</t>
        </is>
      </c>
      <c r="F487" s="91" t="inlineStr">
        <is>
          <t>VB.</t>
        </is>
      </c>
      <c r="G487" s="91" t="n">
        <v>1</v>
      </c>
      <c r="H487" s="1289" t="n">
        <v>350222.74</v>
      </c>
      <c r="I487" s="367" t="n"/>
      <c r="J487" s="1275" t="n"/>
      <c r="K487" s="9" t="n"/>
      <c r="L487" s="10" t="n"/>
      <c r="M487" s="238" t="inlineStr">
        <is>
          <t>INSIGHT ENERGY</t>
        </is>
      </c>
      <c r="N487" s="237" t="n"/>
      <c r="O487" s="1276" t="n"/>
      <c r="P487" s="1277" t="n"/>
      <c r="Q487" s="1276" t="n"/>
      <c r="R487" s="1277" t="n"/>
      <c r="S487" s="1278" t="n"/>
      <c r="T487" s="1277" t="n"/>
      <c r="U487" s="1278" t="n"/>
      <c r="V487" s="1279">
        <f>G487*H487</f>
        <v/>
      </c>
    </row>
    <row r="488" ht="15" customFormat="1" customHeight="1" s="353">
      <c r="A488" s="341" t="n"/>
      <c r="B488" s="340" t="n"/>
      <c r="C488" s="340" t="inlineStr">
        <is>
          <t>.</t>
        </is>
      </c>
      <c r="D488" s="340" t="n"/>
      <c r="E488" s="342" t="n"/>
      <c r="F488" s="343" t="n"/>
      <c r="G488" s="344" t="n"/>
      <c r="H488" s="1267" t="n"/>
      <c r="I488" s="316" t="n"/>
      <c r="J488" s="1268" t="n"/>
      <c r="K488" s="345" t="n"/>
      <c r="L488" s="346" t="n"/>
      <c r="M488" s="347" t="n"/>
      <c r="N488" s="348" t="n"/>
      <c r="O488" s="1269" t="n"/>
      <c r="P488" s="1270" t="n"/>
      <c r="Q488" s="1269" t="n"/>
      <c r="R488" s="1270" t="n"/>
      <c r="S488" s="1271" t="n"/>
      <c r="T488" s="1270" t="n"/>
      <c r="U488" s="1271" t="n"/>
      <c r="V488" s="1272" t="n"/>
    </row>
    <row r="489" ht="15" customHeight="1">
      <c r="A489" s="89" t="inlineStr">
        <is>
          <t>2.28.28</t>
        </is>
      </c>
      <c r="B489" s="90" t="inlineStr">
        <is>
          <t>SERVIÇO</t>
        </is>
      </c>
      <c r="C489" s="90" t="n"/>
      <c r="D489" s="90" t="n"/>
      <c r="E489" s="98" t="inlineStr">
        <is>
          <t>Drenagem</t>
        </is>
      </c>
      <c r="F489" s="91" t="inlineStr">
        <is>
          <t>VB.</t>
        </is>
      </c>
      <c r="G489" s="91" t="n">
        <v>1</v>
      </c>
      <c r="H489" s="1289" t="n">
        <v>238833.9</v>
      </c>
      <c r="I489" s="367" t="n"/>
      <c r="J489" s="1275" t="n"/>
      <c r="K489" s="9" t="n"/>
      <c r="L489" s="10" t="n"/>
      <c r="M489" s="238" t="inlineStr">
        <is>
          <t>INSIGHT ENERGY</t>
        </is>
      </c>
      <c r="N489" s="237" t="n"/>
      <c r="O489" s="1276" t="n"/>
      <c r="P489" s="1277" t="n"/>
      <c r="Q489" s="1276" t="n"/>
      <c r="R489" s="1277" t="n"/>
      <c r="S489" s="1278" t="n"/>
      <c r="T489" s="1277" t="n"/>
      <c r="U489" s="1278" t="n"/>
      <c r="V489" s="1279">
        <f>G489*H489</f>
        <v/>
      </c>
    </row>
    <row r="490" ht="15" customFormat="1" customHeight="1" s="353">
      <c r="A490" s="341" t="n"/>
      <c r="B490" s="340" t="n"/>
      <c r="C490" s="340" t="inlineStr">
        <is>
          <t>.</t>
        </is>
      </c>
      <c r="D490" s="340" t="n"/>
      <c r="E490" s="342" t="n"/>
      <c r="F490" s="343" t="n"/>
      <c r="G490" s="344" t="n"/>
      <c r="H490" s="1267" t="n"/>
      <c r="I490" s="316" t="n"/>
      <c r="J490" s="1268" t="n"/>
      <c r="K490" s="345" t="n"/>
      <c r="L490" s="346" t="n"/>
      <c r="M490" s="347" t="n"/>
      <c r="N490" s="348" t="n"/>
      <c r="O490" s="1269" t="n"/>
      <c r="P490" s="1270" t="n"/>
      <c r="Q490" s="1269" t="n"/>
      <c r="R490" s="1270" t="n"/>
      <c r="S490" s="1271" t="n"/>
      <c r="T490" s="1270" t="n"/>
      <c r="U490" s="1271" t="n"/>
      <c r="V490" s="1272" t="n"/>
    </row>
    <row r="491" ht="15" customHeight="1">
      <c r="A491" s="89" t="inlineStr">
        <is>
          <t>2.28.29</t>
        </is>
      </c>
      <c r="B491" s="90" t="inlineStr">
        <is>
          <t>SERVIÇO</t>
        </is>
      </c>
      <c r="C491" s="90" t="n"/>
      <c r="D491" s="90" t="n"/>
      <c r="E491" s="98" t="inlineStr">
        <is>
          <t xml:space="preserve">Urbanização </t>
        </is>
      </c>
      <c r="F491" s="91" t="inlineStr">
        <is>
          <t>VB.</t>
        </is>
      </c>
      <c r="G491" s="91" t="n">
        <v>1</v>
      </c>
      <c r="H491" s="1289" t="n">
        <v>175865.48</v>
      </c>
      <c r="I491" s="367" t="n"/>
      <c r="J491" s="1275" t="n"/>
      <c r="K491" s="9" t="n"/>
      <c r="L491" s="10" t="n"/>
      <c r="M491" s="238" t="inlineStr">
        <is>
          <t>INSIGHT ENERGY</t>
        </is>
      </c>
      <c r="N491" s="237" t="n"/>
      <c r="O491" s="1276" t="n"/>
      <c r="P491" s="1277" t="n"/>
      <c r="Q491" s="1276" t="n"/>
      <c r="R491" s="1277" t="n"/>
      <c r="S491" s="1278" t="n"/>
      <c r="T491" s="1277" t="n"/>
      <c r="U491" s="1278" t="n"/>
      <c r="V491" s="1279">
        <f>G491*H491</f>
        <v/>
      </c>
    </row>
    <row r="492" ht="15" customFormat="1" customHeight="1" s="353">
      <c r="A492" s="341" t="n"/>
      <c r="B492" s="340" t="n"/>
      <c r="C492" s="340" t="inlineStr">
        <is>
          <t>.</t>
        </is>
      </c>
      <c r="D492" s="340" t="n"/>
      <c r="E492" s="342" t="n"/>
      <c r="F492" s="343" t="n"/>
      <c r="G492" s="344" t="n"/>
      <c r="H492" s="1267" t="n"/>
      <c r="I492" s="316" t="n"/>
      <c r="J492" s="1268" t="n"/>
      <c r="K492" s="345" t="n"/>
      <c r="L492" s="346" t="n"/>
      <c r="M492" s="347" t="n"/>
      <c r="N492" s="348" t="n"/>
      <c r="O492" s="1269" t="n"/>
      <c r="P492" s="1270" t="n"/>
      <c r="Q492" s="1269" t="n"/>
      <c r="R492" s="1270" t="n"/>
      <c r="S492" s="1271" t="n"/>
      <c r="T492" s="1270" t="n"/>
      <c r="U492" s="1271" t="n"/>
      <c r="V492" s="1272" t="n"/>
    </row>
    <row r="493" ht="15" customHeight="1">
      <c r="A493" s="89" t="inlineStr">
        <is>
          <t>2.28.30</t>
        </is>
      </c>
      <c r="B493" s="90" t="inlineStr">
        <is>
          <t>SERVIÇO</t>
        </is>
      </c>
      <c r="C493" s="90" t="n"/>
      <c r="D493" s="90" t="n"/>
      <c r="E493" s="98" t="inlineStr">
        <is>
          <t>Serviços Complementares</t>
        </is>
      </c>
      <c r="F493" s="91" t="inlineStr">
        <is>
          <t>VB.</t>
        </is>
      </c>
      <c r="G493" s="91" t="n">
        <v>1</v>
      </c>
      <c r="H493" s="1289" t="n">
        <v>96082.60000000001</v>
      </c>
      <c r="I493" s="367" t="n"/>
      <c r="J493" s="1275" t="n"/>
      <c r="K493" s="9" t="n"/>
      <c r="L493" s="10" t="n"/>
      <c r="M493" s="238" t="inlineStr">
        <is>
          <t>INSIGHT ENERGY</t>
        </is>
      </c>
      <c r="N493" s="237" t="n"/>
      <c r="O493" s="1276" t="n"/>
      <c r="P493" s="1277" t="n"/>
      <c r="Q493" s="1276" t="n"/>
      <c r="R493" s="1277" t="n"/>
      <c r="S493" s="1278" t="n"/>
      <c r="T493" s="1277" t="n"/>
      <c r="U493" s="1278" t="n"/>
      <c r="V493" s="1279">
        <f>G493*H493</f>
        <v/>
      </c>
    </row>
    <row r="494" ht="15" customFormat="1" customHeight="1" s="353">
      <c r="A494" s="341" t="n"/>
      <c r="B494" s="340" t="n"/>
      <c r="C494" s="340" t="inlineStr">
        <is>
          <t>.</t>
        </is>
      </c>
      <c r="D494" s="340" t="n"/>
      <c r="E494" s="342" t="n"/>
      <c r="F494" s="343" t="n"/>
      <c r="G494" s="344" t="n"/>
      <c r="H494" s="1267" t="n"/>
      <c r="I494" s="316" t="n"/>
      <c r="J494" s="1268" t="n"/>
      <c r="K494" s="345" t="n"/>
      <c r="L494" s="346" t="n"/>
      <c r="M494" s="347" t="n"/>
      <c r="N494" s="348" t="n"/>
      <c r="O494" s="1269" t="n"/>
      <c r="P494" s="1270" t="n"/>
      <c r="Q494" s="1269" t="n"/>
      <c r="R494" s="1270" t="n"/>
      <c r="S494" s="1271" t="n"/>
      <c r="T494" s="1270" t="n"/>
      <c r="U494" s="1271" t="n"/>
      <c r="V494" s="1272" t="n"/>
    </row>
    <row r="495" ht="15" customHeight="1">
      <c r="A495" s="89" t="inlineStr">
        <is>
          <t>2.28.31</t>
        </is>
      </c>
      <c r="B495" s="90" t="inlineStr">
        <is>
          <t>SERVIÇO</t>
        </is>
      </c>
      <c r="C495" s="90" t="n"/>
      <c r="D495" s="90" t="n"/>
      <c r="E495" s="98" t="inlineStr">
        <is>
          <t>Demolições</t>
        </is>
      </c>
      <c r="F495" s="91" t="inlineStr">
        <is>
          <t>VB.</t>
        </is>
      </c>
      <c r="G495" s="91" t="n">
        <v>1</v>
      </c>
      <c r="H495" s="1289" t="n">
        <v>126966.3</v>
      </c>
      <c r="I495" s="367" t="n"/>
      <c r="J495" s="1275" t="n"/>
      <c r="K495" s="9" t="n"/>
      <c r="L495" s="10" t="n"/>
      <c r="M495" s="238" t="inlineStr">
        <is>
          <t>INSIGHT ENERGY</t>
        </is>
      </c>
      <c r="N495" s="237" t="n"/>
      <c r="O495" s="1276" t="n"/>
      <c r="P495" s="1277" t="n"/>
      <c r="Q495" s="1276" t="n"/>
      <c r="R495" s="1277" t="n"/>
      <c r="S495" s="1278" t="n"/>
      <c r="T495" s="1277" t="n"/>
      <c r="U495" s="1278" t="n"/>
      <c r="V495" s="1279">
        <f>G495*H495</f>
        <v/>
      </c>
    </row>
    <row r="496" ht="15" customFormat="1" customHeight="1" s="353">
      <c r="A496" s="341" t="n"/>
      <c r="B496" s="340" t="n"/>
      <c r="C496" s="340" t="inlineStr">
        <is>
          <t>.</t>
        </is>
      </c>
      <c r="D496" s="340" t="n"/>
      <c r="E496" s="342" t="n"/>
      <c r="F496" s="343" t="n"/>
      <c r="G496" s="344" t="n"/>
      <c r="H496" s="1267" t="n"/>
      <c r="I496" s="316" t="n"/>
      <c r="J496" s="1268" t="n"/>
      <c r="K496" s="345" t="n"/>
      <c r="L496" s="346" t="n"/>
      <c r="M496" s="347" t="n"/>
      <c r="N496" s="348" t="n"/>
      <c r="O496" s="1269" t="n"/>
      <c r="P496" s="1270" t="n"/>
      <c r="Q496" s="1269" t="n"/>
      <c r="R496" s="1270" t="n"/>
      <c r="S496" s="1271" t="n"/>
      <c r="T496" s="1270" t="n"/>
      <c r="U496" s="1271" t="n"/>
      <c r="V496" s="1272" t="n"/>
    </row>
    <row r="497" ht="15" customHeight="1">
      <c r="A497" s="89" t="inlineStr">
        <is>
          <t>2.28.32</t>
        </is>
      </c>
      <c r="B497" s="90" t="inlineStr">
        <is>
          <t>SERVIÇO</t>
        </is>
      </c>
      <c r="C497" s="90" t="n"/>
      <c r="D497" s="90" t="n"/>
      <c r="E497" s="98" t="inlineStr">
        <is>
          <t>Montagem de Estruturas Suporte de Equipamentos</t>
        </is>
      </c>
      <c r="F497" s="91" t="inlineStr">
        <is>
          <t>VB.</t>
        </is>
      </c>
      <c r="G497" s="91" t="n">
        <v>1</v>
      </c>
      <c r="H497" s="1289" t="n">
        <v>115041.76</v>
      </c>
      <c r="I497" s="367" t="n"/>
      <c r="J497" s="1275" t="n"/>
      <c r="K497" s="9" t="n"/>
      <c r="L497" s="10" t="n"/>
      <c r="M497" s="238" t="inlineStr">
        <is>
          <t>INSIGHT ENERGY</t>
        </is>
      </c>
      <c r="N497" s="237" t="n"/>
      <c r="O497" s="1276" t="n"/>
      <c r="P497" s="1277" t="n"/>
      <c r="Q497" s="1276" t="n"/>
      <c r="R497" s="1277" t="n"/>
      <c r="S497" s="1278" t="n"/>
      <c r="T497" s="1277" t="n"/>
      <c r="U497" s="1278" t="n"/>
      <c r="V497" s="1279">
        <f>G497*H497</f>
        <v/>
      </c>
    </row>
    <row r="498" ht="15" customFormat="1" customHeight="1" s="353">
      <c r="A498" s="341" t="n"/>
      <c r="B498" s="340" t="n"/>
      <c r="C498" s="340" t="inlineStr">
        <is>
          <t>.</t>
        </is>
      </c>
      <c r="D498" s="340" t="n"/>
      <c r="E498" s="342" t="n"/>
      <c r="F498" s="343" t="n"/>
      <c r="G498" s="344" t="n"/>
      <c r="H498" s="1267" t="n"/>
      <c r="I498" s="316" t="n"/>
      <c r="J498" s="1268" t="n"/>
      <c r="K498" s="345" t="n"/>
      <c r="L498" s="346" t="n"/>
      <c r="M498" s="347" t="n"/>
      <c r="N498" s="348" t="n"/>
      <c r="O498" s="1269" t="n"/>
      <c r="P498" s="1270" t="n"/>
      <c r="Q498" s="1269" t="n"/>
      <c r="R498" s="1270" t="n"/>
      <c r="S498" s="1271" t="n"/>
      <c r="T498" s="1270" t="n"/>
      <c r="U498" s="1271" t="n"/>
      <c r="V498" s="1272" t="n"/>
    </row>
    <row r="499" ht="15" customHeight="1">
      <c r="A499" s="89" t="inlineStr">
        <is>
          <t>2.28.33</t>
        </is>
      </c>
      <c r="B499" s="90" t="inlineStr">
        <is>
          <t>SERVIÇO</t>
        </is>
      </c>
      <c r="C499" s="90" t="n"/>
      <c r="D499" s="90" t="n"/>
      <c r="E499" s="98" t="inlineStr">
        <is>
          <t>Montagem de Estruturas Suporte de Barramentos de Alta Tensão</t>
        </is>
      </c>
      <c r="F499" s="91" t="inlineStr">
        <is>
          <t>VB.</t>
        </is>
      </c>
      <c r="G499" s="91" t="n">
        <v>1</v>
      </c>
      <c r="H499" s="1289" t="n">
        <v>77320.75999999999</v>
      </c>
      <c r="I499" s="367" t="n"/>
      <c r="J499" s="1275" t="n"/>
      <c r="K499" s="9" t="n"/>
      <c r="L499" s="10" t="n"/>
      <c r="M499" s="238" t="inlineStr">
        <is>
          <t>INSIGHT ENERGY</t>
        </is>
      </c>
      <c r="N499" s="237" t="n"/>
      <c r="O499" s="1276" t="n"/>
      <c r="P499" s="1277" t="n"/>
      <c r="Q499" s="1276" t="n"/>
      <c r="R499" s="1277" t="n"/>
      <c r="S499" s="1278" t="n"/>
      <c r="T499" s="1277" t="n"/>
      <c r="U499" s="1278" t="n"/>
      <c r="V499" s="1279">
        <f>G499*H499</f>
        <v/>
      </c>
    </row>
    <row r="500" ht="15" customFormat="1" customHeight="1" s="353">
      <c r="A500" s="341" t="n"/>
      <c r="B500" s="340" t="n"/>
      <c r="C500" s="340" t="inlineStr">
        <is>
          <t>.</t>
        </is>
      </c>
      <c r="D500" s="340" t="n"/>
      <c r="E500" s="342" t="n"/>
      <c r="F500" s="343" t="n"/>
      <c r="G500" s="344" t="n"/>
      <c r="H500" s="1267" t="n"/>
      <c r="I500" s="316" t="n"/>
      <c r="J500" s="1268" t="n"/>
      <c r="K500" s="345" t="n"/>
      <c r="L500" s="346" t="n"/>
      <c r="M500" s="347" t="n"/>
      <c r="N500" s="348" t="n"/>
      <c r="O500" s="1269" t="n"/>
      <c r="P500" s="1270" t="n"/>
      <c r="Q500" s="1269" t="n"/>
      <c r="R500" s="1270" t="n"/>
      <c r="S500" s="1271" t="n"/>
      <c r="T500" s="1270" t="n"/>
      <c r="U500" s="1271" t="n"/>
      <c r="V500" s="1272" t="n"/>
    </row>
    <row r="501" ht="15" customHeight="1">
      <c r="A501" s="89" t="inlineStr">
        <is>
          <t>2.28.34</t>
        </is>
      </c>
      <c r="B501" s="90" t="inlineStr">
        <is>
          <t>SERVIÇO</t>
        </is>
      </c>
      <c r="C501" s="90" t="n"/>
      <c r="D501" s="90" t="n"/>
      <c r="E501" s="98" t="inlineStr">
        <is>
          <t>Montagem de Estruturas Suporte de Barramentos de Média Tensão</t>
        </is>
      </c>
      <c r="F501" s="91" t="inlineStr">
        <is>
          <t>VB.</t>
        </is>
      </c>
      <c r="G501" s="91" t="n">
        <v>1</v>
      </c>
      <c r="H501" s="1289" t="n">
        <v>77746.27</v>
      </c>
      <c r="I501" s="367" t="n"/>
      <c r="J501" s="1275" t="n"/>
      <c r="K501" s="9" t="n"/>
      <c r="L501" s="10" t="n"/>
      <c r="M501" s="238" t="inlineStr">
        <is>
          <t>INSIGHT ENERGY</t>
        </is>
      </c>
      <c r="N501" s="237" t="n"/>
      <c r="O501" s="1276" t="n"/>
      <c r="P501" s="1277" t="n"/>
      <c r="Q501" s="1276" t="n"/>
      <c r="R501" s="1277" t="n"/>
      <c r="S501" s="1278" t="n"/>
      <c r="T501" s="1277" t="n"/>
      <c r="U501" s="1278" t="n"/>
      <c r="V501" s="1279">
        <f>G501*H501</f>
        <v/>
      </c>
    </row>
    <row r="502" ht="15" customFormat="1" customHeight="1" s="353">
      <c r="A502" s="341" t="n"/>
      <c r="B502" s="340" t="n"/>
      <c r="C502" s="340" t="inlineStr">
        <is>
          <t>.</t>
        </is>
      </c>
      <c r="D502" s="340" t="n"/>
      <c r="E502" s="342" t="n"/>
      <c r="F502" s="343" t="n"/>
      <c r="G502" s="344" t="n"/>
      <c r="H502" s="1267" t="n"/>
      <c r="I502" s="316" t="n"/>
      <c r="J502" s="1268" t="n"/>
      <c r="K502" s="345" t="n"/>
      <c r="L502" s="346" t="n"/>
      <c r="M502" s="347" t="n"/>
      <c r="N502" s="348" t="n"/>
      <c r="O502" s="1269" t="n"/>
      <c r="P502" s="1270" t="n"/>
      <c r="Q502" s="1269" t="n"/>
      <c r="R502" s="1270" t="n"/>
      <c r="S502" s="1271" t="n"/>
      <c r="T502" s="1270" t="n"/>
      <c r="U502" s="1271" t="n"/>
      <c r="V502" s="1272" t="n"/>
    </row>
    <row r="503" ht="15" customHeight="1">
      <c r="A503" s="89" t="inlineStr">
        <is>
          <t>2.28.35</t>
        </is>
      </c>
      <c r="B503" s="90" t="inlineStr">
        <is>
          <t>SERVIÇO</t>
        </is>
      </c>
      <c r="C503" s="90" t="n"/>
      <c r="D503" s="90" t="n"/>
      <c r="E503" s="98" t="inlineStr">
        <is>
          <t>Montagem e Testes Físicos de Barramentos Rígidos e Flexíveis (nus e isolados)</t>
        </is>
      </c>
      <c r="F503" s="91" t="inlineStr">
        <is>
          <t>VB.</t>
        </is>
      </c>
      <c r="G503" s="91" t="n">
        <v>1</v>
      </c>
      <c r="H503" s="1289" t="n">
        <v>82893.55</v>
      </c>
      <c r="I503" s="367" t="n"/>
      <c r="J503" s="1275" t="n"/>
      <c r="K503" s="9" t="n"/>
      <c r="L503" s="10" t="n"/>
      <c r="M503" s="238" t="inlineStr">
        <is>
          <t>INSIGHT ENERGY</t>
        </is>
      </c>
      <c r="N503" s="237" t="n"/>
      <c r="O503" s="1276" t="n"/>
      <c r="P503" s="1277" t="n"/>
      <c r="Q503" s="1276" t="n"/>
      <c r="R503" s="1277" t="n"/>
      <c r="S503" s="1278" t="n"/>
      <c r="T503" s="1277" t="n"/>
      <c r="U503" s="1278" t="n"/>
      <c r="V503" s="1279">
        <f>G503*H503</f>
        <v/>
      </c>
    </row>
    <row r="504" ht="15" customFormat="1" customHeight="1" s="353">
      <c r="A504" s="341" t="n"/>
      <c r="B504" s="340" t="n"/>
      <c r="C504" s="340" t="inlineStr">
        <is>
          <t>.</t>
        </is>
      </c>
      <c r="D504" s="340" t="n"/>
      <c r="E504" s="342" t="n"/>
      <c r="F504" s="343" t="n"/>
      <c r="G504" s="344" t="n"/>
      <c r="H504" s="1267" t="n"/>
      <c r="I504" s="316" t="n"/>
      <c r="J504" s="1268" t="n"/>
      <c r="K504" s="345" t="n"/>
      <c r="L504" s="346" t="n"/>
      <c r="M504" s="347" t="n"/>
      <c r="N504" s="348" t="n"/>
      <c r="O504" s="1269" t="n"/>
      <c r="P504" s="1270" t="n"/>
      <c r="Q504" s="1269" t="n"/>
      <c r="R504" s="1270" t="n"/>
      <c r="S504" s="1271" t="n"/>
      <c r="T504" s="1270" t="n"/>
      <c r="U504" s="1271" t="n"/>
      <c r="V504" s="1272" t="n"/>
    </row>
    <row r="505" ht="15" customHeight="1">
      <c r="A505" s="89" t="inlineStr">
        <is>
          <t>2.28.36</t>
        </is>
      </c>
      <c r="B505" s="90" t="inlineStr">
        <is>
          <t>SERVIÇO</t>
        </is>
      </c>
      <c r="C505" s="90" t="n"/>
      <c r="D505" s="90" t="n"/>
      <c r="E505" s="98" t="inlineStr">
        <is>
          <t>Montagem e Testes Físicos de Religadores de Média Tensão</t>
        </is>
      </c>
      <c r="F505" s="91" t="inlineStr">
        <is>
          <t>VB.</t>
        </is>
      </c>
      <c r="G505" s="91" t="n">
        <v>1</v>
      </c>
      <c r="H505" s="1289" t="n">
        <v>79589.85000000001</v>
      </c>
      <c r="I505" s="367" t="n"/>
      <c r="J505" s="1275" t="n"/>
      <c r="K505" s="9" t="n"/>
      <c r="L505" s="10" t="n"/>
      <c r="M505" s="238" t="inlineStr">
        <is>
          <t>INSIGHT ENERGY</t>
        </is>
      </c>
      <c r="N505" s="237" t="n"/>
      <c r="O505" s="1276" t="n"/>
      <c r="P505" s="1277" t="n"/>
      <c r="Q505" s="1276" t="n"/>
      <c r="R505" s="1277" t="n"/>
      <c r="S505" s="1278" t="n"/>
      <c r="T505" s="1277" t="n"/>
      <c r="U505" s="1278" t="n"/>
      <c r="V505" s="1279">
        <f>G505*H505</f>
        <v/>
      </c>
    </row>
    <row r="506" ht="15" customFormat="1" customHeight="1" s="353">
      <c r="A506" s="341" t="n"/>
      <c r="B506" s="340" t="n"/>
      <c r="C506" s="340" t="inlineStr">
        <is>
          <t>.</t>
        </is>
      </c>
      <c r="D506" s="340" t="n"/>
      <c r="E506" s="342" t="n"/>
      <c r="F506" s="343" t="n"/>
      <c r="G506" s="344" t="n"/>
      <c r="H506" s="1267" t="n"/>
      <c r="I506" s="316" t="n"/>
      <c r="J506" s="1268" t="n"/>
      <c r="K506" s="345" t="n"/>
      <c r="L506" s="346" t="n"/>
      <c r="M506" s="347" t="n"/>
      <c r="N506" s="348" t="n"/>
      <c r="O506" s="1269" t="n"/>
      <c r="P506" s="1270" t="n"/>
      <c r="Q506" s="1269" t="n"/>
      <c r="R506" s="1270" t="n"/>
      <c r="S506" s="1271" t="n"/>
      <c r="T506" s="1270" t="n"/>
      <c r="U506" s="1271" t="n"/>
      <c r="V506" s="1272" t="n"/>
    </row>
    <row r="507" ht="15" customHeight="1">
      <c r="A507" s="89" t="inlineStr">
        <is>
          <t>2.28.37</t>
        </is>
      </c>
      <c r="B507" s="90" t="inlineStr">
        <is>
          <t>SERVIÇO</t>
        </is>
      </c>
      <c r="C507" s="90" t="n"/>
      <c r="D507" s="90" t="n"/>
      <c r="E507" s="98" t="inlineStr">
        <is>
          <t>Montagem e Testes Físicos de Transformadores de Corrente de Média Tensão</t>
        </is>
      </c>
      <c r="F507" s="91" t="inlineStr">
        <is>
          <t>VB.</t>
        </is>
      </c>
      <c r="G507" s="91" t="n">
        <v>1</v>
      </c>
      <c r="H507" s="1289" t="n">
        <v>105519.29</v>
      </c>
      <c r="I507" s="367" t="n"/>
      <c r="J507" s="1275" t="n"/>
      <c r="K507" s="9" t="n"/>
      <c r="L507" s="10" t="n"/>
      <c r="M507" s="238" t="inlineStr">
        <is>
          <t>INSIGHT ENERGY</t>
        </is>
      </c>
      <c r="N507" s="237" t="n"/>
      <c r="O507" s="1276" t="n"/>
      <c r="P507" s="1277" t="n"/>
      <c r="Q507" s="1276" t="n"/>
      <c r="R507" s="1277" t="n"/>
      <c r="S507" s="1278" t="n"/>
      <c r="T507" s="1277" t="n"/>
      <c r="U507" s="1278" t="n"/>
      <c r="V507" s="1279">
        <f>G507*H507</f>
        <v/>
      </c>
    </row>
    <row r="508" ht="15" customFormat="1" customHeight="1" s="353">
      <c r="A508" s="341" t="n"/>
      <c r="B508" s="340" t="n"/>
      <c r="C508" s="340" t="inlineStr">
        <is>
          <t>.</t>
        </is>
      </c>
      <c r="D508" s="340" t="n"/>
      <c r="E508" s="342" t="n"/>
      <c r="F508" s="343" t="n"/>
      <c r="G508" s="344" t="n"/>
      <c r="H508" s="1267" t="n"/>
      <c r="I508" s="316" t="n"/>
      <c r="J508" s="1268" t="n"/>
      <c r="K508" s="345" t="n"/>
      <c r="L508" s="346" t="n"/>
      <c r="M508" s="347" t="n"/>
      <c r="N508" s="348" t="n"/>
      <c r="O508" s="1269" t="n"/>
      <c r="P508" s="1270" t="n"/>
      <c r="Q508" s="1269" t="n"/>
      <c r="R508" s="1270" t="n"/>
      <c r="S508" s="1271" t="n"/>
      <c r="T508" s="1270" t="n"/>
      <c r="U508" s="1271" t="n"/>
      <c r="V508" s="1272" t="n"/>
    </row>
    <row r="509" ht="15" customHeight="1">
      <c r="A509" s="89" t="inlineStr">
        <is>
          <t>2.28.38</t>
        </is>
      </c>
      <c r="B509" s="90" t="inlineStr">
        <is>
          <t>SERVIÇO</t>
        </is>
      </c>
      <c r="C509" s="90" t="n"/>
      <c r="D509" s="90" t="n"/>
      <c r="E509" s="98" t="inlineStr">
        <is>
          <t>Montagem e Testes Físicos de Seccionadores de Média Tensão</t>
        </is>
      </c>
      <c r="F509" s="91" t="inlineStr">
        <is>
          <t>VB.</t>
        </is>
      </c>
      <c r="G509" s="91" t="n">
        <v>1</v>
      </c>
      <c r="H509" s="1289" t="n">
        <v>56191.16</v>
      </c>
      <c r="I509" s="367" t="n"/>
      <c r="J509" s="1275" t="n"/>
      <c r="K509" s="9" t="n"/>
      <c r="L509" s="10" t="n"/>
      <c r="M509" s="238" t="inlineStr">
        <is>
          <t>INSIGHT ENERGY</t>
        </is>
      </c>
      <c r="N509" s="237" t="n"/>
      <c r="O509" s="1276" t="n"/>
      <c r="P509" s="1277" t="n"/>
      <c r="Q509" s="1276" t="n"/>
      <c r="R509" s="1277" t="n"/>
      <c r="S509" s="1278" t="n"/>
      <c r="T509" s="1277" t="n"/>
      <c r="U509" s="1278" t="n"/>
      <c r="V509" s="1279">
        <f>G509*H509</f>
        <v/>
      </c>
    </row>
    <row r="510" ht="15" customFormat="1" customHeight="1" s="353">
      <c r="A510" s="341" t="n"/>
      <c r="B510" s="340" t="n"/>
      <c r="C510" s="340" t="inlineStr">
        <is>
          <t>.</t>
        </is>
      </c>
      <c r="D510" s="340" t="n"/>
      <c r="E510" s="342" t="n"/>
      <c r="F510" s="343" t="n"/>
      <c r="G510" s="344" t="n"/>
      <c r="H510" s="1267" t="n"/>
      <c r="I510" s="316" t="n"/>
      <c r="J510" s="1268" t="n"/>
      <c r="K510" s="345" t="n"/>
      <c r="L510" s="346" t="n"/>
      <c r="M510" s="347" t="n"/>
      <c r="N510" s="348" t="n"/>
      <c r="O510" s="1269" t="n"/>
      <c r="P510" s="1270" t="n"/>
      <c r="Q510" s="1269" t="n"/>
      <c r="R510" s="1270" t="n"/>
      <c r="S510" s="1271" t="n"/>
      <c r="T510" s="1270" t="n"/>
      <c r="U510" s="1271" t="n"/>
      <c r="V510" s="1272" t="n"/>
    </row>
    <row r="511" ht="15" customHeight="1">
      <c r="A511" s="89" t="inlineStr">
        <is>
          <t>2.28.39</t>
        </is>
      </c>
      <c r="B511" s="90" t="inlineStr">
        <is>
          <t>SERVIÇO</t>
        </is>
      </c>
      <c r="C511" s="90" t="n"/>
      <c r="D511" s="90" t="n"/>
      <c r="E511" s="98" t="inlineStr">
        <is>
          <t>Montagem e Testes Físicos de Para-raios de Média Tensão</t>
        </is>
      </c>
      <c r="F511" s="91" t="inlineStr">
        <is>
          <t>VB.</t>
        </is>
      </c>
      <c r="G511" s="91" t="n">
        <v>1</v>
      </c>
      <c r="H511" s="1289" t="n">
        <v>41285.49</v>
      </c>
      <c r="I511" s="367" t="n"/>
      <c r="J511" s="1275" t="n"/>
      <c r="K511" s="9" t="n"/>
      <c r="L511" s="10" t="n"/>
      <c r="M511" s="238" t="inlineStr">
        <is>
          <t>INSIGHT ENERGY</t>
        </is>
      </c>
      <c r="N511" s="237" t="n"/>
      <c r="O511" s="1276" t="n"/>
      <c r="P511" s="1277" t="n"/>
      <c r="Q511" s="1276" t="n"/>
      <c r="R511" s="1277" t="n"/>
      <c r="S511" s="1278" t="n"/>
      <c r="T511" s="1277" t="n"/>
      <c r="U511" s="1278" t="n"/>
      <c r="V511" s="1279">
        <f>G511*H511</f>
        <v/>
      </c>
    </row>
    <row r="512" ht="15" customFormat="1" customHeight="1" s="353">
      <c r="A512" s="341" t="n"/>
      <c r="B512" s="340" t="n"/>
      <c r="C512" s="340" t="inlineStr">
        <is>
          <t>.</t>
        </is>
      </c>
      <c r="D512" s="340" t="n"/>
      <c r="E512" s="342" t="n"/>
      <c r="F512" s="343" t="n"/>
      <c r="G512" s="344" t="n"/>
      <c r="H512" s="1267" t="n"/>
      <c r="I512" s="316" t="n"/>
      <c r="J512" s="1268" t="n"/>
      <c r="K512" s="345" t="n"/>
      <c r="L512" s="346" t="n"/>
      <c r="M512" s="347" t="n"/>
      <c r="N512" s="348" t="n"/>
      <c r="O512" s="1269" t="n"/>
      <c r="P512" s="1270" t="n"/>
      <c r="Q512" s="1269" t="n"/>
      <c r="R512" s="1270" t="n"/>
      <c r="S512" s="1271" t="n"/>
      <c r="T512" s="1270" t="n"/>
      <c r="U512" s="1271" t="n"/>
      <c r="V512" s="1272" t="n"/>
    </row>
    <row r="513" ht="15" customHeight="1">
      <c r="A513" s="89" t="inlineStr">
        <is>
          <t>2.28.40</t>
        </is>
      </c>
      <c r="B513" s="90" t="inlineStr">
        <is>
          <t>SERVIÇO</t>
        </is>
      </c>
      <c r="C513" s="90" t="n"/>
      <c r="D513" s="90" t="n"/>
      <c r="E513" s="98" t="inlineStr">
        <is>
          <t>Montagem e Testes Físicos de Cubículo com Disjuntores de Média Tensão</t>
        </is>
      </c>
      <c r="F513" s="91" t="inlineStr">
        <is>
          <t>VB.</t>
        </is>
      </c>
      <c r="G513" s="91" t="n">
        <v>1</v>
      </c>
      <c r="H513" s="1289" t="n">
        <v>135066.62</v>
      </c>
      <c r="I513" s="367" t="n"/>
      <c r="J513" s="1275" t="n"/>
      <c r="K513" s="9" t="n"/>
      <c r="L513" s="10" t="n"/>
      <c r="M513" s="238" t="inlineStr">
        <is>
          <t>INSIGHT ENERGY</t>
        </is>
      </c>
      <c r="N513" s="237" t="n"/>
      <c r="O513" s="1276" t="n"/>
      <c r="P513" s="1277" t="n"/>
      <c r="Q513" s="1276" t="n"/>
      <c r="R513" s="1277" t="n"/>
      <c r="S513" s="1278" t="n"/>
      <c r="T513" s="1277" t="n"/>
      <c r="U513" s="1278" t="n"/>
      <c r="V513" s="1279">
        <f>G513*H513</f>
        <v/>
      </c>
    </row>
    <row r="514" ht="15" customFormat="1" customHeight="1" s="353">
      <c r="A514" s="341" t="n"/>
      <c r="B514" s="340" t="n"/>
      <c r="C514" s="340" t="inlineStr">
        <is>
          <t>.</t>
        </is>
      </c>
      <c r="D514" s="340" t="n"/>
      <c r="E514" s="342" t="n"/>
      <c r="F514" s="343" t="n"/>
      <c r="G514" s="344" t="n"/>
      <c r="H514" s="1267" t="n"/>
      <c r="I514" s="316" t="n"/>
      <c r="J514" s="1268" t="n"/>
      <c r="K514" s="345" t="n"/>
      <c r="L514" s="346" t="n"/>
      <c r="M514" s="347" t="n"/>
      <c r="N514" s="348" t="n"/>
      <c r="O514" s="1269" t="n"/>
      <c r="P514" s="1270" t="n"/>
      <c r="Q514" s="1269" t="n"/>
      <c r="R514" s="1270" t="n"/>
      <c r="S514" s="1271" t="n"/>
      <c r="T514" s="1270" t="n"/>
      <c r="U514" s="1271" t="n"/>
      <c r="V514" s="1272" t="n"/>
    </row>
    <row r="515" ht="15" customHeight="1">
      <c r="A515" s="89" t="inlineStr">
        <is>
          <t>2.28.41</t>
        </is>
      </c>
      <c r="B515" s="90" t="inlineStr">
        <is>
          <t>SERVIÇO</t>
        </is>
      </c>
      <c r="C515" s="90" t="n"/>
      <c r="D515" s="90" t="n"/>
      <c r="E515" s="98" t="inlineStr">
        <is>
          <t>Montagem e Testes Físicos de Bancos de Capacitores de Média Tensão</t>
        </is>
      </c>
      <c r="F515" s="91" t="inlineStr">
        <is>
          <t>VB.</t>
        </is>
      </c>
      <c r="G515" s="91" t="n">
        <v>1</v>
      </c>
      <c r="H515" s="1289" t="n">
        <v>90493.50999999999</v>
      </c>
      <c r="I515" s="367" t="n"/>
      <c r="J515" s="1275" t="n"/>
      <c r="K515" s="9" t="n"/>
      <c r="L515" s="10" t="n"/>
      <c r="M515" s="238" t="inlineStr">
        <is>
          <t>INSIGHT ENERGY</t>
        </is>
      </c>
      <c r="N515" s="237" t="n"/>
      <c r="O515" s="1276" t="n"/>
      <c r="P515" s="1277" t="n"/>
      <c r="Q515" s="1276" t="n"/>
      <c r="R515" s="1277" t="n"/>
      <c r="S515" s="1278" t="n"/>
      <c r="T515" s="1277" t="n"/>
      <c r="U515" s="1278" t="n"/>
      <c r="V515" s="1279">
        <f>G515*H515</f>
        <v/>
      </c>
    </row>
    <row r="516" ht="15" customFormat="1" customHeight="1" s="353">
      <c r="A516" s="341" t="n"/>
      <c r="B516" s="340" t="n"/>
      <c r="C516" s="340" t="inlineStr">
        <is>
          <t>.</t>
        </is>
      </c>
      <c r="D516" s="340" t="n"/>
      <c r="E516" s="342" t="n"/>
      <c r="F516" s="343" t="n"/>
      <c r="G516" s="344" t="n"/>
      <c r="H516" s="1267" t="n"/>
      <c r="I516" s="316" t="n"/>
      <c r="J516" s="1268" t="n"/>
      <c r="K516" s="345" t="n"/>
      <c r="L516" s="346" t="n"/>
      <c r="M516" s="347" t="n"/>
      <c r="N516" s="348" t="n"/>
      <c r="O516" s="1269" t="n"/>
      <c r="P516" s="1270" t="n"/>
      <c r="Q516" s="1269" t="n"/>
      <c r="R516" s="1270" t="n"/>
      <c r="S516" s="1271" t="n"/>
      <c r="T516" s="1270" t="n"/>
      <c r="U516" s="1271" t="n"/>
      <c r="V516" s="1272" t="n"/>
    </row>
    <row r="517" ht="15" customHeight="1">
      <c r="A517" s="89" t="inlineStr">
        <is>
          <t>2.28.42</t>
        </is>
      </c>
      <c r="B517" s="90" t="inlineStr">
        <is>
          <t>SERVIÇO</t>
        </is>
      </c>
      <c r="C517" s="90" t="n"/>
      <c r="D517" s="90" t="n"/>
      <c r="E517" s="98" t="inlineStr">
        <is>
          <t xml:space="preserve">Montagem e Testes Físicos de Transformadores de Potencial de Média Tensão </t>
        </is>
      </c>
      <c r="F517" s="91" t="inlineStr">
        <is>
          <t>VB.</t>
        </is>
      </c>
      <c r="G517" s="91" t="n">
        <v>1</v>
      </c>
      <c r="H517" s="1289" t="n">
        <v>31286.89</v>
      </c>
      <c r="I517" s="367" t="n"/>
      <c r="J517" s="1275" t="n"/>
      <c r="K517" s="9" t="n"/>
      <c r="L517" s="10" t="n"/>
      <c r="M517" s="238" t="inlineStr">
        <is>
          <t>INSIGHT ENERGY</t>
        </is>
      </c>
      <c r="N517" s="237" t="n"/>
      <c r="O517" s="1276" t="n"/>
      <c r="P517" s="1277" t="n"/>
      <c r="Q517" s="1276" t="n"/>
      <c r="R517" s="1277" t="n"/>
      <c r="S517" s="1278" t="n"/>
      <c r="T517" s="1277" t="n"/>
      <c r="U517" s="1278" t="n"/>
      <c r="V517" s="1279">
        <f>G517*H517</f>
        <v/>
      </c>
    </row>
    <row r="518" ht="15" customFormat="1" customHeight="1" s="353">
      <c r="A518" s="341" t="n"/>
      <c r="B518" s="340" t="n"/>
      <c r="C518" s="340" t="inlineStr">
        <is>
          <t>.</t>
        </is>
      </c>
      <c r="D518" s="340" t="n"/>
      <c r="E518" s="342" t="n"/>
      <c r="F518" s="343" t="n"/>
      <c r="G518" s="344" t="n"/>
      <c r="H518" s="1267" t="n"/>
      <c r="I518" s="316" t="n"/>
      <c r="J518" s="1268" t="n"/>
      <c r="K518" s="345" t="n"/>
      <c r="L518" s="346" t="n"/>
      <c r="M518" s="347" t="n"/>
      <c r="N518" s="348" t="n"/>
      <c r="O518" s="1269" t="n"/>
      <c r="P518" s="1270" t="n"/>
      <c r="Q518" s="1269" t="n"/>
      <c r="R518" s="1270" t="n"/>
      <c r="S518" s="1271" t="n"/>
      <c r="T518" s="1270" t="n"/>
      <c r="U518" s="1271" t="n"/>
      <c r="V518" s="1272" t="n"/>
    </row>
    <row r="519" ht="15" customHeight="1">
      <c r="A519" s="89" t="inlineStr">
        <is>
          <t>2.28.43</t>
        </is>
      </c>
      <c r="B519" s="90" t="inlineStr">
        <is>
          <t>SERVIÇO</t>
        </is>
      </c>
      <c r="C519" s="90" t="n"/>
      <c r="D519" s="90" t="n"/>
      <c r="E519" s="98" t="inlineStr">
        <is>
          <t>Montagem e Testes Físicos de Para-raios de Alta Tensão</t>
        </is>
      </c>
      <c r="F519" s="91" t="inlineStr">
        <is>
          <t>VB.</t>
        </is>
      </c>
      <c r="G519" s="91" t="n">
        <v>1</v>
      </c>
      <c r="H519" s="1289" t="n">
        <v>60223.2</v>
      </c>
      <c r="I519" s="367" t="n"/>
      <c r="J519" s="1275" t="n"/>
      <c r="K519" s="9" t="n"/>
      <c r="L519" s="10" t="n"/>
      <c r="M519" s="238" t="inlineStr">
        <is>
          <t>INSIGHT ENERGY</t>
        </is>
      </c>
      <c r="N519" s="237" t="n"/>
      <c r="O519" s="1276" t="n"/>
      <c r="P519" s="1277" t="n"/>
      <c r="Q519" s="1276" t="n"/>
      <c r="R519" s="1277" t="n"/>
      <c r="S519" s="1278" t="n"/>
      <c r="T519" s="1277" t="n"/>
      <c r="U519" s="1278" t="n"/>
      <c r="V519" s="1279">
        <f>G519*H519</f>
        <v/>
      </c>
    </row>
    <row r="520" ht="15" customFormat="1" customHeight="1" s="353">
      <c r="A520" s="341" t="n"/>
      <c r="B520" s="340" t="n"/>
      <c r="C520" s="340" t="inlineStr">
        <is>
          <t>.</t>
        </is>
      </c>
      <c r="D520" s="340" t="n"/>
      <c r="E520" s="342" t="n"/>
      <c r="F520" s="343" t="n"/>
      <c r="G520" s="344" t="n"/>
      <c r="H520" s="1267" t="n"/>
      <c r="I520" s="316" t="n"/>
      <c r="J520" s="1268" t="n"/>
      <c r="K520" s="345" t="n"/>
      <c r="L520" s="346" t="n"/>
      <c r="M520" s="347" t="n"/>
      <c r="N520" s="348" t="n"/>
      <c r="O520" s="1269" t="n"/>
      <c r="P520" s="1270" t="n"/>
      <c r="Q520" s="1269" t="n"/>
      <c r="R520" s="1270" t="n"/>
      <c r="S520" s="1271" t="n"/>
      <c r="T520" s="1270" t="n"/>
      <c r="U520" s="1271" t="n"/>
      <c r="V520" s="1272" t="n"/>
    </row>
    <row r="521" ht="15" customHeight="1">
      <c r="A521" s="89" t="inlineStr">
        <is>
          <t>2.28.44</t>
        </is>
      </c>
      <c r="B521" s="90" t="inlineStr">
        <is>
          <t>SERVIÇO</t>
        </is>
      </c>
      <c r="C521" s="90" t="n"/>
      <c r="D521" s="90" t="n"/>
      <c r="E521" s="98" t="inlineStr">
        <is>
          <t xml:space="preserve">Montagem e Testes Físicos de Transformadores de Potencial de Alta Tensão </t>
        </is>
      </c>
      <c r="F521" s="91" t="inlineStr">
        <is>
          <t>VB.</t>
        </is>
      </c>
      <c r="G521" s="91" t="n">
        <v>1</v>
      </c>
      <c r="H521" s="1289" t="n">
        <v>110366.31</v>
      </c>
      <c r="I521" s="367" t="n"/>
      <c r="J521" s="1275" t="n"/>
      <c r="K521" s="9" t="n"/>
      <c r="L521" s="10" t="n"/>
      <c r="M521" s="238" t="inlineStr">
        <is>
          <t>INSIGHT ENERGY</t>
        </is>
      </c>
      <c r="N521" s="237" t="n"/>
      <c r="O521" s="1276" t="n"/>
      <c r="P521" s="1277" t="n"/>
      <c r="Q521" s="1276" t="n"/>
      <c r="R521" s="1277" t="n"/>
      <c r="S521" s="1278" t="n"/>
      <c r="T521" s="1277" t="n"/>
      <c r="U521" s="1278" t="n"/>
      <c r="V521" s="1279">
        <f>G521*H521</f>
        <v/>
      </c>
    </row>
    <row r="522" ht="15" customFormat="1" customHeight="1" s="353">
      <c r="A522" s="341" t="n"/>
      <c r="B522" s="340" t="n"/>
      <c r="C522" s="340" t="inlineStr">
        <is>
          <t>.</t>
        </is>
      </c>
      <c r="D522" s="340" t="n"/>
      <c r="E522" s="342" t="n"/>
      <c r="F522" s="343" t="n"/>
      <c r="G522" s="344" t="n"/>
      <c r="H522" s="1267" t="n"/>
      <c r="I522" s="316" t="n"/>
      <c r="J522" s="1268" t="n"/>
      <c r="K522" s="345" t="n"/>
      <c r="L522" s="346" t="n"/>
      <c r="M522" s="347" t="n"/>
      <c r="N522" s="348" t="n"/>
      <c r="O522" s="1269" t="n"/>
      <c r="P522" s="1270" t="n"/>
      <c r="Q522" s="1269" t="n"/>
      <c r="R522" s="1270" t="n"/>
      <c r="S522" s="1271" t="n"/>
      <c r="T522" s="1270" t="n"/>
      <c r="U522" s="1271" t="n"/>
      <c r="V522" s="1272" t="n"/>
    </row>
    <row r="523" ht="15" customHeight="1">
      <c r="A523" s="89" t="inlineStr">
        <is>
          <t>2.28.45</t>
        </is>
      </c>
      <c r="B523" s="90" t="inlineStr">
        <is>
          <t>SERVIÇO</t>
        </is>
      </c>
      <c r="C523" s="90" t="n"/>
      <c r="D523" s="90" t="n"/>
      <c r="E523" s="98" t="inlineStr">
        <is>
          <t>Montagem e Testes Físicos de Transformadores de Corrente de Alta Tensão</t>
        </is>
      </c>
      <c r="F523" s="91" t="inlineStr">
        <is>
          <t>VB.</t>
        </is>
      </c>
      <c r="G523" s="91" t="n">
        <v>1</v>
      </c>
      <c r="H523" s="1289" t="n">
        <v>47475.1</v>
      </c>
      <c r="I523" s="367" t="n"/>
      <c r="J523" s="1275" t="n"/>
      <c r="K523" s="9" t="n"/>
      <c r="L523" s="10" t="n"/>
      <c r="M523" s="238" t="inlineStr">
        <is>
          <t>INSIGHT ENERGY</t>
        </is>
      </c>
      <c r="N523" s="237" t="n"/>
      <c r="O523" s="1276" t="n"/>
      <c r="P523" s="1277" t="n"/>
      <c r="Q523" s="1276" t="n"/>
      <c r="R523" s="1277" t="n"/>
      <c r="S523" s="1278" t="n"/>
      <c r="T523" s="1277" t="n"/>
      <c r="U523" s="1278" t="n"/>
      <c r="V523" s="1279">
        <f>G523*H523</f>
        <v/>
      </c>
    </row>
    <row r="524" ht="15" customFormat="1" customHeight="1" s="353">
      <c r="A524" s="341" t="n"/>
      <c r="B524" s="340" t="n"/>
      <c r="C524" s="340" t="inlineStr">
        <is>
          <t>.</t>
        </is>
      </c>
      <c r="D524" s="340" t="n"/>
      <c r="E524" s="342" t="n"/>
      <c r="F524" s="343" t="n"/>
      <c r="G524" s="344" t="n"/>
      <c r="H524" s="1267" t="n"/>
      <c r="I524" s="316" t="n"/>
      <c r="J524" s="1268" t="n"/>
      <c r="K524" s="345" t="n"/>
      <c r="L524" s="346" t="n"/>
      <c r="M524" s="347" t="n"/>
      <c r="N524" s="348" t="n"/>
      <c r="O524" s="1269" t="n"/>
      <c r="P524" s="1270" t="n"/>
      <c r="Q524" s="1269" t="n"/>
      <c r="R524" s="1270" t="n"/>
      <c r="S524" s="1271" t="n"/>
      <c r="T524" s="1270" t="n"/>
      <c r="U524" s="1271" t="n"/>
      <c r="V524" s="1272" t="n"/>
    </row>
    <row r="525" ht="15" customHeight="1">
      <c r="A525" s="89" t="inlineStr">
        <is>
          <t>2.28.46</t>
        </is>
      </c>
      <c r="B525" s="90" t="inlineStr">
        <is>
          <t>SERVIÇO</t>
        </is>
      </c>
      <c r="C525" s="90" t="n"/>
      <c r="D525" s="90" t="n"/>
      <c r="E525" s="98" t="inlineStr">
        <is>
          <t>Montagem e Testes Físicos de Seccionadores de Alta Tensão</t>
        </is>
      </c>
      <c r="F525" s="91" t="inlineStr">
        <is>
          <t>VB.</t>
        </is>
      </c>
      <c r="G525" s="91" t="n">
        <v>1</v>
      </c>
      <c r="H525" s="1289" t="n">
        <v>273083.49</v>
      </c>
      <c r="I525" s="367" t="n"/>
      <c r="J525" s="1275" t="n"/>
      <c r="K525" s="9" t="n"/>
      <c r="L525" s="10" t="n"/>
      <c r="M525" s="238" t="inlineStr">
        <is>
          <t>INSIGHT ENERGY</t>
        </is>
      </c>
      <c r="N525" s="237" t="n"/>
      <c r="O525" s="1276" t="n"/>
      <c r="P525" s="1277" t="n"/>
      <c r="Q525" s="1276" t="n"/>
      <c r="R525" s="1277" t="n"/>
      <c r="S525" s="1278" t="n"/>
      <c r="T525" s="1277" t="n"/>
      <c r="U525" s="1278" t="n"/>
      <c r="V525" s="1279">
        <f>G525*H525</f>
        <v/>
      </c>
    </row>
    <row r="526" ht="15" customFormat="1" customHeight="1" s="353">
      <c r="A526" s="341" t="n"/>
      <c r="B526" s="340" t="n"/>
      <c r="C526" s="340" t="inlineStr">
        <is>
          <t>.</t>
        </is>
      </c>
      <c r="D526" s="340" t="n"/>
      <c r="E526" s="342" t="n"/>
      <c r="F526" s="343" t="n"/>
      <c r="G526" s="344" t="n"/>
      <c r="H526" s="1267" t="n"/>
      <c r="I526" s="316" t="n"/>
      <c r="J526" s="1268" t="n"/>
      <c r="K526" s="345" t="n"/>
      <c r="L526" s="346" t="n"/>
      <c r="M526" s="347" t="n"/>
      <c r="N526" s="348" t="n"/>
      <c r="O526" s="1269" t="n"/>
      <c r="P526" s="1270" t="n"/>
      <c r="Q526" s="1269" t="n"/>
      <c r="R526" s="1270" t="n"/>
      <c r="S526" s="1271" t="n"/>
      <c r="T526" s="1270" t="n"/>
      <c r="U526" s="1271" t="n"/>
      <c r="V526" s="1272" t="n"/>
    </row>
    <row r="527" ht="15" customHeight="1">
      <c r="A527" s="89" t="inlineStr">
        <is>
          <t>2.28.47</t>
        </is>
      </c>
      <c r="B527" s="90" t="inlineStr">
        <is>
          <t>SERVIÇO</t>
        </is>
      </c>
      <c r="C527" s="90" t="n"/>
      <c r="D527" s="90" t="n"/>
      <c r="E527" s="98" t="inlineStr">
        <is>
          <t>Montagem e Testes Físicos de Disjuntores de Alta Tensão</t>
        </is>
      </c>
      <c r="F527" s="91" t="inlineStr">
        <is>
          <t>VB.</t>
        </is>
      </c>
      <c r="G527" s="91" t="n">
        <v>1</v>
      </c>
      <c r="H527" s="1289" t="n">
        <v>282345.6</v>
      </c>
      <c r="I527" s="367" t="n"/>
      <c r="J527" s="1275" t="n"/>
      <c r="K527" s="9" t="n"/>
      <c r="L527" s="10" t="n"/>
      <c r="M527" s="238" t="inlineStr">
        <is>
          <t>INSIGHT ENERGY</t>
        </is>
      </c>
      <c r="N527" s="237" t="n"/>
      <c r="O527" s="1276" t="n"/>
      <c r="P527" s="1277" t="n"/>
      <c r="Q527" s="1276" t="n"/>
      <c r="R527" s="1277" t="n"/>
      <c r="S527" s="1278" t="n"/>
      <c r="T527" s="1277" t="n"/>
      <c r="U527" s="1278" t="n"/>
      <c r="V527" s="1279">
        <f>G527*H527</f>
        <v/>
      </c>
    </row>
    <row r="528" ht="15" customFormat="1" customHeight="1" s="353">
      <c r="A528" s="341" t="n"/>
      <c r="B528" s="340" t="n"/>
      <c r="C528" s="340" t="inlineStr">
        <is>
          <t>.</t>
        </is>
      </c>
      <c r="D528" s="340" t="n"/>
      <c r="E528" s="342" t="n"/>
      <c r="F528" s="343" t="n"/>
      <c r="G528" s="344" t="n"/>
      <c r="H528" s="1267" t="n"/>
      <c r="I528" s="316" t="n"/>
      <c r="J528" s="1268" t="n"/>
      <c r="K528" s="345" t="n"/>
      <c r="L528" s="346" t="n"/>
      <c r="M528" s="347" t="n"/>
      <c r="N528" s="348" t="n"/>
      <c r="O528" s="1269" t="n"/>
      <c r="P528" s="1270" t="n"/>
      <c r="Q528" s="1269" t="n"/>
      <c r="R528" s="1270" t="n"/>
      <c r="S528" s="1271" t="n"/>
      <c r="T528" s="1270" t="n"/>
      <c r="U528" s="1271" t="n"/>
      <c r="V528" s="1272" t="n"/>
    </row>
    <row r="529" ht="15" customHeight="1">
      <c r="A529" s="89" t="inlineStr">
        <is>
          <t>2.28.48</t>
        </is>
      </c>
      <c r="B529" s="90" t="inlineStr">
        <is>
          <t>SERVIÇO</t>
        </is>
      </c>
      <c r="C529" s="90" t="n"/>
      <c r="D529" s="90" t="n"/>
      <c r="E529" s="98" t="inlineStr">
        <is>
          <t>Montagem de Sistema de Automação de Automação - SAS</t>
        </is>
      </c>
      <c r="F529" s="91" t="inlineStr">
        <is>
          <t>VB.</t>
        </is>
      </c>
      <c r="G529" s="91" t="n">
        <v>1</v>
      </c>
      <c r="H529" s="1289" t="n">
        <v>612794.3199999999</v>
      </c>
      <c r="I529" s="367" t="n"/>
      <c r="J529" s="1275" t="n"/>
      <c r="K529" s="9" t="n"/>
      <c r="L529" s="10" t="n"/>
      <c r="M529" s="238" t="inlineStr">
        <is>
          <t>INSIGHT ENERGY</t>
        </is>
      </c>
      <c r="N529" s="237" t="n"/>
      <c r="O529" s="1276" t="n"/>
      <c r="P529" s="1277" t="n"/>
      <c r="Q529" s="1276" t="n"/>
      <c r="R529" s="1277" t="n"/>
      <c r="S529" s="1278" t="n"/>
      <c r="T529" s="1277" t="n"/>
      <c r="U529" s="1278" t="n"/>
      <c r="V529" s="1279">
        <f>G529*H529</f>
        <v/>
      </c>
    </row>
    <row r="530" ht="15" customFormat="1" customHeight="1" s="353">
      <c r="A530" s="341" t="n"/>
      <c r="B530" s="340" t="n"/>
      <c r="C530" s="340" t="inlineStr">
        <is>
          <t>.</t>
        </is>
      </c>
      <c r="D530" s="340" t="n"/>
      <c r="E530" s="342" t="n"/>
      <c r="F530" s="343" t="n"/>
      <c r="G530" s="344" t="n"/>
      <c r="H530" s="1267" t="n"/>
      <c r="I530" s="316" t="n"/>
      <c r="J530" s="1268" t="n"/>
      <c r="K530" s="345" t="n"/>
      <c r="L530" s="346" t="n"/>
      <c r="M530" s="347" t="n"/>
      <c r="N530" s="348" t="n"/>
      <c r="O530" s="1269" t="n"/>
      <c r="P530" s="1270" t="n"/>
      <c r="Q530" s="1269" t="n"/>
      <c r="R530" s="1270" t="n"/>
      <c r="S530" s="1271" t="n"/>
      <c r="T530" s="1270" t="n"/>
      <c r="U530" s="1271" t="n"/>
      <c r="V530" s="1272" t="n"/>
    </row>
    <row r="531" ht="15" customHeight="1">
      <c r="A531" s="89" t="inlineStr">
        <is>
          <t>2.28.49</t>
        </is>
      </c>
      <c r="B531" s="90" t="inlineStr">
        <is>
          <t>SERVIÇO</t>
        </is>
      </c>
      <c r="C531" s="90" t="n"/>
      <c r="D531" s="90" t="n"/>
      <c r="E531" s="98" t="inlineStr">
        <is>
          <t>Montagem de Cubículos de Serviços Auxiliares</t>
        </is>
      </c>
      <c r="F531" s="91" t="inlineStr">
        <is>
          <t>VB.</t>
        </is>
      </c>
      <c r="G531" s="91" t="n">
        <v>1</v>
      </c>
      <c r="H531" s="1289" t="n">
        <v>106579.63</v>
      </c>
      <c r="I531" s="367" t="n"/>
      <c r="J531" s="1275" t="n"/>
      <c r="K531" s="9" t="n"/>
      <c r="L531" s="10" t="n"/>
      <c r="M531" s="238" t="inlineStr">
        <is>
          <t>INSIGHT ENERGY</t>
        </is>
      </c>
      <c r="N531" s="237" t="n"/>
      <c r="O531" s="1276" t="n"/>
      <c r="P531" s="1277" t="n"/>
      <c r="Q531" s="1276" t="n"/>
      <c r="R531" s="1277" t="n"/>
      <c r="S531" s="1278" t="n"/>
      <c r="T531" s="1277" t="n"/>
      <c r="U531" s="1278" t="n"/>
      <c r="V531" s="1279">
        <f>G531*H531</f>
        <v/>
      </c>
    </row>
    <row r="532" ht="15" customFormat="1" customHeight="1" s="353">
      <c r="A532" s="341" t="n"/>
      <c r="B532" s="340" t="n"/>
      <c r="C532" s="340" t="inlineStr">
        <is>
          <t>.</t>
        </is>
      </c>
      <c r="D532" s="340" t="n"/>
      <c r="E532" s="342" t="n"/>
      <c r="F532" s="343" t="n"/>
      <c r="G532" s="344" t="n"/>
      <c r="H532" s="1267" t="n"/>
      <c r="I532" s="316" t="n"/>
      <c r="J532" s="1268" t="n"/>
      <c r="K532" s="345" t="n"/>
      <c r="L532" s="346" t="n"/>
      <c r="M532" s="347" t="n"/>
      <c r="N532" s="348" t="n"/>
      <c r="O532" s="1269" t="n"/>
      <c r="P532" s="1270" t="n"/>
      <c r="Q532" s="1269" t="n"/>
      <c r="R532" s="1270" t="n"/>
      <c r="S532" s="1271" t="n"/>
      <c r="T532" s="1270" t="n"/>
      <c r="U532" s="1271" t="n"/>
      <c r="V532" s="1272" t="n"/>
    </row>
    <row r="533" ht="15" customHeight="1">
      <c r="A533" s="89" t="inlineStr">
        <is>
          <t>2.28.50</t>
        </is>
      </c>
      <c r="B533" s="90" t="inlineStr">
        <is>
          <t>SERVIÇO</t>
        </is>
      </c>
      <c r="C533" s="90" t="n"/>
      <c r="D533" s="90" t="n"/>
      <c r="E533" s="98" t="inlineStr">
        <is>
          <t>Montagem de Eletrodutos para Subestação</t>
        </is>
      </c>
      <c r="F533" s="91" t="inlineStr">
        <is>
          <t>VB.</t>
        </is>
      </c>
      <c r="G533" s="91" t="n">
        <v>1</v>
      </c>
      <c r="H533" s="1289" t="n">
        <v>60609.25</v>
      </c>
      <c r="I533" s="367" t="n"/>
      <c r="J533" s="1275" t="n"/>
      <c r="K533" s="9" t="n"/>
      <c r="L533" s="10" t="n"/>
      <c r="M533" s="238" t="inlineStr">
        <is>
          <t>INSIGHT ENERGY</t>
        </is>
      </c>
      <c r="N533" s="237" t="n"/>
      <c r="O533" s="1276" t="n"/>
      <c r="P533" s="1277" t="n"/>
      <c r="Q533" s="1276" t="n"/>
      <c r="R533" s="1277" t="n"/>
      <c r="S533" s="1278" t="n"/>
      <c r="T533" s="1277" t="n"/>
      <c r="U533" s="1278" t="n"/>
      <c r="V533" s="1279">
        <f>G533*H533</f>
        <v/>
      </c>
    </row>
    <row r="534" ht="15" customFormat="1" customHeight="1" s="353">
      <c r="A534" s="341" t="n"/>
      <c r="B534" s="340" t="n"/>
      <c r="C534" s="340" t="inlineStr">
        <is>
          <t>.</t>
        </is>
      </c>
      <c r="D534" s="340" t="n"/>
      <c r="E534" s="342" t="n"/>
      <c r="F534" s="343" t="n"/>
      <c r="G534" s="344" t="n"/>
      <c r="H534" s="1267" t="n"/>
      <c r="I534" s="316" t="n"/>
      <c r="J534" s="1268" t="n"/>
      <c r="K534" s="345" t="n"/>
      <c r="L534" s="346" t="n"/>
      <c r="M534" s="347" t="n"/>
      <c r="N534" s="348" t="n"/>
      <c r="O534" s="1269" t="n"/>
      <c r="P534" s="1270" t="n"/>
      <c r="Q534" s="1269" t="n"/>
      <c r="R534" s="1270" t="n"/>
      <c r="S534" s="1271" t="n"/>
      <c r="T534" s="1270" t="n"/>
      <c r="U534" s="1271" t="n"/>
      <c r="V534" s="1272" t="n"/>
    </row>
    <row r="535" ht="15" customHeight="1">
      <c r="A535" s="89" t="inlineStr">
        <is>
          <t>2.28.51</t>
        </is>
      </c>
      <c r="B535" s="90" t="inlineStr">
        <is>
          <t>SERVIÇO</t>
        </is>
      </c>
      <c r="C535" s="90" t="n"/>
      <c r="D535" s="90" t="n"/>
      <c r="E535" s="98" t="inlineStr">
        <is>
          <t xml:space="preserve">Montagem e Testes Físicos do Sistema de Iluminação e Força para Subestação </t>
        </is>
      </c>
      <c r="F535" s="91" t="inlineStr">
        <is>
          <t>VB.</t>
        </is>
      </c>
      <c r="G535" s="91" t="n">
        <v>1</v>
      </c>
      <c r="H535" s="1289" t="n">
        <v>22270.57</v>
      </c>
      <c r="I535" s="367" t="n"/>
      <c r="J535" s="1275" t="n"/>
      <c r="K535" s="9" t="n"/>
      <c r="L535" s="10" t="n"/>
      <c r="M535" s="238" t="inlineStr">
        <is>
          <t>INSIGHT ENERGY</t>
        </is>
      </c>
      <c r="N535" s="237" t="n"/>
      <c r="O535" s="1276" t="n"/>
      <c r="P535" s="1277" t="n"/>
      <c r="Q535" s="1276" t="n"/>
      <c r="R535" s="1277" t="n"/>
      <c r="S535" s="1278" t="n"/>
      <c r="T535" s="1277" t="n"/>
      <c r="U535" s="1278" t="n"/>
      <c r="V535" s="1279">
        <f>G535*H535</f>
        <v/>
      </c>
    </row>
    <row r="536" ht="15" customFormat="1" customHeight="1" s="353">
      <c r="A536" s="341" t="n"/>
      <c r="B536" s="340" t="n"/>
      <c r="C536" s="340" t="inlineStr">
        <is>
          <t>.</t>
        </is>
      </c>
      <c r="D536" s="340" t="n"/>
      <c r="E536" s="342" t="n"/>
      <c r="F536" s="343" t="n"/>
      <c r="G536" s="344" t="n"/>
      <c r="H536" s="1267" t="n"/>
      <c r="I536" s="316" t="n"/>
      <c r="J536" s="1268" t="n"/>
      <c r="K536" s="345" t="n"/>
      <c r="L536" s="346" t="n"/>
      <c r="M536" s="347" t="n"/>
      <c r="N536" s="348" t="n"/>
      <c r="O536" s="1269" t="n"/>
      <c r="P536" s="1270" t="n"/>
      <c r="Q536" s="1269" t="n"/>
      <c r="R536" s="1270" t="n"/>
      <c r="S536" s="1271" t="n"/>
      <c r="T536" s="1270" t="n"/>
      <c r="U536" s="1271" t="n"/>
      <c r="V536" s="1272" t="n"/>
    </row>
    <row r="537" ht="15" customHeight="1">
      <c r="A537" s="89" t="inlineStr">
        <is>
          <t>2.28.52</t>
        </is>
      </c>
      <c r="B537" s="90" t="inlineStr">
        <is>
          <t>SERVIÇO</t>
        </is>
      </c>
      <c r="C537" s="90" t="n"/>
      <c r="D537" s="90" t="n"/>
      <c r="E537" s="98" t="inlineStr">
        <is>
          <t>Montagem e Testes Físicos de Arranjo Provisório de MT</t>
        </is>
      </c>
      <c r="F537" s="91" t="inlineStr">
        <is>
          <t>VB.</t>
        </is>
      </c>
      <c r="G537" s="91" t="n">
        <v>1</v>
      </c>
      <c r="H537" s="1289" t="n">
        <v>42830.53</v>
      </c>
      <c r="I537" s="367" t="n"/>
      <c r="J537" s="1275" t="n"/>
      <c r="K537" s="9" t="n"/>
      <c r="L537" s="10" t="n"/>
      <c r="M537" s="238" t="inlineStr">
        <is>
          <t>INSIGHT ENERGY</t>
        </is>
      </c>
      <c r="N537" s="237" t="n"/>
      <c r="O537" s="1276" t="n"/>
      <c r="P537" s="1277" t="n"/>
      <c r="Q537" s="1276" t="n"/>
      <c r="R537" s="1277" t="n"/>
      <c r="S537" s="1278" t="n"/>
      <c r="T537" s="1277" t="n"/>
      <c r="U537" s="1278" t="n"/>
      <c r="V537" s="1279">
        <f>G537*H537</f>
        <v/>
      </c>
    </row>
    <row r="538" ht="15" customFormat="1" customHeight="1" s="353">
      <c r="A538" s="341" t="n"/>
      <c r="B538" s="340" t="n"/>
      <c r="C538" s="340" t="inlineStr">
        <is>
          <t>.</t>
        </is>
      </c>
      <c r="D538" s="340" t="n"/>
      <c r="E538" s="342" t="n"/>
      <c r="F538" s="343" t="n"/>
      <c r="G538" s="344" t="n"/>
      <c r="H538" s="1267" t="n"/>
      <c r="I538" s="316" t="n"/>
      <c r="J538" s="1268" t="n"/>
      <c r="K538" s="345" t="n"/>
      <c r="L538" s="346" t="n"/>
      <c r="M538" s="347" t="n"/>
      <c r="N538" s="348" t="n"/>
      <c r="O538" s="1269" t="n"/>
      <c r="P538" s="1270" t="n"/>
      <c r="Q538" s="1269" t="n"/>
      <c r="R538" s="1270" t="n"/>
      <c r="S538" s="1271" t="n"/>
      <c r="T538" s="1270" t="n"/>
      <c r="U538" s="1271" t="n"/>
      <c r="V538" s="1272" t="n"/>
    </row>
    <row r="539" ht="15" customHeight="1">
      <c r="A539" s="89" t="inlineStr">
        <is>
          <t>2.28.53</t>
        </is>
      </c>
      <c r="B539" s="90" t="inlineStr">
        <is>
          <t>SERVIÇO</t>
        </is>
      </c>
      <c r="C539" s="90" t="n"/>
      <c r="D539" s="90" t="n"/>
      <c r="E539" s="98" t="inlineStr">
        <is>
          <t>Execução de Testes de Teleproteção - "Ponta a ponta"</t>
        </is>
      </c>
      <c r="F539" s="91" t="inlineStr">
        <is>
          <t>VB.</t>
        </is>
      </c>
      <c r="G539" s="91" t="n">
        <v>1</v>
      </c>
      <c r="H539" s="1289" t="n">
        <v>181870.64</v>
      </c>
      <c r="I539" s="367" t="n"/>
      <c r="J539" s="1275" t="n"/>
      <c r="K539" s="9" t="n"/>
      <c r="L539" s="10" t="n"/>
      <c r="M539" s="238" t="inlineStr">
        <is>
          <t>INSIGHT ENERGY</t>
        </is>
      </c>
      <c r="N539" s="237" t="n"/>
      <c r="O539" s="1276" t="n"/>
      <c r="P539" s="1277" t="n"/>
      <c r="Q539" s="1276" t="n"/>
      <c r="R539" s="1277" t="n"/>
      <c r="S539" s="1278" t="n"/>
      <c r="T539" s="1277" t="n"/>
      <c r="U539" s="1278" t="n"/>
      <c r="V539" s="1279">
        <f>G539*H539</f>
        <v/>
      </c>
    </row>
    <row r="540" ht="15" customFormat="1" customHeight="1" s="353">
      <c r="A540" s="341" t="n"/>
      <c r="B540" s="340" t="n"/>
      <c r="C540" s="340" t="inlineStr">
        <is>
          <t>.</t>
        </is>
      </c>
      <c r="D540" s="340" t="n"/>
      <c r="E540" s="342" t="n"/>
      <c r="F540" s="343" t="n"/>
      <c r="G540" s="344" t="n"/>
      <c r="H540" s="1267" t="n"/>
      <c r="I540" s="316" t="n"/>
      <c r="J540" s="1268" t="n"/>
      <c r="K540" s="345" t="n"/>
      <c r="L540" s="346" t="n"/>
      <c r="M540" s="347" t="n"/>
      <c r="N540" s="348" t="n"/>
      <c r="O540" s="1269" t="n"/>
      <c r="P540" s="1270" t="n"/>
      <c r="Q540" s="1269" t="n"/>
      <c r="R540" s="1270" t="n"/>
      <c r="S540" s="1271" t="n"/>
      <c r="T540" s="1270" t="n"/>
      <c r="U540" s="1271" t="n"/>
      <c r="V540" s="1272" t="n"/>
    </row>
    <row r="541" ht="15" customHeight="1">
      <c r="A541" s="89" t="inlineStr">
        <is>
          <t>2.28.54</t>
        </is>
      </c>
      <c r="B541" s="90" t="inlineStr">
        <is>
          <t>SERVIÇO</t>
        </is>
      </c>
      <c r="C541" s="90" t="n"/>
      <c r="D541" s="90" t="n"/>
      <c r="E541" s="98" t="inlineStr">
        <is>
          <t>Desmontagem de Equipamentos e Materiais do pátio de 161 kV</t>
        </is>
      </c>
      <c r="F541" s="91" t="inlineStr">
        <is>
          <t>VB.</t>
        </is>
      </c>
      <c r="G541" s="91" t="n">
        <v>1</v>
      </c>
      <c r="H541" s="1289" t="n">
        <v>142064.99</v>
      </c>
      <c r="I541" s="367" t="n"/>
      <c r="J541" s="1275" t="n"/>
      <c r="K541" s="9" t="n"/>
      <c r="L541" s="10" t="n"/>
      <c r="M541" s="238" t="inlineStr">
        <is>
          <t>INSIGHT ENERGY</t>
        </is>
      </c>
      <c r="N541" s="237" t="n"/>
      <c r="O541" s="1276" t="n"/>
      <c r="P541" s="1277" t="n"/>
      <c r="Q541" s="1276" t="n"/>
      <c r="R541" s="1277" t="n"/>
      <c r="S541" s="1278" t="n"/>
      <c r="T541" s="1277" t="n"/>
      <c r="U541" s="1278" t="n"/>
      <c r="V541" s="1279">
        <f>G541*H541</f>
        <v/>
      </c>
    </row>
    <row r="542" ht="15" customFormat="1" customHeight="1" s="353">
      <c r="A542" s="341" t="n"/>
      <c r="B542" s="340" t="n"/>
      <c r="C542" s="340" t="inlineStr">
        <is>
          <t>.</t>
        </is>
      </c>
      <c r="D542" s="340" t="n"/>
      <c r="E542" s="342" t="n"/>
      <c r="F542" s="343" t="n"/>
      <c r="G542" s="344" t="n"/>
      <c r="H542" s="1267" t="n"/>
      <c r="I542" s="316" t="n"/>
      <c r="J542" s="1268" t="n"/>
      <c r="K542" s="345" t="n"/>
      <c r="L542" s="346" t="n"/>
      <c r="M542" s="347" t="n"/>
      <c r="N542" s="348" t="n"/>
      <c r="O542" s="1269" t="n"/>
      <c r="P542" s="1270" t="n"/>
      <c r="Q542" s="1269" t="n"/>
      <c r="R542" s="1270" t="n"/>
      <c r="S542" s="1271" t="n"/>
      <c r="T542" s="1270" t="n"/>
      <c r="U542" s="1271" t="n"/>
      <c r="V542" s="1272" t="n"/>
    </row>
    <row r="543" ht="15" customHeight="1">
      <c r="A543" s="89" t="inlineStr">
        <is>
          <t>2.28.55</t>
        </is>
      </c>
      <c r="B543" s="90" t="inlineStr">
        <is>
          <t>SERVIÇO</t>
        </is>
      </c>
      <c r="C543" s="90" t="n"/>
      <c r="D543" s="90" t="n"/>
      <c r="E543" s="98" t="inlineStr">
        <is>
          <t>Desmontagem de Equipamentos e Materiais do pátio de 69 kV</t>
        </is>
      </c>
      <c r="F543" s="91" t="inlineStr">
        <is>
          <t>VB.</t>
        </is>
      </c>
      <c r="G543" s="91" t="n">
        <v>1</v>
      </c>
      <c r="H543" s="1289" t="n">
        <v>124607.13</v>
      </c>
      <c r="I543" s="367" t="n"/>
      <c r="J543" s="1275" t="n"/>
      <c r="K543" s="9" t="n"/>
      <c r="L543" s="10" t="n"/>
      <c r="M543" s="238" t="inlineStr">
        <is>
          <t>INSIGHT ENERGY</t>
        </is>
      </c>
      <c r="N543" s="237" t="n"/>
      <c r="O543" s="1276" t="n"/>
      <c r="P543" s="1277" t="n"/>
      <c r="Q543" s="1276" t="n"/>
      <c r="R543" s="1277" t="n"/>
      <c r="S543" s="1278" t="n"/>
      <c r="T543" s="1277" t="n"/>
      <c r="U543" s="1278" t="n"/>
      <c r="V543" s="1279">
        <f>G543*H543</f>
        <v/>
      </c>
    </row>
    <row r="544" ht="15" customFormat="1" customHeight="1" s="353">
      <c r="A544" s="341" t="n"/>
      <c r="B544" s="340" t="n"/>
      <c r="C544" s="340" t="inlineStr">
        <is>
          <t>.</t>
        </is>
      </c>
      <c r="D544" s="340" t="n"/>
      <c r="E544" s="342" t="n"/>
      <c r="F544" s="343" t="n"/>
      <c r="G544" s="344" t="n"/>
      <c r="H544" s="1267" t="n"/>
      <c r="I544" s="316" t="n"/>
      <c r="J544" s="1268" t="n"/>
      <c r="K544" s="345" t="n"/>
      <c r="L544" s="346" t="n"/>
      <c r="M544" s="347" t="n"/>
      <c r="N544" s="348" t="n"/>
      <c r="O544" s="1269" t="n"/>
      <c r="P544" s="1270" t="n"/>
      <c r="Q544" s="1269" t="n"/>
      <c r="R544" s="1270" t="n"/>
      <c r="S544" s="1271" t="n"/>
      <c r="T544" s="1270" t="n"/>
      <c r="U544" s="1271" t="n"/>
      <c r="V544" s="1272" t="n"/>
    </row>
    <row r="545" ht="15" customHeight="1">
      <c r="A545" s="89" t="inlineStr">
        <is>
          <t>2.28.56</t>
        </is>
      </c>
      <c r="B545" s="90" t="inlineStr">
        <is>
          <t>SERVIÇO</t>
        </is>
      </c>
      <c r="C545" s="90" t="n"/>
      <c r="D545" s="90" t="n"/>
      <c r="E545" s="98" t="inlineStr">
        <is>
          <t>Desmontagem de Equipamentos e Materiais do pátio de 13,8 kV</t>
        </is>
      </c>
      <c r="F545" s="91" t="inlineStr">
        <is>
          <t>VB.</t>
        </is>
      </c>
      <c r="G545" s="91" t="n">
        <v>1</v>
      </c>
      <c r="H545" s="1289" t="n">
        <v>81786.88</v>
      </c>
      <c r="I545" s="367" t="n"/>
      <c r="J545" s="1275" t="n"/>
      <c r="K545" s="9" t="n"/>
      <c r="L545" s="10" t="n"/>
      <c r="M545" s="238" t="inlineStr">
        <is>
          <t>INSIGHT ENERGY</t>
        </is>
      </c>
      <c r="N545" s="237" t="n"/>
      <c r="O545" s="1276" t="n"/>
      <c r="P545" s="1277" t="n"/>
      <c r="Q545" s="1276" t="n"/>
      <c r="R545" s="1277" t="n"/>
      <c r="S545" s="1278" t="n"/>
      <c r="T545" s="1277" t="n"/>
      <c r="U545" s="1278" t="n"/>
      <c r="V545" s="1279">
        <f>G545*H545</f>
        <v/>
      </c>
    </row>
    <row r="546" ht="15" customFormat="1" customHeight="1" s="353">
      <c r="A546" s="341" t="n"/>
      <c r="B546" s="340" t="n"/>
      <c r="C546" s="340" t="inlineStr">
        <is>
          <t>.</t>
        </is>
      </c>
      <c r="D546" s="340" t="n"/>
      <c r="E546" s="342" t="n"/>
      <c r="F546" s="343" t="n"/>
      <c r="G546" s="344" t="n"/>
      <c r="H546" s="1267" t="n"/>
      <c r="I546" s="316" t="n"/>
      <c r="J546" s="1268" t="n"/>
      <c r="K546" s="345" t="n"/>
      <c r="L546" s="346" t="n"/>
      <c r="M546" s="347" t="n"/>
      <c r="N546" s="348" t="n"/>
      <c r="O546" s="1269" t="n"/>
      <c r="P546" s="1270" t="n"/>
      <c r="Q546" s="1269" t="n"/>
      <c r="R546" s="1270" t="n"/>
      <c r="S546" s="1271" t="n"/>
      <c r="T546" s="1270" t="n"/>
      <c r="U546" s="1271" t="n"/>
      <c r="V546" s="1272" t="n"/>
    </row>
    <row r="547" ht="27.6" customHeight="1">
      <c r="A547" s="89" t="inlineStr">
        <is>
          <t>2.28.57</t>
        </is>
      </c>
      <c r="B547" s="90" t="inlineStr">
        <is>
          <t>SERVIÇO</t>
        </is>
      </c>
      <c r="C547" s="90" t="n"/>
      <c r="D547" s="90" t="n"/>
      <c r="E547" s="98" t="inlineStr">
        <is>
          <t>Desmontagem de Demais Equipamentos, Sistemas e Materiais de Baixa Tensão</t>
        </is>
      </c>
      <c r="F547" s="91" t="inlineStr">
        <is>
          <t>VB.</t>
        </is>
      </c>
      <c r="G547" s="91" t="n">
        <v>1</v>
      </c>
      <c r="H547" s="1289" t="n">
        <v>115866.53</v>
      </c>
      <c r="I547" s="367" t="n"/>
      <c r="J547" s="1275" t="n"/>
      <c r="K547" s="9" t="n"/>
      <c r="L547" s="10" t="n"/>
      <c r="M547" s="238" t="inlineStr">
        <is>
          <t>INSIGHT ENERGY</t>
        </is>
      </c>
      <c r="N547" s="237" t="n"/>
      <c r="O547" s="1276" t="n"/>
      <c r="P547" s="1277" t="n"/>
      <c r="Q547" s="1276" t="n"/>
      <c r="R547" s="1277" t="n"/>
      <c r="S547" s="1278" t="n"/>
      <c r="T547" s="1277" t="n"/>
      <c r="U547" s="1278" t="n"/>
      <c r="V547" s="1279">
        <f>G547*H547</f>
        <v/>
      </c>
    </row>
    <row r="548" ht="15" customFormat="1" customHeight="1" s="353">
      <c r="A548" s="341" t="n"/>
      <c r="B548" s="340" t="n"/>
      <c r="C548" s="340" t="inlineStr">
        <is>
          <t>.</t>
        </is>
      </c>
      <c r="D548" s="340" t="n"/>
      <c r="E548" s="342" t="n"/>
      <c r="F548" s="343" t="n"/>
      <c r="G548" s="344" t="n"/>
      <c r="H548" s="1267" t="n"/>
      <c r="I548" s="316" t="n"/>
      <c r="J548" s="1268" t="n"/>
      <c r="K548" s="345" t="n"/>
      <c r="L548" s="346" t="n"/>
      <c r="M548" s="347" t="n"/>
      <c r="N548" s="348" t="n"/>
      <c r="O548" s="1269" t="n"/>
      <c r="P548" s="1270" t="n"/>
      <c r="Q548" s="1269" t="n"/>
      <c r="R548" s="1270" t="n"/>
      <c r="S548" s="1271" t="n"/>
      <c r="T548" s="1270" t="n"/>
      <c r="U548" s="1271" t="n"/>
      <c r="V548" s="1272" t="n"/>
    </row>
    <row r="549" ht="15" customHeight="1">
      <c r="A549" s="89" t="inlineStr">
        <is>
          <t>2.28.58</t>
        </is>
      </c>
      <c r="B549" s="90" t="inlineStr">
        <is>
          <t>SERVIÇO</t>
        </is>
      </c>
      <c r="C549" s="90" t="n"/>
      <c r="D549" s="90" t="n"/>
      <c r="E549" s="98" t="inlineStr">
        <is>
          <t>Desmontagem de Arranjo Provisório de MT</t>
        </is>
      </c>
      <c r="F549" s="91" t="inlineStr">
        <is>
          <t>VB.</t>
        </is>
      </c>
      <c r="G549" s="91" t="n">
        <v>1</v>
      </c>
      <c r="H549" s="1289" t="n">
        <v>133185.93</v>
      </c>
      <c r="I549" s="367" t="n"/>
      <c r="J549" s="1275" t="n"/>
      <c r="K549" s="9" t="n"/>
      <c r="L549" s="10" t="n"/>
      <c r="M549" s="238" t="inlineStr">
        <is>
          <t>INSIGHT ENERGY</t>
        </is>
      </c>
      <c r="N549" s="237" t="n"/>
      <c r="O549" s="1276" t="n"/>
      <c r="P549" s="1277" t="n"/>
      <c r="Q549" s="1276" t="n"/>
      <c r="R549" s="1277" t="n"/>
      <c r="S549" s="1278" t="n"/>
      <c r="T549" s="1277" t="n"/>
      <c r="U549" s="1278" t="n"/>
      <c r="V549" s="1279">
        <f>G549*H549</f>
        <v/>
      </c>
    </row>
    <row r="550" ht="15" customFormat="1" customHeight="1" s="353">
      <c r="A550" s="341" t="n"/>
      <c r="B550" s="340" t="n"/>
      <c r="C550" s="340" t="inlineStr">
        <is>
          <t>.</t>
        </is>
      </c>
      <c r="D550" s="340" t="n"/>
      <c r="E550" s="342" t="n"/>
      <c r="F550" s="343" t="n"/>
      <c r="G550" s="344" t="n"/>
      <c r="H550" s="1267" t="n"/>
      <c r="I550" s="316" t="n"/>
      <c r="J550" s="1268" t="n"/>
      <c r="K550" s="345" t="n"/>
      <c r="L550" s="346" t="n"/>
      <c r="M550" s="347" t="n"/>
      <c r="N550" s="348" t="n"/>
      <c r="O550" s="1269" t="n"/>
      <c r="P550" s="1270" t="n"/>
      <c r="Q550" s="1269" t="n"/>
      <c r="R550" s="1270" t="n"/>
      <c r="S550" s="1271" t="n"/>
      <c r="T550" s="1270" t="n"/>
      <c r="U550" s="1271" t="n"/>
      <c r="V550" s="1272" t="n"/>
    </row>
    <row r="551" ht="15" customHeight="1">
      <c r="A551" s="89" t="inlineStr">
        <is>
          <t>2.28.59</t>
        </is>
      </c>
      <c r="B551" s="90" t="inlineStr">
        <is>
          <t>SERVIÇO</t>
        </is>
      </c>
      <c r="C551" s="90" t="n"/>
      <c r="D551" s="90" t="n"/>
      <c r="E551" s="98" t="inlineStr">
        <is>
          <t>Comissionamento / Testes de Aceitação em Campo (TAC)</t>
        </is>
      </c>
      <c r="F551" s="91" t="inlineStr">
        <is>
          <t>VB.</t>
        </is>
      </c>
      <c r="G551" s="91" t="n">
        <v>1</v>
      </c>
      <c r="H551" s="1289" t="n">
        <v>1183997.4</v>
      </c>
      <c r="I551" s="367" t="n"/>
      <c r="J551" s="1275" t="n"/>
      <c r="K551" s="9" t="n"/>
      <c r="L551" s="10" t="n"/>
      <c r="M551" s="238" t="inlineStr">
        <is>
          <t>SIEYUAN/SIEMENS</t>
        </is>
      </c>
      <c r="N551" s="237" t="n"/>
      <c r="O551" s="1276" t="n"/>
      <c r="P551" s="1277" t="n"/>
      <c r="Q551" s="1276" t="n"/>
      <c r="R551" s="1277" t="n"/>
      <c r="S551" s="1278" t="n"/>
      <c r="T551" s="1277" t="n"/>
      <c r="U551" s="1278" t="n"/>
      <c r="V551" s="1279">
        <f>G551*H551</f>
        <v/>
      </c>
    </row>
    <row r="552" ht="15" customFormat="1" customHeight="1" s="353">
      <c r="A552" s="341" t="n"/>
      <c r="B552" s="340" t="n"/>
      <c r="C552" s="340" t="inlineStr">
        <is>
          <t>.</t>
        </is>
      </c>
      <c r="D552" s="340" t="n"/>
      <c r="E552" s="342" t="n"/>
      <c r="F552" s="343" t="n"/>
      <c r="G552" s="344" t="n"/>
      <c r="H552" s="1267" t="n"/>
      <c r="I552" s="316" t="n"/>
      <c r="J552" s="1268" t="n"/>
      <c r="K552" s="345" t="n"/>
      <c r="L552" s="346" t="n"/>
      <c r="M552" s="347" t="n"/>
      <c r="N552" s="348" t="n"/>
      <c r="O552" s="1269" t="n"/>
      <c r="P552" s="1270" t="n"/>
      <c r="Q552" s="1269" t="n"/>
      <c r="R552" s="1270" t="n"/>
      <c r="S552" s="1271" t="n"/>
      <c r="T552" s="1270" t="n"/>
      <c r="U552" s="1271" t="n"/>
      <c r="V552" s="1272" t="n"/>
    </row>
    <row r="553" ht="15" customHeight="1">
      <c r="A553" s="89" t="inlineStr">
        <is>
          <t>2.28.60</t>
        </is>
      </c>
      <c r="B553" s="90" t="inlineStr">
        <is>
          <t>MATERIAL</t>
        </is>
      </c>
      <c r="C553" s="90" t="n"/>
      <c r="D553" s="90" t="n"/>
      <c r="E553" s="98" t="inlineStr">
        <is>
          <t>Peças, materiais e equipmentos sobressalentes</t>
        </is>
      </c>
      <c r="F553" s="91" t="inlineStr">
        <is>
          <t>VB.</t>
        </is>
      </c>
      <c r="G553" s="91" t="n">
        <v>1</v>
      </c>
      <c r="H553" s="1291" t="n">
        <v>903130.91</v>
      </c>
      <c r="I553" s="323" t="n"/>
      <c r="J553" s="1292" t="n"/>
      <c r="K553" s="9" t="n"/>
      <c r="L553" s="10" t="n"/>
      <c r="M553" s="11" t="inlineStr">
        <is>
          <t>INSIGHT ENERGY</t>
        </is>
      </c>
      <c r="N553" s="8" t="n"/>
      <c r="O553" s="1276" t="n"/>
      <c r="P553" s="1277" t="n"/>
      <c r="Q553" s="1276" t="n"/>
      <c r="R553" s="1277" t="n"/>
      <c r="S553" s="1278" t="n"/>
      <c r="T553" s="1277" t="n"/>
      <c r="U553" s="1278" t="n"/>
      <c r="V553" s="1279">
        <f>G553*H553</f>
        <v/>
      </c>
    </row>
    <row r="554" ht="15.6" customFormat="1" customHeight="1" s="353" thickBot="1">
      <c r="A554" s="341" t="n"/>
      <c r="B554" s="340" t="n"/>
      <c r="C554" s="340" t="inlineStr">
        <is>
          <t>.</t>
        </is>
      </c>
      <c r="D554" s="340" t="n"/>
      <c r="E554" s="342" t="n"/>
      <c r="F554" s="343" t="n"/>
      <c r="G554" s="344" t="n"/>
      <c r="H554" s="1267" t="n"/>
      <c r="I554" s="316" t="n"/>
      <c r="J554" s="1268" t="n"/>
      <c r="K554" s="345" t="n"/>
      <c r="L554" s="346" t="n"/>
      <c r="M554" s="347" t="n"/>
      <c r="N554" s="348" t="n"/>
      <c r="O554" s="1269" t="n"/>
      <c r="P554" s="1270" t="n"/>
      <c r="Q554" s="1269" t="n"/>
      <c r="R554" s="1270" t="n"/>
      <c r="S554" s="1271" t="n"/>
      <c r="T554" s="1270" t="n"/>
      <c r="U554" s="1271" t="n"/>
      <c r="V554" s="1272" t="n"/>
    </row>
    <row r="555" ht="16.2" customHeight="1" thickBot="1">
      <c r="A555" s="379" t="inlineStr">
        <is>
          <t>2.29 - Sistema de vigilância eletrônica</t>
        </is>
      </c>
      <c r="B555" s="380" t="n"/>
      <c r="C555" s="380" t="n"/>
      <c r="D555" s="380" t="n"/>
      <c r="E555" s="380" t="n"/>
      <c r="F555" s="380" t="n"/>
      <c r="G555" s="380" t="n"/>
      <c r="H555" s="380" t="n"/>
      <c r="I555" s="381" t="n"/>
      <c r="J555" s="1258" t="n"/>
      <c r="K555" s="380" t="n"/>
      <c r="L555" s="380" t="n"/>
      <c r="M555" s="385" t="n"/>
      <c r="N555" s="380" t="n"/>
      <c r="O555" s="383" t="n"/>
      <c r="P555" s="380" t="n"/>
      <c r="Q555" s="383" t="n"/>
      <c r="R555" s="380" t="n"/>
      <c r="S555" s="380" t="n"/>
      <c r="T555" s="380" t="n"/>
      <c r="U555" s="384" t="n"/>
      <c r="V555" s="1259">
        <f>SUM(V556:V564)</f>
        <v/>
      </c>
      <c r="W555" s="1260" t="n"/>
    </row>
    <row r="556" ht="15" customHeight="1">
      <c r="A556" s="95" t="inlineStr">
        <is>
          <t>2.29.01</t>
        </is>
      </c>
      <c r="B556" s="90" t="inlineStr">
        <is>
          <t>SERVIÇO</t>
        </is>
      </c>
      <c r="C556" s="90" t="n"/>
      <c r="D556" s="90" t="n"/>
      <c r="E556" s="81" t="inlineStr">
        <is>
          <t>Engenharia e projeto executivo</t>
        </is>
      </c>
      <c r="F556" s="91" t="inlineStr">
        <is>
          <t>VB.</t>
        </is>
      </c>
      <c r="G556" s="91" t="n">
        <v>1</v>
      </c>
      <c r="H556" s="1274" t="n">
        <v>126216.839237269</v>
      </c>
      <c r="I556" s="367" t="n"/>
      <c r="J556" s="1275" t="n"/>
      <c r="K556" s="9" t="n"/>
      <c r="L556" s="10" t="n"/>
      <c r="M556" s="238" t="inlineStr">
        <is>
          <t>INSIGHT ENERGY</t>
        </is>
      </c>
      <c r="N556" s="237" t="n"/>
      <c r="O556" s="1276" t="n"/>
      <c r="P556" s="1277" t="n"/>
      <c r="Q556" s="1276" t="n"/>
      <c r="R556" s="1277" t="n"/>
      <c r="S556" s="1278" t="n"/>
      <c r="T556" s="1277" t="n"/>
      <c r="U556" s="1278" t="n"/>
      <c r="V556" s="1279">
        <f>G556*H556</f>
        <v/>
      </c>
      <c r="W556" s="1260" t="n"/>
    </row>
    <row r="557" ht="15" customFormat="1" customHeight="1" s="353">
      <c r="A557" s="341" t="n"/>
      <c r="B557" s="340" t="n"/>
      <c r="C557" s="340" t="inlineStr">
        <is>
          <t>.</t>
        </is>
      </c>
      <c r="D557" s="340" t="n"/>
      <c r="E557" s="342" t="n"/>
      <c r="F557" s="343" t="n"/>
      <c r="G557" s="344" t="n"/>
      <c r="H557" s="1267" t="n"/>
      <c r="I557" s="316" t="n"/>
      <c r="J557" s="1268" t="n"/>
      <c r="K557" s="345" t="n"/>
      <c r="L557" s="346" t="n"/>
      <c r="M557" s="347" t="n"/>
      <c r="N557" s="348" t="n"/>
      <c r="O557" s="1269" t="n"/>
      <c r="P557" s="1270" t="n"/>
      <c r="Q557" s="1269" t="n"/>
      <c r="R557" s="1270" t="n"/>
      <c r="S557" s="1271" t="n"/>
      <c r="T557" s="1270" t="n"/>
      <c r="U557" s="1271" t="n"/>
      <c r="V557" s="1272" t="n"/>
    </row>
    <row r="558" ht="15" customHeight="1">
      <c r="A558" s="95" t="inlineStr">
        <is>
          <t>2.29.02</t>
        </is>
      </c>
      <c r="B558" s="90" t="inlineStr">
        <is>
          <t>SERVIÇO</t>
        </is>
      </c>
      <c r="C558" s="90" t="n"/>
      <c r="D558" s="90" t="n"/>
      <c r="E558" s="81" t="inlineStr">
        <is>
          <t>Montagem eletromecânica completa</t>
        </is>
      </c>
      <c r="F558" s="91" t="inlineStr">
        <is>
          <t>VB.</t>
        </is>
      </c>
      <c r="G558" s="91" t="n">
        <v>1</v>
      </c>
      <c r="H558" s="1274" t="n">
        <v>259091.14</v>
      </c>
      <c r="I558" s="367" t="n"/>
      <c r="J558" s="1275" t="n"/>
      <c r="K558" s="9" t="n"/>
      <c r="L558" s="10" t="n"/>
      <c r="M558" s="238" t="inlineStr">
        <is>
          <t>INSIGHT ENERGY</t>
        </is>
      </c>
      <c r="N558" s="237" t="n"/>
      <c r="O558" s="1276" t="n"/>
      <c r="P558" s="1277" t="n"/>
      <c r="Q558" s="1276" t="n"/>
      <c r="R558" s="1277" t="n"/>
      <c r="S558" s="1278" t="n"/>
      <c r="T558" s="1277" t="n"/>
      <c r="U558" s="1278" t="n"/>
      <c r="V558" s="1279">
        <f>G558*H558</f>
        <v/>
      </c>
    </row>
    <row r="559" ht="15" customFormat="1" customHeight="1" s="353">
      <c r="A559" s="341" t="n"/>
      <c r="B559" s="340" t="n"/>
      <c r="C559" s="340" t="inlineStr">
        <is>
          <t>.</t>
        </is>
      </c>
      <c r="D559" s="340" t="n"/>
      <c r="E559" s="342" t="n"/>
      <c r="F559" s="343" t="n"/>
      <c r="G559" s="344" t="n"/>
      <c r="H559" s="1267" t="n"/>
      <c r="I559" s="316" t="n"/>
      <c r="J559" s="1268" t="n"/>
      <c r="K559" s="345" t="n"/>
      <c r="L559" s="346" t="n"/>
      <c r="M559" s="347" t="n"/>
      <c r="N559" s="348" t="n"/>
      <c r="O559" s="1269" t="n"/>
      <c r="P559" s="1270" t="n"/>
      <c r="Q559" s="1269" t="n"/>
      <c r="R559" s="1270" t="n"/>
      <c r="S559" s="1271" t="n"/>
      <c r="T559" s="1270" t="n"/>
      <c r="U559" s="1271" t="n"/>
      <c r="V559" s="1272" t="n"/>
    </row>
    <row r="560" ht="15" customHeight="1">
      <c r="A560" s="95" t="inlineStr">
        <is>
          <t>2.29.03</t>
        </is>
      </c>
      <c r="B560" s="90" t="inlineStr">
        <is>
          <t>SERVIÇO</t>
        </is>
      </c>
      <c r="C560" s="90" t="n"/>
      <c r="D560" s="90" t="n"/>
      <c r="E560" s="81" t="inlineStr">
        <is>
          <t>Supervisão, ensaios de campo e comissionamento</t>
        </is>
      </c>
      <c r="F560" s="91" t="inlineStr">
        <is>
          <t>VB.</t>
        </is>
      </c>
      <c r="G560" s="91" t="n">
        <v>1</v>
      </c>
      <c r="H560" s="1274" t="n">
        <v>92386.56</v>
      </c>
      <c r="I560" s="367" t="n"/>
      <c r="J560" s="1275" t="n"/>
      <c r="K560" s="9" t="n"/>
      <c r="L560" s="10" t="n"/>
      <c r="M560" s="238" t="inlineStr">
        <is>
          <t>INSIGHT ENERGY</t>
        </is>
      </c>
      <c r="N560" s="237" t="n"/>
      <c r="O560" s="1276" t="n"/>
      <c r="P560" s="1277" t="n"/>
      <c r="Q560" s="1276" t="n"/>
      <c r="R560" s="1277" t="n"/>
      <c r="S560" s="1278" t="n"/>
      <c r="T560" s="1277" t="n"/>
      <c r="U560" s="1278" t="n"/>
      <c r="V560" s="1279">
        <f>G560*H560</f>
        <v/>
      </c>
    </row>
    <row r="561" ht="15" customFormat="1" customHeight="1" s="353">
      <c r="A561" s="341" t="n"/>
      <c r="B561" s="340" t="n"/>
      <c r="C561" s="340" t="inlineStr">
        <is>
          <t>.</t>
        </is>
      </c>
      <c r="D561" s="340" t="n"/>
      <c r="E561" s="342" t="n"/>
      <c r="F561" s="343" t="n"/>
      <c r="G561" s="344" t="n"/>
      <c r="H561" s="1267" t="n"/>
      <c r="I561" s="316" t="n"/>
      <c r="J561" s="1268" t="n"/>
      <c r="K561" s="345" t="n"/>
      <c r="L561" s="346" t="n"/>
      <c r="M561" s="347" t="n"/>
      <c r="N561" s="348" t="n"/>
      <c r="O561" s="1269" t="n"/>
      <c r="P561" s="1270" t="n"/>
      <c r="Q561" s="1269" t="n"/>
      <c r="R561" s="1270" t="n"/>
      <c r="S561" s="1271" t="n"/>
      <c r="T561" s="1270" t="n"/>
      <c r="U561" s="1271" t="n"/>
      <c r="V561" s="1272" t="n"/>
    </row>
    <row r="562" ht="15" customHeight="1">
      <c r="A562" s="95" t="inlineStr">
        <is>
          <t>2.29.04</t>
        </is>
      </c>
      <c r="B562" s="80" t="inlineStr">
        <is>
          <t>MATERIAL</t>
        </is>
      </c>
      <c r="C562" s="80" t="n"/>
      <c r="D562" s="80" t="n"/>
      <c r="E562" s="81" t="inlineStr">
        <is>
          <t>Equipamentos e materiais do Sistema de Controle de Acesso e Intrusão</t>
        </is>
      </c>
      <c r="F562" s="91" t="inlineStr">
        <is>
          <t>CJ.</t>
        </is>
      </c>
      <c r="G562" s="91" t="n">
        <v>1</v>
      </c>
      <c r="H562" s="1274" t="n">
        <v>331859.522206789</v>
      </c>
      <c r="I562" s="367" t="n"/>
      <c r="J562" s="1275" t="n"/>
      <c r="K562" s="1278" t="n"/>
      <c r="L562" s="1277" t="n"/>
      <c r="M562" s="236" t="inlineStr">
        <is>
          <t>INSIGHT ENERGY</t>
        </is>
      </c>
      <c r="N562" s="237" t="n"/>
      <c r="O562" s="302" t="n"/>
      <c r="P562" s="309" t="n"/>
      <c r="Q562" s="310" t="n"/>
      <c r="R562" s="310" t="n"/>
      <c r="S562" s="311" t="n"/>
      <c r="T562" s="311" t="n"/>
      <c r="U562" s="309" t="n"/>
      <c r="V562" s="1279">
        <f>G562*H562</f>
        <v/>
      </c>
    </row>
    <row r="563" ht="15" customFormat="1" customHeight="1" s="353">
      <c r="A563" s="341" t="n"/>
      <c r="B563" s="340" t="n"/>
      <c r="C563" s="340" t="inlineStr">
        <is>
          <t>.</t>
        </is>
      </c>
      <c r="D563" s="340" t="n"/>
      <c r="E563" s="342" t="n"/>
      <c r="F563" s="343" t="n"/>
      <c r="G563" s="344" t="n"/>
      <c r="H563" s="1267" t="n"/>
      <c r="I563" s="316" t="n"/>
      <c r="J563" s="1268" t="n"/>
      <c r="K563" s="345" t="n"/>
      <c r="L563" s="346" t="n"/>
      <c r="M563" s="347" t="n"/>
      <c r="N563" s="348" t="n"/>
      <c r="O563" s="1269" t="n"/>
      <c r="P563" s="1270" t="n"/>
      <c r="Q563" s="1269" t="n"/>
      <c r="R563" s="1270" t="n"/>
      <c r="S563" s="1271" t="n"/>
      <c r="T563" s="1270" t="n"/>
      <c r="U563" s="1271" t="n"/>
      <c r="V563" s="1272" t="n"/>
    </row>
    <row r="564" ht="15" customHeight="1">
      <c r="A564" s="95" t="inlineStr">
        <is>
          <t>2.29.05</t>
        </is>
      </c>
      <c r="B564" s="80" t="inlineStr">
        <is>
          <t>MATERIAL</t>
        </is>
      </c>
      <c r="C564" s="80" t="n"/>
      <c r="D564" s="80" t="n"/>
      <c r="E564" s="81" t="inlineStr">
        <is>
          <t>Equipamentos e materiais do CFTV</t>
        </is>
      </c>
      <c r="F564" s="91" t="inlineStr">
        <is>
          <t>CJ.</t>
        </is>
      </c>
      <c r="G564" s="91" t="n">
        <v>1</v>
      </c>
      <c r="H564" s="1274" t="n">
        <v>470596.965664273</v>
      </c>
      <c r="I564" s="367" t="n"/>
      <c r="J564" s="1275" t="n"/>
      <c r="K564" s="1278" t="n"/>
      <c r="L564" s="1277" t="n"/>
      <c r="M564" s="236" t="inlineStr">
        <is>
          <t>INSIGHT ENERGY</t>
        </is>
      </c>
      <c r="N564" s="237" t="n"/>
      <c r="O564" s="302" t="n"/>
      <c r="P564" s="309" t="n"/>
      <c r="Q564" s="310" t="n"/>
      <c r="R564" s="310" t="n"/>
      <c r="S564" s="311" t="n"/>
      <c r="T564" s="311" t="n"/>
      <c r="U564" s="309" t="n"/>
      <c r="V564" s="1279">
        <f>G564*H564</f>
        <v/>
      </c>
    </row>
    <row r="565" ht="15.6" customFormat="1" customHeight="1" s="353" thickBot="1">
      <c r="A565" s="341" t="n"/>
      <c r="B565" s="340" t="n"/>
      <c r="C565" s="340" t="inlineStr">
        <is>
          <t>.</t>
        </is>
      </c>
      <c r="D565" s="340" t="n"/>
      <c r="E565" s="342" t="n"/>
      <c r="F565" s="343" t="n"/>
      <c r="G565" s="344" t="n"/>
      <c r="H565" s="1267" t="n"/>
      <c r="I565" s="316" t="n"/>
      <c r="J565" s="1268" t="n"/>
      <c r="K565" s="345" t="n"/>
      <c r="L565" s="346" t="n"/>
      <c r="M565" s="347" t="n"/>
      <c r="N565" s="348" t="n"/>
      <c r="O565" s="1269" t="n"/>
      <c r="P565" s="1270" t="n"/>
      <c r="Q565" s="1269" t="n"/>
      <c r="R565" s="1270" t="n"/>
      <c r="S565" s="1271" t="n"/>
      <c r="T565" s="1270" t="n"/>
      <c r="U565" s="1271" t="n"/>
      <c r="V565" s="1272" t="n"/>
    </row>
    <row r="566" ht="16.2" customHeight="1" thickBot="1">
      <c r="A566" s="379" t="inlineStr">
        <is>
          <t>2.30 - Vertedouro Santo Antônio - Adequações das Instalações Elétricas</t>
        </is>
      </c>
      <c r="B566" s="380" t="n"/>
      <c r="C566" s="380" t="n"/>
      <c r="D566" s="380" t="n"/>
      <c r="E566" s="380" t="n"/>
      <c r="F566" s="380" t="n"/>
      <c r="G566" s="380" t="n"/>
      <c r="H566" s="380" t="n"/>
      <c r="I566" s="381" t="n"/>
      <c r="J566" s="1258" t="n"/>
      <c r="K566" s="380" t="n"/>
      <c r="L566" s="380" t="n"/>
      <c r="M566" s="385" t="n"/>
      <c r="N566" s="380" t="n"/>
      <c r="O566" s="383" t="n"/>
      <c r="P566" s="380" t="n"/>
      <c r="Q566" s="383" t="n"/>
      <c r="R566" s="380" t="n"/>
      <c r="S566" s="380" t="n"/>
      <c r="T566" s="380" t="n"/>
      <c r="U566" s="384" t="n"/>
      <c r="V566" s="1259">
        <f>SUM(V567:V586)</f>
        <v/>
      </c>
      <c r="W566" s="1260" t="n"/>
    </row>
    <row r="567" ht="15" customHeight="1">
      <c r="A567" s="89" t="inlineStr">
        <is>
          <t>2.30.01</t>
        </is>
      </c>
      <c r="B567" s="90" t="inlineStr">
        <is>
          <t>SERVIÇO</t>
        </is>
      </c>
      <c r="C567" s="90" t="n"/>
      <c r="D567" s="90" t="n"/>
      <c r="E567" s="81" t="inlineStr">
        <is>
          <t>Engenharia e projeto executivo</t>
        </is>
      </c>
      <c r="F567" s="91" t="inlineStr">
        <is>
          <t>VB.</t>
        </is>
      </c>
      <c r="G567" s="91" t="n">
        <v>1</v>
      </c>
      <c r="H567" s="1274" t="n">
        <v>82920.67</v>
      </c>
      <c r="I567" s="367" t="n"/>
      <c r="J567" s="1275" t="n"/>
      <c r="K567" s="9" t="n"/>
      <c r="L567" s="10" t="n"/>
      <c r="M567" s="238" t="inlineStr">
        <is>
          <t>INSIGHT ENERGY</t>
        </is>
      </c>
      <c r="N567" s="237" t="n"/>
      <c r="O567" s="1276" t="n"/>
      <c r="P567" s="1277" t="n"/>
      <c r="Q567" s="1276" t="n"/>
      <c r="R567" s="1277" t="n"/>
      <c r="S567" s="1278" t="n"/>
      <c r="T567" s="1277" t="n"/>
      <c r="U567" s="1278" t="n"/>
      <c r="V567" s="1279">
        <f>G567*H567</f>
        <v/>
      </c>
      <c r="W567" s="1260" t="n"/>
    </row>
    <row r="568" ht="15" customFormat="1" customHeight="1" s="353">
      <c r="A568" s="341" t="n"/>
      <c r="B568" s="340" t="n"/>
      <c r="C568" s="340" t="inlineStr">
        <is>
          <t>.</t>
        </is>
      </c>
      <c r="D568" s="340" t="n"/>
      <c r="E568" s="342" t="n"/>
      <c r="F568" s="343" t="n"/>
      <c r="G568" s="344" t="n"/>
      <c r="H568" s="1267" t="n"/>
      <c r="I568" s="316" t="n"/>
      <c r="J568" s="1268" t="n"/>
      <c r="K568" s="345" t="n"/>
      <c r="L568" s="346" t="n"/>
      <c r="M568" s="347" t="n"/>
      <c r="N568" s="348" t="n"/>
      <c r="O568" s="1269" t="n"/>
      <c r="P568" s="1270" t="n"/>
      <c r="Q568" s="1269" t="n"/>
      <c r="R568" s="1270" t="n"/>
      <c r="S568" s="1271" t="n"/>
      <c r="T568" s="1270" t="n"/>
      <c r="U568" s="1271" t="n"/>
      <c r="V568" s="1272" t="n"/>
    </row>
    <row r="569" ht="15" customHeight="1">
      <c r="A569" s="89" t="inlineStr">
        <is>
          <t>2.30.02</t>
        </is>
      </c>
      <c r="B569" s="90" t="inlineStr">
        <is>
          <t>SERVIÇO</t>
        </is>
      </c>
      <c r="C569" s="90" t="n"/>
      <c r="D569" s="90" t="n"/>
      <c r="E569" s="81" t="inlineStr">
        <is>
          <t>Desmontagem, adequação e montagem eletromecânica completa</t>
        </is>
      </c>
      <c r="F569" s="91" t="inlineStr">
        <is>
          <t>VB.</t>
        </is>
      </c>
      <c r="G569" s="91" t="n">
        <v>1</v>
      </c>
      <c r="H569" s="1274" t="n">
        <v>145324.9</v>
      </c>
      <c r="I569" s="367" t="n"/>
      <c r="J569" s="1275" t="n"/>
      <c r="K569" s="9" t="n"/>
      <c r="L569" s="10" t="n"/>
      <c r="M569" s="238" t="inlineStr">
        <is>
          <t>INSIGHT ENERGY</t>
        </is>
      </c>
      <c r="N569" s="237" t="n"/>
      <c r="O569" s="1276" t="n"/>
      <c r="P569" s="1277" t="n"/>
      <c r="Q569" s="1276" t="n"/>
      <c r="R569" s="1277" t="n"/>
      <c r="S569" s="1278" t="n"/>
      <c r="T569" s="1277" t="n"/>
      <c r="U569" s="1278" t="n"/>
      <c r="V569" s="1279">
        <f>G569*H569</f>
        <v/>
      </c>
    </row>
    <row r="570" ht="15" customFormat="1" customHeight="1" s="353">
      <c r="A570" s="341" t="n"/>
      <c r="B570" s="340" t="n"/>
      <c r="C570" s="340" t="inlineStr">
        <is>
          <t>.</t>
        </is>
      </c>
      <c r="D570" s="340" t="n"/>
      <c r="E570" s="342" t="n"/>
      <c r="F570" s="343" t="n"/>
      <c r="G570" s="344" t="n"/>
      <c r="H570" s="1267" t="n"/>
      <c r="I570" s="316" t="n"/>
      <c r="J570" s="1268" t="n"/>
      <c r="K570" s="345" t="n"/>
      <c r="L570" s="346" t="n"/>
      <c r="M570" s="347" t="n"/>
      <c r="N570" s="348" t="n"/>
      <c r="O570" s="1269" t="n"/>
      <c r="P570" s="1270" t="n"/>
      <c r="Q570" s="1269" t="n"/>
      <c r="R570" s="1270" t="n"/>
      <c r="S570" s="1271" t="n"/>
      <c r="T570" s="1270" t="n"/>
      <c r="U570" s="1271" t="n"/>
      <c r="V570" s="1272" t="n"/>
    </row>
    <row r="571" ht="15" customHeight="1">
      <c r="A571" s="89" t="inlineStr">
        <is>
          <t>2.30.03</t>
        </is>
      </c>
      <c r="B571" s="90" t="inlineStr">
        <is>
          <t>SERVIÇO</t>
        </is>
      </c>
      <c r="C571" s="90" t="n"/>
      <c r="D571" s="90" t="n"/>
      <c r="E571" s="81" t="inlineStr">
        <is>
          <t>Supervisão, ensaios de campo e comissionamento</t>
        </is>
      </c>
      <c r="F571" s="91" t="inlineStr">
        <is>
          <t>VB.</t>
        </is>
      </c>
      <c r="G571" s="91" t="n">
        <v>1</v>
      </c>
      <c r="H571" s="1274" t="n">
        <v>49410.47</v>
      </c>
      <c r="I571" s="367" t="n"/>
      <c r="J571" s="1275" t="n"/>
      <c r="K571" s="9" t="n"/>
      <c r="L571" s="10" t="n"/>
      <c r="M571" s="238" t="inlineStr">
        <is>
          <t>INSIGHT ENERGY</t>
        </is>
      </c>
      <c r="N571" s="237" t="n"/>
      <c r="O571" s="1276" t="n"/>
      <c r="P571" s="1277" t="n"/>
      <c r="Q571" s="1276" t="n"/>
      <c r="R571" s="1277" t="n"/>
      <c r="S571" s="1278" t="n"/>
      <c r="T571" s="1277" t="n"/>
      <c r="U571" s="1278" t="n"/>
      <c r="V571" s="1279">
        <f>G571*H571</f>
        <v/>
      </c>
    </row>
    <row r="572" ht="15" customFormat="1" customHeight="1" s="353">
      <c r="A572" s="341" t="n"/>
      <c r="B572" s="340" t="n"/>
      <c r="C572" s="340" t="inlineStr">
        <is>
          <t>.</t>
        </is>
      </c>
      <c r="D572" s="340" t="n"/>
      <c r="E572" s="342" t="n"/>
      <c r="F572" s="343" t="n"/>
      <c r="G572" s="344" t="n"/>
      <c r="H572" s="1267" t="n"/>
      <c r="I572" s="316" t="n"/>
      <c r="J572" s="1268" t="n"/>
      <c r="K572" s="345" t="n"/>
      <c r="L572" s="346" t="n"/>
      <c r="M572" s="347" t="n"/>
      <c r="N572" s="348" t="n"/>
      <c r="O572" s="1269" t="n"/>
      <c r="P572" s="1270" t="n"/>
      <c r="Q572" s="1269" t="n"/>
      <c r="R572" s="1270" t="n"/>
      <c r="S572" s="1271" t="n"/>
      <c r="T572" s="1270" t="n"/>
      <c r="U572" s="1271" t="n"/>
      <c r="V572" s="1272" t="n"/>
    </row>
    <row r="573" ht="15" customHeight="1">
      <c r="A573" s="89" t="inlineStr">
        <is>
          <t>2.30.04</t>
        </is>
      </c>
      <c r="B573" s="80" t="inlineStr">
        <is>
          <t>MATERIAL</t>
        </is>
      </c>
      <c r="C573" s="80" t="n"/>
      <c r="D573" s="80" t="n"/>
      <c r="E573" s="81" t="inlineStr">
        <is>
          <t>Grupo Gerador Diesel de Emergência 100kVA</t>
        </is>
      </c>
      <c r="F573" s="91" t="inlineStr">
        <is>
          <t>CJ.</t>
        </is>
      </c>
      <c r="G573" s="91" t="n">
        <v>1</v>
      </c>
      <c r="H573" s="1274" t="n">
        <v>127000</v>
      </c>
      <c r="I573" s="367" t="n"/>
      <c r="J573" s="1275" t="n"/>
      <c r="K573" s="1278" t="n"/>
      <c r="L573" s="1277" t="n"/>
      <c r="M573" s="238" t="inlineStr">
        <is>
          <t>MS GERADORES</t>
        </is>
      </c>
      <c r="N573" s="237" t="n"/>
      <c r="O573" s="302" t="n"/>
      <c r="P573" s="309" t="n"/>
      <c r="Q573" s="310" t="n"/>
      <c r="R573" s="310" t="n"/>
      <c r="S573" s="311" t="n"/>
      <c r="T573" s="311" t="n"/>
      <c r="U573" s="309" t="n"/>
      <c r="V573" s="1279">
        <f>G573*H573</f>
        <v/>
      </c>
    </row>
    <row r="574" ht="15" customFormat="1" customHeight="1" s="353">
      <c r="A574" s="341" t="n"/>
      <c r="B574" s="340" t="n"/>
      <c r="C574" s="340" t="inlineStr">
        <is>
          <t>.</t>
        </is>
      </c>
      <c r="D574" s="340" t="n"/>
      <c r="E574" s="342" t="n"/>
      <c r="F574" s="343" t="n"/>
      <c r="G574" s="344" t="n"/>
      <c r="H574" s="1267" t="n"/>
      <c r="I574" s="316" t="n"/>
      <c r="J574" s="1268" t="n"/>
      <c r="K574" s="345" t="n"/>
      <c r="L574" s="346" t="n"/>
      <c r="M574" s="347" t="n"/>
      <c r="N574" s="348" t="n"/>
      <c r="O574" s="1269" t="n"/>
      <c r="P574" s="1270" t="n"/>
      <c r="Q574" s="1269" t="n"/>
      <c r="R574" s="1270" t="n"/>
      <c r="S574" s="1271" t="n"/>
      <c r="T574" s="1270" t="n"/>
      <c r="U574" s="1271" t="n"/>
      <c r="V574" s="1272" t="n"/>
    </row>
    <row r="575" ht="15" customHeight="1">
      <c r="A575" s="89" t="inlineStr">
        <is>
          <t>2.30.05</t>
        </is>
      </c>
      <c r="B575" s="80" t="inlineStr">
        <is>
          <t>MATERIAL</t>
        </is>
      </c>
      <c r="C575" s="80" t="n"/>
      <c r="D575" s="80" t="n"/>
      <c r="E575" s="81" t="inlineStr">
        <is>
          <t>Equipamentos e materiais da Subestação em Média Tensão</t>
        </is>
      </c>
      <c r="F575" s="91" t="inlineStr">
        <is>
          <t>CJ.</t>
        </is>
      </c>
      <c r="G575" s="91" t="n">
        <v>1</v>
      </c>
      <c r="H575" s="1274" t="n">
        <v>47016.88193686157</v>
      </c>
      <c r="I575" s="367" t="n"/>
      <c r="J575" s="1275" t="n"/>
      <c r="K575" s="1278" t="n"/>
      <c r="L575" s="1277" t="n"/>
      <c r="M575" s="238" t="inlineStr">
        <is>
          <t>INSIGHT ENERGY</t>
        </is>
      </c>
      <c r="N575" s="237" t="n"/>
      <c r="O575" s="302" t="n"/>
      <c r="P575" s="309" t="n"/>
      <c r="Q575" s="310" t="n"/>
      <c r="R575" s="310" t="n"/>
      <c r="S575" s="311" t="n"/>
      <c r="T575" s="311" t="n"/>
      <c r="U575" s="309" t="n"/>
      <c r="V575" s="1279">
        <f>G575*H575</f>
        <v/>
      </c>
    </row>
    <row r="576" ht="15" customFormat="1" customHeight="1" s="353">
      <c r="A576" s="341" t="n"/>
      <c r="B576" s="340" t="n"/>
      <c r="C576" s="340" t="inlineStr">
        <is>
          <t>.</t>
        </is>
      </c>
      <c r="D576" s="340" t="n"/>
      <c r="E576" s="342" t="n"/>
      <c r="F576" s="343" t="n"/>
      <c r="G576" s="344" t="n"/>
      <c r="H576" s="1267" t="n"/>
      <c r="I576" s="316" t="n"/>
      <c r="J576" s="1268" t="n"/>
      <c r="K576" s="345" t="n"/>
      <c r="L576" s="346" t="n"/>
      <c r="M576" s="347" t="n"/>
      <c r="N576" s="348" t="n"/>
      <c r="O576" s="1269" t="n"/>
      <c r="P576" s="1270" t="n"/>
      <c r="Q576" s="1269" t="n"/>
      <c r="R576" s="1270" t="n"/>
      <c r="S576" s="1271" t="n"/>
      <c r="T576" s="1270" t="n"/>
      <c r="U576" s="1271" t="n"/>
      <c r="V576" s="1272" t="n"/>
    </row>
    <row r="577" ht="15" customHeight="1">
      <c r="A577" s="89" t="inlineStr">
        <is>
          <t>2.30.06</t>
        </is>
      </c>
      <c r="B577" s="80" t="inlineStr">
        <is>
          <t>MATERIAL</t>
        </is>
      </c>
      <c r="C577" s="80" t="n"/>
      <c r="D577" s="80" t="n"/>
      <c r="E577" s="81" t="inlineStr">
        <is>
          <t>Equipamentos e materiais dos Serviços Auxiliares Elétricos em Baixa Tensão</t>
        </is>
      </c>
      <c r="F577" s="91" t="inlineStr">
        <is>
          <t>CJ.</t>
        </is>
      </c>
      <c r="G577" s="91" t="n">
        <v>1</v>
      </c>
      <c r="H577" s="1274" t="n">
        <v>47016.88193686157</v>
      </c>
      <c r="I577" s="367" t="n"/>
      <c r="J577" s="1275" t="n"/>
      <c r="K577" s="1278" t="n"/>
      <c r="L577" s="1277" t="n"/>
      <c r="M577" s="238" t="inlineStr">
        <is>
          <t>INSIGHT ENERGY</t>
        </is>
      </c>
      <c r="N577" s="237" t="n"/>
      <c r="O577" s="302" t="n"/>
      <c r="P577" s="309" t="n"/>
      <c r="Q577" s="310" t="n"/>
      <c r="R577" s="310" t="n"/>
      <c r="S577" s="311" t="n"/>
      <c r="T577" s="311" t="n"/>
      <c r="U577" s="309" t="n"/>
      <c r="V577" s="1279">
        <f>G577*H577</f>
        <v/>
      </c>
    </row>
    <row r="578" ht="15" customFormat="1" customHeight="1" s="353">
      <c r="A578" s="341" t="n"/>
      <c r="B578" s="340" t="n"/>
      <c r="C578" s="340" t="inlineStr">
        <is>
          <t>.</t>
        </is>
      </c>
      <c r="D578" s="340" t="n"/>
      <c r="E578" s="342" t="n"/>
      <c r="F578" s="343" t="n"/>
      <c r="G578" s="344" t="n"/>
      <c r="H578" s="1267" t="n"/>
      <c r="I578" s="316" t="n"/>
      <c r="J578" s="1268" t="n"/>
      <c r="K578" s="345" t="n"/>
      <c r="L578" s="346" t="n"/>
      <c r="M578" s="347" t="n"/>
      <c r="N578" s="348" t="n"/>
      <c r="O578" s="1269" t="n"/>
      <c r="P578" s="1270" t="n"/>
      <c r="Q578" s="1269" t="n"/>
      <c r="R578" s="1270" t="n"/>
      <c r="S578" s="1271" t="n"/>
      <c r="T578" s="1270" t="n"/>
      <c r="U578" s="1271" t="n"/>
      <c r="V578" s="1272" t="n"/>
    </row>
    <row r="579" ht="27.6" customHeight="1">
      <c r="A579" s="89" t="inlineStr">
        <is>
          <t>2.30.07</t>
        </is>
      </c>
      <c r="B579" s="80" t="inlineStr">
        <is>
          <t>MATERIAL</t>
        </is>
      </c>
      <c r="C579" s="80" t="n"/>
      <c r="D579" s="80" t="n"/>
      <c r="E579" s="81" t="inlineStr">
        <is>
          <t>Equipamentos e materiais do Sistema de Comando e Controle das Comportas e do Sistema de Medição de Nível do Reservatório</t>
        </is>
      </c>
      <c r="F579" s="91" t="inlineStr">
        <is>
          <t>CJ.</t>
        </is>
      </c>
      <c r="G579" s="91" t="n">
        <v>1</v>
      </c>
      <c r="H579" s="1274" t="n">
        <v>411044.095963744</v>
      </c>
      <c r="I579" s="367" t="n"/>
      <c r="J579" s="1275" t="n"/>
      <c r="K579" s="1278" t="n"/>
      <c r="L579" s="1277" t="n"/>
      <c r="M579" s="238" t="inlineStr">
        <is>
          <t>INSIGHT ENERGY</t>
        </is>
      </c>
      <c r="N579" s="237" t="n"/>
      <c r="O579" s="302" t="n"/>
      <c r="P579" s="309" t="n"/>
      <c r="Q579" s="310" t="n"/>
      <c r="R579" s="310" t="n"/>
      <c r="S579" s="311" t="n"/>
      <c r="T579" s="311" t="n"/>
      <c r="U579" s="309" t="n"/>
      <c r="V579" s="1279">
        <f>G579*H579</f>
        <v/>
      </c>
    </row>
    <row r="580" ht="15" customFormat="1" customHeight="1" s="353">
      <c r="A580" s="341" t="n"/>
      <c r="B580" s="340" t="n"/>
      <c r="C580" s="340" t="inlineStr">
        <is>
          <t>.</t>
        </is>
      </c>
      <c r="D580" s="340" t="n"/>
      <c r="E580" s="342" t="n"/>
      <c r="F580" s="343" t="n"/>
      <c r="G580" s="344" t="n"/>
      <c r="H580" s="1267" t="n"/>
      <c r="I580" s="316" t="n"/>
      <c r="J580" s="1268" t="n"/>
      <c r="K580" s="345" t="n"/>
      <c r="L580" s="346" t="n"/>
      <c r="M580" s="347" t="n"/>
      <c r="N580" s="348" t="n"/>
      <c r="O580" s="1269" t="n"/>
      <c r="P580" s="1270" t="n"/>
      <c r="Q580" s="1269" t="n"/>
      <c r="R580" s="1270" t="n"/>
      <c r="S580" s="1271" t="n"/>
      <c r="T580" s="1270" t="n"/>
      <c r="U580" s="1271" t="n"/>
      <c r="V580" s="1272" t="n"/>
    </row>
    <row r="581" ht="27.6" customHeight="1">
      <c r="A581" s="89" t="inlineStr">
        <is>
          <t>2.30.08</t>
        </is>
      </c>
      <c r="B581" s="80" t="inlineStr">
        <is>
          <t>MATERIAL</t>
        </is>
      </c>
      <c r="C581" s="80" t="n"/>
      <c r="D581" s="80" t="n"/>
      <c r="E581" s="81" t="inlineStr">
        <is>
          <t>Equipamentos e materiais do Sistema de Comando e Controle da Drenagem da Galeria da Barragem</t>
        </is>
      </c>
      <c r="F581" s="91" t="inlineStr">
        <is>
          <t>CJ.</t>
        </is>
      </c>
      <c r="G581" s="91" t="n">
        <v>1</v>
      </c>
      <c r="H581" s="1274" t="n">
        <v>444010.3359637436</v>
      </c>
      <c r="I581" s="367" t="n"/>
      <c r="J581" s="1275" t="n"/>
      <c r="K581" s="1278" t="n"/>
      <c r="L581" s="1277" t="n"/>
      <c r="M581" s="238" t="inlineStr">
        <is>
          <t>INSIGHT ENERGY</t>
        </is>
      </c>
      <c r="N581" s="237" t="n"/>
      <c r="O581" s="302" t="n"/>
      <c r="P581" s="309" t="n"/>
      <c r="Q581" s="310" t="n"/>
      <c r="R581" s="310" t="n"/>
      <c r="S581" s="311" t="n"/>
      <c r="T581" s="311" t="n"/>
      <c r="U581" s="309" t="n"/>
      <c r="V581" s="1279">
        <f>G581*H581</f>
        <v/>
      </c>
    </row>
    <row r="582" ht="15" customFormat="1" customHeight="1" s="353">
      <c r="A582" s="341" t="n"/>
      <c r="B582" s="340" t="n"/>
      <c r="C582" s="340" t="inlineStr">
        <is>
          <t>.</t>
        </is>
      </c>
      <c r="D582" s="340" t="n"/>
      <c r="E582" s="342" t="n"/>
      <c r="F582" s="343" t="n"/>
      <c r="G582" s="344" t="n"/>
      <c r="H582" s="1267" t="n"/>
      <c r="I582" s="316" t="n"/>
      <c r="J582" s="1268" t="n"/>
      <c r="K582" s="345" t="n"/>
      <c r="L582" s="346" t="n"/>
      <c r="M582" s="347" t="n"/>
      <c r="N582" s="348" t="n"/>
      <c r="O582" s="1269" t="n"/>
      <c r="P582" s="1270" t="n"/>
      <c r="Q582" s="1269" t="n"/>
      <c r="R582" s="1270" t="n"/>
      <c r="S582" s="1271" t="n"/>
      <c r="T582" s="1270" t="n"/>
      <c r="U582" s="1271" t="n"/>
      <c r="V582" s="1272" t="n"/>
    </row>
    <row r="583" ht="27.6" customHeight="1">
      <c r="A583" s="89" t="inlineStr">
        <is>
          <t>2.30.09</t>
        </is>
      </c>
      <c r="B583" s="80" t="inlineStr">
        <is>
          <t>MATERIAL</t>
        </is>
      </c>
      <c r="C583" s="80" t="n"/>
      <c r="D583" s="80" t="n"/>
      <c r="E583" s="81" t="inlineStr">
        <is>
          <t>Equipamentos e materiais do Sistema Iluminação e Tomadas, SPDA e Aterramento</t>
        </is>
      </c>
      <c r="F583" s="91" t="inlineStr">
        <is>
          <t>CJ.</t>
        </is>
      </c>
      <c r="G583" s="91" t="n">
        <v>1</v>
      </c>
      <c r="H583" s="1274" t="n">
        <v>62404.22511619807</v>
      </c>
      <c r="I583" s="367" t="n"/>
      <c r="J583" s="1275" t="n"/>
      <c r="K583" s="1278" t="n"/>
      <c r="L583" s="1277" t="n"/>
      <c r="M583" s="238" t="inlineStr">
        <is>
          <t>INSIGHT ENERGY</t>
        </is>
      </c>
      <c r="N583" s="237" t="n"/>
      <c r="O583" s="302" t="n"/>
      <c r="P583" s="309" t="n"/>
      <c r="Q583" s="310" t="n"/>
      <c r="R583" s="310" t="n"/>
      <c r="S583" s="311" t="n"/>
      <c r="T583" s="311" t="n"/>
      <c r="U583" s="309" t="n"/>
      <c r="V583" s="1279">
        <f>G583*H583</f>
        <v/>
      </c>
    </row>
    <row r="584" ht="15" customFormat="1" customHeight="1" s="353">
      <c r="A584" s="341" t="n"/>
      <c r="B584" s="340" t="n"/>
      <c r="C584" s="340" t="inlineStr">
        <is>
          <t>.</t>
        </is>
      </c>
      <c r="D584" s="340" t="n"/>
      <c r="E584" s="342" t="n"/>
      <c r="F584" s="343" t="n"/>
      <c r="G584" s="344" t="n"/>
      <c r="H584" s="1267" t="n"/>
      <c r="I584" s="316" t="n"/>
      <c r="J584" s="1268" t="n"/>
      <c r="K584" s="345" t="n"/>
      <c r="L584" s="346" t="n"/>
      <c r="M584" s="347" t="n"/>
      <c r="N584" s="348" t="n"/>
      <c r="O584" s="1269" t="n"/>
      <c r="P584" s="1270" t="n"/>
      <c r="Q584" s="1269" t="n"/>
      <c r="R584" s="1270" t="n"/>
      <c r="S584" s="1271" t="n"/>
      <c r="T584" s="1270" t="n"/>
      <c r="U584" s="1271" t="n"/>
      <c r="V584" s="1272" t="n"/>
    </row>
    <row r="585" ht="27.6" customHeight="1">
      <c r="A585" s="89" t="inlineStr">
        <is>
          <t>2.30.10</t>
        </is>
      </c>
      <c r="B585" s="80" t="inlineStr">
        <is>
          <t>MATERIAL</t>
        </is>
      </c>
      <c r="C585" s="80" t="n"/>
      <c r="D585" s="80" t="n"/>
      <c r="E585" s="81" t="inlineStr">
        <is>
          <t>Cabos de controle e de força para interligação entre os painéis dos diversos sistemas do Vertedouro</t>
        </is>
      </c>
      <c r="F585" s="91" t="inlineStr">
        <is>
          <t>CJ.</t>
        </is>
      </c>
      <c r="G585" s="91" t="n">
        <v>1</v>
      </c>
      <c r="H585" s="1274" t="n">
        <v>94033.7938737231</v>
      </c>
      <c r="I585" s="367" t="n"/>
      <c r="J585" s="1275" t="n"/>
      <c r="K585" s="1278" t="n"/>
      <c r="L585" s="1277" t="n"/>
      <c r="M585" s="238" t="inlineStr">
        <is>
          <t>INSIGHT ENERGY</t>
        </is>
      </c>
      <c r="N585" s="237" t="n"/>
      <c r="O585" s="302" t="n"/>
      <c r="P585" s="309" t="n"/>
      <c r="Q585" s="310" t="n"/>
      <c r="R585" s="310" t="n"/>
      <c r="S585" s="311" t="n"/>
      <c r="T585" s="311" t="n"/>
      <c r="U585" s="309" t="n"/>
      <c r="V585" s="1279">
        <f>G585*H585</f>
        <v/>
      </c>
    </row>
    <row r="586" ht="15.6" customFormat="1" customHeight="1" s="353" thickBot="1">
      <c r="A586" s="341" t="n"/>
      <c r="B586" s="340" t="n"/>
      <c r="C586" s="340" t="inlineStr">
        <is>
          <t>.</t>
        </is>
      </c>
      <c r="D586" s="340" t="n"/>
      <c r="E586" s="342" t="n"/>
      <c r="F586" s="343" t="n"/>
      <c r="G586" s="344" t="n"/>
      <c r="H586" s="1267" t="n"/>
      <c r="I586" s="316" t="n"/>
      <c r="J586" s="1268" t="n"/>
      <c r="K586" s="345" t="n"/>
      <c r="L586" s="346" t="n"/>
      <c r="M586" s="347" t="n"/>
      <c r="N586" s="348" t="n"/>
      <c r="O586" s="1269" t="n"/>
      <c r="P586" s="1270" t="n"/>
      <c r="Q586" s="1269" t="n"/>
      <c r="R586" s="1270" t="n"/>
      <c r="S586" s="1271" t="n"/>
      <c r="T586" s="1270" t="n"/>
      <c r="U586" s="1271" t="n"/>
      <c r="V586" s="1272" t="n"/>
    </row>
    <row r="587" ht="16.2" customHeight="1" thickBot="1">
      <c r="A587" s="379" t="inlineStr">
        <is>
          <t>2.31 - Vertedouro Guanhães - Adequações das Instalações Elétricas</t>
        </is>
      </c>
      <c r="B587" s="380" t="n"/>
      <c r="C587" s="380" t="n"/>
      <c r="D587" s="380" t="n"/>
      <c r="E587" s="380" t="n"/>
      <c r="F587" s="380" t="n"/>
      <c r="G587" s="380" t="n"/>
      <c r="H587" s="380" t="n"/>
      <c r="I587" s="381" t="n"/>
      <c r="J587" s="1258" t="n"/>
      <c r="K587" s="380" t="n"/>
      <c r="L587" s="380" t="n"/>
      <c r="M587" s="385" t="n"/>
      <c r="N587" s="380" t="n"/>
      <c r="O587" s="383" t="n"/>
      <c r="P587" s="380" t="n"/>
      <c r="Q587" s="383" t="n"/>
      <c r="R587" s="380" t="n"/>
      <c r="S587" s="380" t="n"/>
      <c r="T587" s="380" t="n"/>
      <c r="U587" s="384" t="n"/>
      <c r="V587" s="1259">
        <f>SUM(V588:V607)</f>
        <v/>
      </c>
      <c r="W587" s="1260" t="n"/>
    </row>
    <row r="588" ht="15" customHeight="1">
      <c r="A588" s="89" t="inlineStr">
        <is>
          <t>2.31.01</t>
        </is>
      </c>
      <c r="B588" s="90" t="inlineStr">
        <is>
          <t>SERVIÇO</t>
        </is>
      </c>
      <c r="C588" s="90" t="n"/>
      <c r="D588" s="90" t="n"/>
      <c r="E588" s="81" t="inlineStr">
        <is>
          <t>Engenharia e projeto executivo</t>
        </is>
      </c>
      <c r="F588" s="91" t="inlineStr">
        <is>
          <t>VB.</t>
        </is>
      </c>
      <c r="G588" s="91" t="n">
        <v>1</v>
      </c>
      <c r="H588" s="1274" t="n">
        <v>151024.19</v>
      </c>
      <c r="I588" s="367" t="n"/>
      <c r="J588" s="1275" t="n"/>
      <c r="K588" s="9" t="n"/>
      <c r="L588" s="10" t="n"/>
      <c r="M588" s="238" t="inlineStr">
        <is>
          <t>INSIGHT ENERGY</t>
        </is>
      </c>
      <c r="N588" s="237" t="n"/>
      <c r="O588" s="1276" t="n"/>
      <c r="P588" s="1277" t="n"/>
      <c r="Q588" s="1276" t="n"/>
      <c r="R588" s="1277" t="n"/>
      <c r="S588" s="1278" t="n"/>
      <c r="T588" s="1277" t="n"/>
      <c r="U588" s="1278" t="n"/>
      <c r="V588" s="1279">
        <f>G588*H588</f>
        <v/>
      </c>
      <c r="W588" s="1260" t="n"/>
    </row>
    <row r="589" ht="15" customFormat="1" customHeight="1" s="353">
      <c r="A589" s="341" t="n"/>
      <c r="B589" s="340" t="n"/>
      <c r="C589" s="340" t="inlineStr">
        <is>
          <t>.</t>
        </is>
      </c>
      <c r="D589" s="340" t="n"/>
      <c r="E589" s="342" t="n"/>
      <c r="F589" s="343" t="n"/>
      <c r="G589" s="344" t="n"/>
      <c r="H589" s="1267" t="n"/>
      <c r="I589" s="316" t="n"/>
      <c r="J589" s="1268" t="n"/>
      <c r="K589" s="345" t="n"/>
      <c r="L589" s="346" t="n"/>
      <c r="M589" s="347" t="n"/>
      <c r="N589" s="348" t="n"/>
      <c r="O589" s="1269" t="n"/>
      <c r="P589" s="1270" t="n"/>
      <c r="Q589" s="1269" t="n"/>
      <c r="R589" s="1270" t="n"/>
      <c r="S589" s="1271" t="n"/>
      <c r="T589" s="1270" t="n"/>
      <c r="U589" s="1271" t="n"/>
      <c r="V589" s="1272" t="n"/>
    </row>
    <row r="590" ht="15" customHeight="1">
      <c r="A590" s="89" t="inlineStr">
        <is>
          <t>2.31.02</t>
        </is>
      </c>
      <c r="B590" s="90" t="inlineStr">
        <is>
          <t>SERVIÇO</t>
        </is>
      </c>
      <c r="C590" s="90" t="n"/>
      <c r="D590" s="90" t="n"/>
      <c r="E590" s="81" t="inlineStr">
        <is>
          <t>Desmontagem, adequação e montagem eletromecânica completa</t>
        </is>
      </c>
      <c r="F590" s="91" t="inlineStr">
        <is>
          <t>VB.</t>
        </is>
      </c>
      <c r="G590" s="91" t="n">
        <v>1</v>
      </c>
      <c r="H590" s="1274" t="n">
        <v>350771.84</v>
      </c>
      <c r="I590" s="367" t="n"/>
      <c r="J590" s="1275" t="n"/>
      <c r="K590" s="9" t="n"/>
      <c r="L590" s="10" t="n"/>
      <c r="M590" s="238" t="inlineStr">
        <is>
          <t>INSIGHT ENERGY</t>
        </is>
      </c>
      <c r="N590" s="237" t="n"/>
      <c r="O590" s="1276" t="n"/>
      <c r="P590" s="1277" t="n"/>
      <c r="Q590" s="1276" t="n"/>
      <c r="R590" s="1277" t="n"/>
      <c r="S590" s="1278" t="n"/>
      <c r="T590" s="1277" t="n"/>
      <c r="U590" s="1278" t="n"/>
      <c r="V590" s="1279">
        <f>G590*H590</f>
        <v/>
      </c>
    </row>
    <row r="591" ht="15" customFormat="1" customHeight="1" s="353">
      <c r="A591" s="341" t="n"/>
      <c r="B591" s="340" t="n"/>
      <c r="C591" s="340" t="inlineStr">
        <is>
          <t>.</t>
        </is>
      </c>
      <c r="D591" s="340" t="n"/>
      <c r="E591" s="342" t="n"/>
      <c r="F591" s="343" t="n"/>
      <c r="G591" s="344" t="n"/>
      <c r="H591" s="1267" t="n"/>
      <c r="I591" s="316" t="n"/>
      <c r="J591" s="1268" t="n"/>
      <c r="K591" s="345" t="n"/>
      <c r="L591" s="346" t="n"/>
      <c r="M591" s="347" t="n"/>
      <c r="N591" s="348" t="n"/>
      <c r="O591" s="1269" t="n"/>
      <c r="P591" s="1270" t="n"/>
      <c r="Q591" s="1269" t="n"/>
      <c r="R591" s="1270" t="n"/>
      <c r="S591" s="1271" t="n"/>
      <c r="T591" s="1270" t="n"/>
      <c r="U591" s="1271" t="n"/>
      <c r="V591" s="1272" t="n"/>
    </row>
    <row r="592" ht="15" customHeight="1">
      <c r="A592" s="89" t="inlineStr">
        <is>
          <t>2.31.03</t>
        </is>
      </c>
      <c r="B592" s="90" t="inlineStr">
        <is>
          <t>SERVIÇO</t>
        </is>
      </c>
      <c r="C592" s="90" t="n"/>
      <c r="D592" s="90" t="n"/>
      <c r="E592" s="81" t="inlineStr">
        <is>
          <t>Supervisão, ensaios de campo e comissionamento</t>
        </is>
      </c>
      <c r="F592" s="91" t="inlineStr">
        <is>
          <t>VB.</t>
        </is>
      </c>
      <c r="G592" s="91" t="n">
        <v>1</v>
      </c>
      <c r="H592" s="1274" t="n">
        <v>19808.29</v>
      </c>
      <c r="I592" s="367" t="n"/>
      <c r="J592" s="1275" t="n"/>
      <c r="K592" s="9" t="n"/>
      <c r="L592" s="10" t="n"/>
      <c r="M592" s="238" t="inlineStr">
        <is>
          <t>INSIGHT ENERGY</t>
        </is>
      </c>
      <c r="N592" s="237" t="n"/>
      <c r="O592" s="1276" t="n"/>
      <c r="P592" s="1277" t="n"/>
      <c r="Q592" s="1276" t="n"/>
      <c r="R592" s="1277" t="n"/>
      <c r="S592" s="1278" t="n"/>
      <c r="T592" s="1277" t="n"/>
      <c r="U592" s="1278" t="n"/>
      <c r="V592" s="1279">
        <f>G592*H592</f>
        <v/>
      </c>
    </row>
    <row r="593" ht="15" customFormat="1" customHeight="1" s="353">
      <c r="A593" s="341" t="n"/>
      <c r="B593" s="340" t="n"/>
      <c r="C593" s="340" t="inlineStr">
        <is>
          <t>.</t>
        </is>
      </c>
      <c r="D593" s="340" t="n"/>
      <c r="E593" s="342" t="n"/>
      <c r="F593" s="343" t="n"/>
      <c r="G593" s="344" t="n"/>
      <c r="H593" s="1267" t="n"/>
      <c r="I593" s="316" t="n"/>
      <c r="J593" s="1268" t="n"/>
      <c r="K593" s="345" t="n"/>
      <c r="L593" s="346" t="n"/>
      <c r="M593" s="347" t="n"/>
      <c r="N593" s="348" t="n"/>
      <c r="O593" s="1269" t="n"/>
      <c r="P593" s="1270" t="n"/>
      <c r="Q593" s="1269" t="n"/>
      <c r="R593" s="1270" t="n"/>
      <c r="S593" s="1271" t="n"/>
      <c r="T593" s="1270" t="n"/>
      <c r="U593" s="1271" t="n"/>
      <c r="V593" s="1272" t="n"/>
    </row>
    <row r="594" ht="15" customHeight="1">
      <c r="A594" s="89" t="inlineStr">
        <is>
          <t>2.31.04</t>
        </is>
      </c>
      <c r="B594" s="80" t="inlineStr">
        <is>
          <t>MATERIAL</t>
        </is>
      </c>
      <c r="C594" s="80" t="n"/>
      <c r="D594" s="80" t="n"/>
      <c r="E594" s="81" t="inlineStr">
        <is>
          <t>Grupo Gerador Diesel de Emergência 100kVA</t>
        </is>
      </c>
      <c r="F594" s="91" t="inlineStr">
        <is>
          <t>CJ.</t>
        </is>
      </c>
      <c r="G594" s="91" t="n">
        <v>1</v>
      </c>
      <c r="H594" s="1274" t="n">
        <v>127000</v>
      </c>
      <c r="I594" s="367" t="n"/>
      <c r="J594" s="1275" t="n"/>
      <c r="K594" s="1278" t="n"/>
      <c r="L594" s="1277" t="n"/>
      <c r="M594" s="238" t="inlineStr">
        <is>
          <t>MS GERADORES</t>
        </is>
      </c>
      <c r="N594" s="237" t="n"/>
      <c r="O594" s="302" t="n"/>
      <c r="P594" s="309" t="n"/>
      <c r="Q594" s="310" t="n"/>
      <c r="R594" s="310" t="n"/>
      <c r="S594" s="311" t="n"/>
      <c r="T594" s="311" t="n"/>
      <c r="U594" s="309" t="n"/>
      <c r="V594" s="1279">
        <f>G594*H594</f>
        <v/>
      </c>
    </row>
    <row r="595" ht="15" customFormat="1" customHeight="1" s="353">
      <c r="A595" s="341" t="n"/>
      <c r="B595" s="340" t="n"/>
      <c r="C595" s="340" t="inlineStr">
        <is>
          <t>.</t>
        </is>
      </c>
      <c r="D595" s="340" t="n"/>
      <c r="E595" s="342" t="n"/>
      <c r="F595" s="343" t="n"/>
      <c r="G595" s="344" t="n"/>
      <c r="H595" s="1267" t="n"/>
      <c r="I595" s="316" t="n"/>
      <c r="J595" s="1268" t="n"/>
      <c r="K595" s="345" t="n"/>
      <c r="L595" s="346" t="n"/>
      <c r="M595" s="347" t="n"/>
      <c r="N595" s="348" t="n"/>
      <c r="O595" s="1269" t="n"/>
      <c r="P595" s="1270" t="n"/>
      <c r="Q595" s="1269" t="n"/>
      <c r="R595" s="1270" t="n"/>
      <c r="S595" s="1271" t="n"/>
      <c r="T595" s="1270" t="n"/>
      <c r="U595" s="1271" t="n"/>
      <c r="V595" s="1272" t="n"/>
    </row>
    <row r="596" ht="15" customHeight="1">
      <c r="A596" s="89" t="inlineStr">
        <is>
          <t>2.31.05</t>
        </is>
      </c>
      <c r="B596" s="80" t="inlineStr">
        <is>
          <t>MATERIAL</t>
        </is>
      </c>
      <c r="C596" s="80" t="n"/>
      <c r="D596" s="80" t="n"/>
      <c r="E596" s="81" t="inlineStr">
        <is>
          <t>Equipamentos e materiais da Subestação em Média Tensão</t>
        </is>
      </c>
      <c r="F596" s="91" t="inlineStr">
        <is>
          <t>CJ.</t>
        </is>
      </c>
      <c r="G596" s="91" t="n">
        <v>1</v>
      </c>
      <c r="H596" s="1274" t="n">
        <v>113485.01</v>
      </c>
      <c r="I596" s="367" t="n"/>
      <c r="J596" s="1275" t="n"/>
      <c r="K596" s="1278" t="n"/>
      <c r="L596" s="1277" t="n"/>
      <c r="M596" s="238" t="inlineStr">
        <is>
          <t>INSIGHT ENERGY</t>
        </is>
      </c>
      <c r="N596" s="237" t="n"/>
      <c r="O596" s="302" t="n"/>
      <c r="P596" s="309" t="n"/>
      <c r="Q596" s="310" t="n"/>
      <c r="R596" s="310" t="n"/>
      <c r="S596" s="311" t="n"/>
      <c r="T596" s="311" t="n"/>
      <c r="U596" s="309" t="n"/>
      <c r="V596" s="1279">
        <f>G596*H596</f>
        <v/>
      </c>
    </row>
    <row r="597" ht="15" customFormat="1" customHeight="1" s="353">
      <c r="A597" s="341" t="n"/>
      <c r="B597" s="340" t="n"/>
      <c r="C597" s="340" t="inlineStr">
        <is>
          <t>.</t>
        </is>
      </c>
      <c r="D597" s="340" t="n"/>
      <c r="E597" s="342" t="n"/>
      <c r="F597" s="343" t="n"/>
      <c r="G597" s="344" t="n"/>
      <c r="H597" s="1267" t="n"/>
      <c r="I597" s="316" t="n"/>
      <c r="J597" s="1268" t="n"/>
      <c r="K597" s="345" t="n"/>
      <c r="L597" s="346" t="n"/>
      <c r="M597" s="347" t="n"/>
      <c r="N597" s="348" t="n"/>
      <c r="O597" s="1269" t="n"/>
      <c r="P597" s="1270" t="n"/>
      <c r="Q597" s="1269" t="n"/>
      <c r="R597" s="1270" t="n"/>
      <c r="S597" s="1271" t="n"/>
      <c r="T597" s="1270" t="n"/>
      <c r="U597" s="1271" t="n"/>
      <c r="V597" s="1272" t="n"/>
    </row>
    <row r="598" ht="15" customHeight="1">
      <c r="A598" s="89" t="inlineStr">
        <is>
          <t>2.31.06</t>
        </is>
      </c>
      <c r="B598" s="80" t="inlineStr">
        <is>
          <t>MATERIAL</t>
        </is>
      </c>
      <c r="C598" s="80" t="n"/>
      <c r="D598" s="80" t="n"/>
      <c r="E598" s="81" t="inlineStr">
        <is>
          <t>Equipamentos e materiais dos Serviços Auxiliares Elétricos em Baixa Tensão</t>
        </is>
      </c>
      <c r="F598" s="91" t="inlineStr">
        <is>
          <t>CJ.</t>
        </is>
      </c>
      <c r="G598" s="91" t="n">
        <v>1</v>
      </c>
      <c r="H598" s="1274" t="n">
        <v>113485.01</v>
      </c>
      <c r="I598" s="367" t="n"/>
      <c r="J598" s="1275" t="n"/>
      <c r="K598" s="1278" t="n"/>
      <c r="L598" s="1277" t="n"/>
      <c r="M598" s="238" t="inlineStr">
        <is>
          <t>INSIGHT ENERGY</t>
        </is>
      </c>
      <c r="N598" s="237" t="n"/>
      <c r="O598" s="302" t="n"/>
      <c r="P598" s="309" t="n"/>
      <c r="Q598" s="310" t="n"/>
      <c r="R598" s="310" t="n"/>
      <c r="S598" s="311" t="n"/>
      <c r="T598" s="311" t="n"/>
      <c r="U598" s="309" t="n"/>
      <c r="V598" s="1279">
        <f>G598*H598</f>
        <v/>
      </c>
    </row>
    <row r="599" ht="15" customFormat="1" customHeight="1" s="353">
      <c r="A599" s="341" t="n"/>
      <c r="B599" s="340" t="n"/>
      <c r="C599" s="340" t="inlineStr">
        <is>
          <t>.</t>
        </is>
      </c>
      <c r="D599" s="340" t="n"/>
      <c r="E599" s="342" t="n"/>
      <c r="F599" s="343" t="n"/>
      <c r="G599" s="344" t="n"/>
      <c r="H599" s="1267" t="n"/>
      <c r="I599" s="316" t="n"/>
      <c r="J599" s="1268" t="n"/>
      <c r="K599" s="345" t="n"/>
      <c r="L599" s="346" t="n"/>
      <c r="M599" s="347" t="n"/>
      <c r="N599" s="348" t="n"/>
      <c r="O599" s="1269" t="n"/>
      <c r="P599" s="1270" t="n"/>
      <c r="Q599" s="1269" t="n"/>
      <c r="R599" s="1270" t="n"/>
      <c r="S599" s="1271" t="n"/>
      <c r="T599" s="1270" t="n"/>
      <c r="U599" s="1271" t="n"/>
      <c r="V599" s="1272" t="n"/>
    </row>
    <row r="600" ht="27.6" customHeight="1">
      <c r="A600" s="89" t="inlineStr">
        <is>
          <t>2.31.07</t>
        </is>
      </c>
      <c r="B600" s="80" t="inlineStr">
        <is>
          <t>MATERIAL</t>
        </is>
      </c>
      <c r="C600" s="80" t="n"/>
      <c r="D600" s="80" t="n"/>
      <c r="E600" s="81" t="inlineStr">
        <is>
          <t>Equipamentos e materiais do Sistema de Comando e Controle das Comportas e do Sistema de Medição de Nível do Reservatório</t>
        </is>
      </c>
      <c r="F600" s="91" t="inlineStr">
        <is>
          <t>CJ.</t>
        </is>
      </c>
      <c r="G600" s="91" t="n">
        <v>1</v>
      </c>
      <c r="H600" s="1274" t="n">
        <v>407111.31</v>
      </c>
      <c r="I600" s="367" t="n"/>
      <c r="J600" s="1275" t="n"/>
      <c r="K600" s="1278" t="n"/>
      <c r="L600" s="1277" t="n"/>
      <c r="M600" s="238" t="inlineStr">
        <is>
          <t>INSIGHT ENERGY</t>
        </is>
      </c>
      <c r="N600" s="237" t="n"/>
      <c r="O600" s="302" t="n"/>
      <c r="P600" s="309" t="n"/>
      <c r="Q600" s="310" t="n"/>
      <c r="R600" s="310" t="n"/>
      <c r="S600" s="311" t="n"/>
      <c r="T600" s="311" t="n"/>
      <c r="U600" s="309" t="n"/>
      <c r="V600" s="1279">
        <f>G600*H600</f>
        <v/>
      </c>
    </row>
    <row r="601" ht="15" customFormat="1" customHeight="1" s="353">
      <c r="A601" s="341" t="n"/>
      <c r="B601" s="340" t="n"/>
      <c r="C601" s="340" t="inlineStr">
        <is>
          <t>.</t>
        </is>
      </c>
      <c r="D601" s="340" t="n"/>
      <c r="E601" s="342" t="n"/>
      <c r="F601" s="343" t="n"/>
      <c r="G601" s="344" t="n"/>
      <c r="H601" s="1267" t="n"/>
      <c r="I601" s="316" t="n"/>
      <c r="J601" s="1268" t="n"/>
      <c r="K601" s="345" t="n"/>
      <c r="L601" s="346" t="n"/>
      <c r="M601" s="347" t="n"/>
      <c r="N601" s="348" t="n"/>
      <c r="O601" s="1269" t="n"/>
      <c r="P601" s="1270" t="n"/>
      <c r="Q601" s="1269" t="n"/>
      <c r="R601" s="1270" t="n"/>
      <c r="S601" s="1271" t="n"/>
      <c r="T601" s="1270" t="n"/>
      <c r="U601" s="1271" t="n"/>
      <c r="V601" s="1272" t="n"/>
    </row>
    <row r="602" ht="27.6" customHeight="1">
      <c r="A602" s="89" t="inlineStr">
        <is>
          <t>2.31.08</t>
        </is>
      </c>
      <c r="B602" s="80" t="inlineStr">
        <is>
          <t>MATERIAL</t>
        </is>
      </c>
      <c r="C602" s="80" t="n"/>
      <c r="D602" s="80" t="n"/>
      <c r="E602" s="81" t="inlineStr">
        <is>
          <t>Equipamentos e materiais do Sistema Iluminação e Tomadas, SPDA e Aterramento</t>
        </is>
      </c>
      <c r="F602" s="91" t="inlineStr">
        <is>
          <t>CJ.</t>
        </is>
      </c>
      <c r="G602" s="91" t="n">
        <v>1</v>
      </c>
      <c r="H602" s="1274" t="n">
        <v>113485.01</v>
      </c>
      <c r="I602" s="367" t="n"/>
      <c r="J602" s="1275" t="n"/>
      <c r="K602" s="1278" t="n"/>
      <c r="L602" s="1277" t="n"/>
      <c r="M602" s="238" t="inlineStr">
        <is>
          <t>INSIGHT ENERGY</t>
        </is>
      </c>
      <c r="N602" s="237" t="n"/>
      <c r="O602" s="302" t="n"/>
      <c r="P602" s="309" t="n"/>
      <c r="Q602" s="310" t="n"/>
      <c r="R602" s="310" t="n"/>
      <c r="S602" s="311" t="n"/>
      <c r="T602" s="311" t="n"/>
      <c r="U602" s="309" t="n"/>
      <c r="V602" s="1279">
        <f>G602*H602</f>
        <v/>
      </c>
    </row>
    <row r="603" ht="15" customFormat="1" customHeight="1" s="353">
      <c r="A603" s="341" t="n"/>
      <c r="B603" s="340" t="n"/>
      <c r="C603" s="340" t="inlineStr">
        <is>
          <t>.</t>
        </is>
      </c>
      <c r="D603" s="340" t="n"/>
      <c r="E603" s="342" t="n"/>
      <c r="F603" s="343" t="n"/>
      <c r="G603" s="344" t="n"/>
      <c r="H603" s="1267" t="n"/>
      <c r="I603" s="316" t="n"/>
      <c r="J603" s="1268" t="n"/>
      <c r="K603" s="345" t="n"/>
      <c r="L603" s="346" t="n"/>
      <c r="M603" s="347" t="n"/>
      <c r="N603" s="348" t="n"/>
      <c r="O603" s="1269" t="n"/>
      <c r="P603" s="1270" t="n"/>
      <c r="Q603" s="1269" t="n"/>
      <c r="R603" s="1270" t="n"/>
      <c r="S603" s="1271" t="n"/>
      <c r="T603" s="1270" t="n"/>
      <c r="U603" s="1271" t="n"/>
      <c r="V603" s="1272" t="n"/>
    </row>
    <row r="604" ht="27.6" customHeight="1">
      <c r="A604" s="89" t="inlineStr">
        <is>
          <t>2.31.09</t>
        </is>
      </c>
      <c r="B604" s="80" t="inlineStr">
        <is>
          <t>MATERIAL</t>
        </is>
      </c>
      <c r="C604" s="80" t="n"/>
      <c r="D604" s="80" t="n"/>
      <c r="E604" s="81" t="inlineStr">
        <is>
          <t>Cabos de controle e de força para interligação entre os painéis dos diversos sistemas do Vertedouro</t>
        </is>
      </c>
      <c r="F604" s="91" t="inlineStr">
        <is>
          <t>CJ.</t>
        </is>
      </c>
      <c r="G604" s="91" t="n">
        <v>1</v>
      </c>
      <c r="H604" s="1274" t="n">
        <v>144435.47</v>
      </c>
      <c r="I604" s="367" t="n"/>
      <c r="J604" s="1275" t="n"/>
      <c r="K604" s="1278" t="n"/>
      <c r="L604" s="1277" t="n"/>
      <c r="M604" s="238" t="inlineStr">
        <is>
          <t>INSIGHT ENERGY</t>
        </is>
      </c>
      <c r="N604" s="237" t="n"/>
      <c r="O604" s="302" t="n"/>
      <c r="P604" s="309" t="n"/>
      <c r="Q604" s="310" t="n"/>
      <c r="R604" s="310" t="n"/>
      <c r="S604" s="311" t="n"/>
      <c r="T604" s="311" t="n"/>
      <c r="U604" s="309" t="n"/>
      <c r="V604" s="1279">
        <f>G604*H604</f>
        <v/>
      </c>
    </row>
    <row r="605" ht="15" customFormat="1" customHeight="1" s="353">
      <c r="A605" s="341" t="n"/>
      <c r="B605" s="340" t="n"/>
      <c r="C605" s="340" t="inlineStr">
        <is>
          <t>.</t>
        </is>
      </c>
      <c r="D605" s="340" t="n"/>
      <c r="E605" s="342" t="n"/>
      <c r="F605" s="343" t="n"/>
      <c r="G605" s="344" t="n"/>
      <c r="H605" s="1267" t="n"/>
      <c r="I605" s="316" t="n"/>
      <c r="J605" s="1268" t="n"/>
      <c r="K605" s="345" t="n"/>
      <c r="L605" s="346" t="n"/>
      <c r="M605" s="347" t="n"/>
      <c r="N605" s="348" t="n"/>
      <c r="O605" s="1269" t="n"/>
      <c r="P605" s="1270" t="n"/>
      <c r="Q605" s="1269" t="n"/>
      <c r="R605" s="1270" t="n"/>
      <c r="S605" s="1271" t="n"/>
      <c r="T605" s="1270" t="n"/>
      <c r="U605" s="1271" t="n"/>
      <c r="V605" s="1272" t="n"/>
    </row>
    <row r="606" ht="15" customHeight="1">
      <c r="A606" s="89" t="inlineStr">
        <is>
          <t>2.31.10</t>
        </is>
      </c>
      <c r="B606" s="90" t="inlineStr">
        <is>
          <t>SERVIÇO</t>
        </is>
      </c>
      <c r="C606" s="80" t="n"/>
      <c r="D606" s="80" t="n"/>
      <c r="E606" s="81" t="inlineStr">
        <is>
          <t>Serviço de adequações elétricas na tomada d'agua de Ganhães</t>
        </is>
      </c>
      <c r="F606" s="91" t="inlineStr">
        <is>
          <t>CJ.</t>
        </is>
      </c>
      <c r="G606" s="91" t="n">
        <v>1</v>
      </c>
      <c r="H606" s="1274" t="n">
        <v>94033.76387372313</v>
      </c>
      <c r="I606" s="367" t="n"/>
      <c r="J606" s="1275" t="n"/>
      <c r="K606" s="1278" t="n"/>
      <c r="L606" s="1277" t="n"/>
      <c r="M606" s="238" t="inlineStr">
        <is>
          <t>INSIGHT ENERGY</t>
        </is>
      </c>
      <c r="N606" s="237" t="n"/>
      <c r="O606" s="302" t="n"/>
      <c r="P606" s="309" t="n"/>
      <c r="Q606" s="310" t="n"/>
      <c r="R606" s="310" t="n"/>
      <c r="S606" s="311" t="n"/>
      <c r="T606" s="311" t="n"/>
      <c r="U606" s="309" t="n"/>
      <c r="V606" s="1279" t="n">
        <v>425661.016521074</v>
      </c>
    </row>
    <row r="607" ht="15.6" customFormat="1" customHeight="1" s="353" thickBot="1">
      <c r="A607" s="341" t="n"/>
      <c r="B607" s="340" t="n"/>
      <c r="C607" s="340" t="inlineStr">
        <is>
          <t>.</t>
        </is>
      </c>
      <c r="D607" s="340" t="n"/>
      <c r="E607" s="342" t="n"/>
      <c r="F607" s="343" t="n"/>
      <c r="G607" s="344" t="n"/>
      <c r="H607" s="1267" t="n"/>
      <c r="I607" s="316" t="n"/>
      <c r="J607" s="1268" t="n"/>
      <c r="K607" s="345" t="n"/>
      <c r="L607" s="346" t="n"/>
      <c r="M607" s="347" t="n"/>
      <c r="N607" s="348" t="n"/>
      <c r="O607" s="1269" t="n"/>
      <c r="P607" s="1270" t="n"/>
      <c r="Q607" s="1269" t="n"/>
      <c r="R607" s="1270" t="n"/>
      <c r="S607" s="1271" t="n"/>
      <c r="T607" s="1270" t="n"/>
      <c r="U607" s="1271" t="n"/>
      <c r="V607" s="1272" t="n"/>
    </row>
    <row r="608" ht="16.2" customHeight="1" thickBot="1">
      <c r="A608" s="379" t="inlineStr">
        <is>
          <t>2.32 - Tomada d'água Santo Antônio - Automação das Comportas Vagão</t>
        </is>
      </c>
      <c r="B608" s="380" t="n"/>
      <c r="C608" s="380" t="n"/>
      <c r="D608" s="380" t="n"/>
      <c r="E608" s="380" t="n"/>
      <c r="F608" s="380" t="n"/>
      <c r="G608" s="380" t="n"/>
      <c r="H608" s="380" t="n"/>
      <c r="I608" s="381" t="n"/>
      <c r="J608" s="1258" t="n"/>
      <c r="K608" s="380" t="n"/>
      <c r="L608" s="380" t="n"/>
      <c r="M608" s="385" t="n"/>
      <c r="N608" s="380" t="n"/>
      <c r="O608" s="383" t="n"/>
      <c r="P608" s="380" t="n"/>
      <c r="Q608" s="383" t="n"/>
      <c r="R608" s="380" t="n"/>
      <c r="S608" s="380" t="n"/>
      <c r="T608" s="380" t="n"/>
      <c r="U608" s="384" t="n"/>
      <c r="V608" s="1259">
        <f>SUM(V609:V629)</f>
        <v/>
      </c>
      <c r="W608" s="1260" t="n"/>
    </row>
    <row r="609" ht="15" customHeight="1">
      <c r="A609" s="89" t="inlineStr">
        <is>
          <t>2.32.01</t>
        </is>
      </c>
      <c r="B609" s="90" t="inlineStr">
        <is>
          <t>SERVIÇO</t>
        </is>
      </c>
      <c r="C609" s="90" t="n"/>
      <c r="D609" s="90" t="n"/>
      <c r="E609" s="81" t="inlineStr">
        <is>
          <t>Engenharia e projeto executivo</t>
        </is>
      </c>
      <c r="F609" s="91" t="inlineStr">
        <is>
          <t>VB.</t>
        </is>
      </c>
      <c r="G609" s="91" t="n">
        <v>1</v>
      </c>
      <c r="H609" s="1289" t="n">
        <v>374001.7250821384</v>
      </c>
      <c r="I609" s="367" t="n"/>
      <c r="J609" s="9" t="n"/>
      <c r="K609" s="9" t="n"/>
      <c r="L609" s="10" t="n"/>
      <c r="M609" s="238" t="inlineStr">
        <is>
          <t>INSIGHT ENERGY</t>
        </is>
      </c>
      <c r="N609" s="237" t="n"/>
      <c r="O609" s="1276" t="n"/>
      <c r="P609" s="1277" t="n"/>
      <c r="Q609" s="1276" t="n"/>
      <c r="R609" s="1277" t="n"/>
      <c r="S609" s="1278" t="n"/>
      <c r="T609" s="1277" t="n"/>
      <c r="U609" s="1278" t="n"/>
      <c r="V609" s="1279">
        <f>G609*H609</f>
        <v/>
      </c>
      <c r="W609" s="1260" t="n"/>
    </row>
    <row r="610" ht="15" customFormat="1" customHeight="1" s="353">
      <c r="A610" s="341" t="n"/>
      <c r="B610" s="340" t="n"/>
      <c r="C610" s="340" t="inlineStr">
        <is>
          <t>.</t>
        </is>
      </c>
      <c r="D610" s="340" t="n"/>
      <c r="E610" s="342" t="n"/>
      <c r="F610" s="343" t="n"/>
      <c r="G610" s="344" t="n"/>
      <c r="H610" s="1267" t="n"/>
      <c r="I610" s="316" t="n"/>
      <c r="J610" s="345" t="n"/>
      <c r="K610" s="345" t="n"/>
      <c r="L610" s="346" t="n"/>
      <c r="M610" s="347" t="n"/>
      <c r="N610" s="348" t="n"/>
      <c r="O610" s="1269" t="n"/>
      <c r="P610" s="1270" t="n"/>
      <c r="Q610" s="1269" t="n"/>
      <c r="R610" s="1270" t="n"/>
      <c r="S610" s="1271" t="n"/>
      <c r="T610" s="1270" t="n"/>
      <c r="U610" s="1271" t="n"/>
      <c r="V610" s="1272" t="n"/>
    </row>
    <row r="611" ht="41.4" customHeight="1">
      <c r="A611" s="89" t="inlineStr">
        <is>
          <t>2.32.02</t>
        </is>
      </c>
      <c r="B611" s="90" t="inlineStr">
        <is>
          <t>SERVIÇO</t>
        </is>
      </c>
      <c r="C611" s="90" t="n"/>
      <c r="D611" s="90" t="n"/>
      <c r="E611" s="81" t="inlineStr">
        <is>
          <t>Desmontagem, adequação e montagem eletromecânica completa, incluindo o fornecimento de conjuntos de Stop-logs provisórios, para serem instalados nas ranhuras existentes</t>
        </is>
      </c>
      <c r="F611" s="91" t="inlineStr">
        <is>
          <t>VB.</t>
        </is>
      </c>
      <c r="G611" s="91" t="n">
        <v>1</v>
      </c>
      <c r="H611" s="1289" t="n">
        <v>1615454.03</v>
      </c>
      <c r="I611" s="367" t="n"/>
      <c r="J611" s="9" t="n"/>
      <c r="K611" s="9" t="n"/>
      <c r="L611" s="10" t="n"/>
      <c r="M611" s="238" t="inlineStr">
        <is>
          <t>INSIGHT ENERGY</t>
        </is>
      </c>
      <c r="N611" s="237" t="n"/>
      <c r="O611" s="1276" t="n"/>
      <c r="P611" s="1277" t="n"/>
      <c r="Q611" s="1276" t="n"/>
      <c r="R611" s="1277" t="n"/>
      <c r="S611" s="1278" t="n"/>
      <c r="T611" s="1277" t="n"/>
      <c r="U611" s="1278" t="n"/>
      <c r="V611" s="1279">
        <f>G611*H611</f>
        <v/>
      </c>
    </row>
    <row r="612" ht="15" customFormat="1" customHeight="1" s="353">
      <c r="A612" s="341" t="n"/>
      <c r="B612" s="340" t="n"/>
      <c r="C612" s="340" t="inlineStr">
        <is>
          <t>.</t>
        </is>
      </c>
      <c r="D612" s="340" t="n"/>
      <c r="E612" s="342" t="n"/>
      <c r="F612" s="343" t="n"/>
      <c r="G612" s="344" t="n"/>
      <c r="H612" s="1267" t="n"/>
      <c r="I612" s="316" t="n"/>
      <c r="J612" s="345" t="n"/>
      <c r="K612" s="345" t="n"/>
      <c r="L612" s="346" t="n"/>
      <c r="M612" s="347" t="n"/>
      <c r="N612" s="348" t="n"/>
      <c r="O612" s="1269" t="n"/>
      <c r="P612" s="1270" t="n"/>
      <c r="Q612" s="1269" t="n"/>
      <c r="R612" s="1270" t="n"/>
      <c r="S612" s="1271" t="n"/>
      <c r="T612" s="1270" t="n"/>
      <c r="U612" s="1271" t="n"/>
      <c r="V612" s="1272" t="n"/>
    </row>
    <row r="613" ht="15" customHeight="1">
      <c r="A613" s="89" t="inlineStr">
        <is>
          <t>2.32.03</t>
        </is>
      </c>
      <c r="B613" s="90" t="inlineStr">
        <is>
          <t>SERVIÇO</t>
        </is>
      </c>
      <c r="C613" s="90" t="n"/>
      <c r="D613" s="90" t="n"/>
      <c r="E613" s="81" t="inlineStr">
        <is>
          <t>Supervisão, ensaios de campo e comissionamento</t>
        </is>
      </c>
      <c r="F613" s="91" t="inlineStr">
        <is>
          <t>VB.</t>
        </is>
      </c>
      <c r="G613" s="91" t="n">
        <v>1</v>
      </c>
      <c r="H613" s="1289" t="n">
        <v>115771.52</v>
      </c>
      <c r="I613" s="367" t="n"/>
      <c r="J613" s="9" t="n"/>
      <c r="K613" s="9" t="n"/>
      <c r="L613" s="10" t="n"/>
      <c r="M613" s="238" t="inlineStr">
        <is>
          <t>INSIGHT ENERGY</t>
        </is>
      </c>
      <c r="N613" s="237" t="n"/>
      <c r="O613" s="1276" t="n"/>
      <c r="P613" s="1277" t="n"/>
      <c r="Q613" s="1276" t="n"/>
      <c r="R613" s="1277" t="n"/>
      <c r="S613" s="1278" t="n"/>
      <c r="T613" s="1277" t="n"/>
      <c r="U613" s="1278" t="n"/>
      <c r="V613" s="1279">
        <f>G613*H613</f>
        <v/>
      </c>
    </row>
    <row r="614" ht="15" customFormat="1" customHeight="1" s="353">
      <c r="A614" s="341" t="n"/>
      <c r="B614" s="340" t="n"/>
      <c r="C614" s="340" t="inlineStr">
        <is>
          <t>.</t>
        </is>
      </c>
      <c r="D614" s="340" t="n"/>
      <c r="E614" s="342" t="n"/>
      <c r="F614" s="343" t="n"/>
      <c r="G614" s="344" t="n"/>
      <c r="H614" s="1267" t="n"/>
      <c r="I614" s="316" t="n"/>
      <c r="J614" s="345" t="n"/>
      <c r="K614" s="345" t="n"/>
      <c r="L614" s="346" t="n"/>
      <c r="M614" s="347" t="n"/>
      <c r="N614" s="348" t="n"/>
      <c r="O614" s="1269" t="n"/>
      <c r="P614" s="1270" t="n"/>
      <c r="Q614" s="1269" t="n"/>
      <c r="R614" s="1270" t="n"/>
      <c r="S614" s="1271" t="n"/>
      <c r="T614" s="1270" t="n"/>
      <c r="U614" s="1271" t="n"/>
      <c r="V614" s="1272" t="n"/>
    </row>
    <row r="615" ht="41.4" customHeight="1">
      <c r="A615" s="89" t="inlineStr">
        <is>
          <t>2.32.04</t>
        </is>
      </c>
      <c r="B615" s="80" t="inlineStr">
        <is>
          <t>MATERIAL</t>
        </is>
      </c>
      <c r="C615" s="80" t="n"/>
      <c r="D615" s="80" t="n"/>
      <c r="E615" s="748" t="inlineStr">
        <is>
          <t>Comportas vagão completas, com paramento e vedação a jusante, acionadas por servomotores hidráulicos, Borrachas de vedação em SBR completas, fixadas por meio de talas de aço carbono, com parafusos e porcas de aço inoxidável</t>
        </is>
      </c>
      <c r="F615" s="91" t="inlineStr">
        <is>
          <t>CJ.</t>
        </is>
      </c>
      <c r="G615" s="91" t="n">
        <v>2</v>
      </c>
      <c r="H615" s="1289">
        <f>1177019.86+73560.81</f>
        <v/>
      </c>
      <c r="I615" s="367" t="n"/>
      <c r="J615" s="9" t="n"/>
      <c r="K615" s="9" t="n"/>
      <c r="L615" s="10" t="n"/>
      <c r="M615" s="238" t="inlineStr">
        <is>
          <t>INSIGHT ENERGY</t>
        </is>
      </c>
      <c r="N615" s="237" t="n"/>
      <c r="O615" s="302" t="n"/>
      <c r="P615" s="309" t="n"/>
      <c r="Q615" s="310" t="n"/>
      <c r="R615" s="310" t="n"/>
      <c r="S615" s="311" t="n"/>
      <c r="T615" s="311" t="n"/>
      <c r="U615" s="309" t="n"/>
      <c r="V615" s="1279">
        <f>G615*H615</f>
        <v/>
      </c>
    </row>
    <row r="616" ht="15" customFormat="1" customHeight="1" s="353">
      <c r="A616" s="341" t="n"/>
      <c r="B616" s="340" t="n"/>
      <c r="C616" s="340" t="inlineStr">
        <is>
          <t>.</t>
        </is>
      </c>
      <c r="D616" s="340" t="n"/>
      <c r="E616" s="342" t="n"/>
      <c r="F616" s="343" t="n"/>
      <c r="G616" s="344" t="n"/>
      <c r="H616" s="1267" t="n"/>
      <c r="I616" s="316" t="n"/>
      <c r="J616" s="345" t="n"/>
      <c r="K616" s="345" t="n"/>
      <c r="L616" s="346" t="n"/>
      <c r="M616" s="347" t="n"/>
      <c r="N616" s="348" t="n"/>
      <c r="O616" s="1269" t="n"/>
      <c r="P616" s="1270" t="n"/>
      <c r="Q616" s="1269" t="n"/>
      <c r="R616" s="1270" t="n"/>
      <c r="S616" s="1271" t="n"/>
      <c r="T616" s="1270" t="n"/>
      <c r="U616" s="1271" t="n"/>
      <c r="V616" s="1272" t="n"/>
    </row>
    <row r="617" ht="15" customHeight="1">
      <c r="A617" s="89" t="inlineStr">
        <is>
          <t>2.32.06</t>
        </is>
      </c>
      <c r="B617" s="80" t="inlineStr">
        <is>
          <t>MATERIAL</t>
        </is>
      </c>
      <c r="C617" s="80" t="n"/>
      <c r="D617" s="80" t="n"/>
      <c r="E617" s="748" t="inlineStr">
        <is>
          <t>Peças fixas completas para adequação das ranhuras das comportas vagão</t>
        </is>
      </c>
      <c r="F617" s="91" t="inlineStr">
        <is>
          <t>CJ.</t>
        </is>
      </c>
      <c r="G617" s="91" t="n">
        <v>2</v>
      </c>
      <c r="H617" s="1289" t="n">
        <v>256961.13</v>
      </c>
      <c r="I617" s="367" t="n"/>
      <c r="J617" s="9" t="n"/>
      <c r="K617" s="9" t="n"/>
      <c r="L617" s="10" t="n"/>
      <c r="M617" s="238" t="inlineStr">
        <is>
          <t>INSIGHT ENERGY</t>
        </is>
      </c>
      <c r="N617" s="237" t="n"/>
      <c r="O617" s="302" t="n"/>
      <c r="P617" s="309" t="n"/>
      <c r="Q617" s="310" t="n"/>
      <c r="R617" s="310" t="n"/>
      <c r="S617" s="311" t="n"/>
      <c r="T617" s="311" t="n"/>
      <c r="U617" s="309" t="n"/>
      <c r="V617" s="1279">
        <f>G617*H617</f>
        <v/>
      </c>
    </row>
    <row r="618" ht="15" customFormat="1" customHeight="1" s="353">
      <c r="A618" s="341" t="n"/>
      <c r="B618" s="340" t="n"/>
      <c r="C618" s="340" t="inlineStr">
        <is>
          <t>.</t>
        </is>
      </c>
      <c r="D618" s="340" t="n"/>
      <c r="E618" s="342" t="n"/>
      <c r="F618" s="343" t="n"/>
      <c r="G618" s="344" t="n"/>
      <c r="H618" s="1267" t="n"/>
      <c r="I618" s="316" t="n"/>
      <c r="J618" s="345" t="n"/>
      <c r="K618" s="345" t="n"/>
      <c r="L618" s="346" t="n"/>
      <c r="M618" s="347" t="n"/>
      <c r="N618" s="348" t="n"/>
      <c r="O618" s="1269" t="n"/>
      <c r="P618" s="1270" t="n"/>
      <c r="Q618" s="1269" t="n"/>
      <c r="R618" s="1270" t="n"/>
      <c r="S618" s="1271" t="n"/>
      <c r="T618" s="1270" t="n"/>
      <c r="U618" s="1271" t="n"/>
      <c r="V618" s="1272" t="n"/>
    </row>
    <row r="619" ht="15" customHeight="1">
      <c r="A619" s="89" t="inlineStr">
        <is>
          <t>2.32.07</t>
        </is>
      </c>
      <c r="B619" s="80" t="inlineStr">
        <is>
          <t>MATERIAL</t>
        </is>
      </c>
      <c r="C619" s="80" t="n"/>
      <c r="D619" s="80" t="n"/>
      <c r="E619" s="748" t="inlineStr">
        <is>
          <t>Equipamentos e materiais do Sistema de Acionamento das Comportas</t>
        </is>
      </c>
      <c r="F619" s="91" t="inlineStr">
        <is>
          <t>CJ.</t>
        </is>
      </c>
      <c r="G619" s="91" t="n">
        <v>1</v>
      </c>
      <c r="H619" s="1289" t="n">
        <v>331299.57</v>
      </c>
      <c r="I619" s="367" t="n"/>
      <c r="J619" s="9" t="n"/>
      <c r="K619" s="9" t="n"/>
      <c r="L619" s="10" t="n"/>
      <c r="M619" s="238" t="inlineStr">
        <is>
          <t>INSIGHT ENERGY</t>
        </is>
      </c>
      <c r="N619" s="237" t="n"/>
      <c r="O619" s="302" t="n"/>
      <c r="P619" s="309" t="n"/>
      <c r="Q619" s="310" t="n"/>
      <c r="R619" s="310" t="n"/>
      <c r="S619" s="311" t="n"/>
      <c r="T619" s="311" t="n"/>
      <c r="U619" s="309" t="n"/>
      <c r="V619" s="1279">
        <f>G619*H619</f>
        <v/>
      </c>
    </row>
    <row r="620" ht="15" customFormat="1" customHeight="1" s="353">
      <c r="A620" s="341" t="n"/>
      <c r="B620" s="340" t="n"/>
      <c r="C620" s="340" t="inlineStr">
        <is>
          <t>.</t>
        </is>
      </c>
      <c r="D620" s="340" t="n"/>
      <c r="E620" s="342" t="n"/>
      <c r="F620" s="343" t="n"/>
      <c r="G620" s="344" t="n"/>
      <c r="H620" s="1267" t="n"/>
      <c r="I620" s="316" t="n"/>
      <c r="J620" s="345" t="n"/>
      <c r="K620" s="345" t="n"/>
      <c r="L620" s="346" t="n"/>
      <c r="M620" s="347" t="n"/>
      <c r="N620" s="348" t="n"/>
      <c r="O620" s="1269" t="n"/>
      <c r="P620" s="1270" t="n"/>
      <c r="Q620" s="1269" t="n"/>
      <c r="R620" s="1270" t="n"/>
      <c r="S620" s="1271" t="n"/>
      <c r="T620" s="1270" t="n"/>
      <c r="U620" s="1271" t="n"/>
      <c r="V620" s="1272" t="n"/>
    </row>
    <row r="621" ht="27.6" customHeight="1">
      <c r="A621" s="89" t="inlineStr">
        <is>
          <t>2.32.08</t>
        </is>
      </c>
      <c r="B621" s="80" t="inlineStr">
        <is>
          <t>MATERIAL</t>
        </is>
      </c>
      <c r="C621" s="80" t="n"/>
      <c r="D621" s="80" t="n"/>
      <c r="E621" s="748" t="inlineStr">
        <is>
          <t>Unidade hidráulica completa, com todos os seus periféricos, para acionamento das duas comportas vagão</t>
        </is>
      </c>
      <c r="F621" s="91" t="inlineStr">
        <is>
          <t>CJ.</t>
        </is>
      </c>
      <c r="G621" s="91" t="n">
        <v>1</v>
      </c>
      <c r="H621" s="1289" t="n">
        <v>531906.42</v>
      </c>
      <c r="I621" s="367" t="n"/>
      <c r="J621" s="9" t="n"/>
      <c r="K621" s="9" t="n"/>
      <c r="L621" s="10" t="n"/>
      <c r="M621" s="238" t="inlineStr">
        <is>
          <t>INSIGHT ENERGY</t>
        </is>
      </c>
      <c r="N621" s="237" t="n"/>
      <c r="O621" s="302" t="n"/>
      <c r="P621" s="309" t="n"/>
      <c r="Q621" s="310" t="n"/>
      <c r="R621" s="310" t="n"/>
      <c r="S621" s="311" t="n"/>
      <c r="T621" s="311" t="n"/>
      <c r="U621" s="309" t="n"/>
      <c r="V621" s="1279">
        <f>G621*H621</f>
        <v/>
      </c>
    </row>
    <row r="622" ht="15" customFormat="1" customHeight="1" s="353">
      <c r="A622" s="341" t="n"/>
      <c r="B622" s="340" t="n"/>
      <c r="C622" s="340" t="inlineStr">
        <is>
          <t>.</t>
        </is>
      </c>
      <c r="D622" s="340" t="n"/>
      <c r="E622" s="342" t="n"/>
      <c r="F622" s="343" t="n"/>
      <c r="G622" s="344" t="n"/>
      <c r="H622" s="1267" t="n"/>
      <c r="I622" s="316" t="n"/>
      <c r="J622" s="345" t="n"/>
      <c r="K622" s="345" t="n"/>
      <c r="L622" s="346" t="n"/>
      <c r="M622" s="347" t="n"/>
      <c r="N622" s="348" t="n"/>
      <c r="O622" s="1269" t="n"/>
      <c r="P622" s="1270" t="n"/>
      <c r="Q622" s="1269" t="n"/>
      <c r="R622" s="1270" t="n"/>
      <c r="S622" s="1271" t="n"/>
      <c r="T622" s="1270" t="n"/>
      <c r="U622" s="1271" t="n"/>
      <c r="V622" s="1272" t="n"/>
    </row>
    <row r="623" ht="15" customHeight="1">
      <c r="A623" s="89" t="inlineStr">
        <is>
          <t>2.32.09</t>
        </is>
      </c>
      <c r="B623" s="80" t="inlineStr">
        <is>
          <t>MATERIAL</t>
        </is>
      </c>
      <c r="C623" s="80" t="n"/>
      <c r="D623" s="80" t="n"/>
      <c r="E623" s="81" t="inlineStr">
        <is>
          <t>Equipamentos e materiais dos Serviços Auxiliares Elétricos em Baixa Tensão</t>
        </is>
      </c>
      <c r="F623" s="91" t="inlineStr">
        <is>
          <t>CJ.</t>
        </is>
      </c>
      <c r="G623" s="91" t="n">
        <v>1</v>
      </c>
      <c r="H623" s="1289" t="n">
        <v>277679.51</v>
      </c>
      <c r="I623" s="367" t="n"/>
      <c r="J623" s="9" t="n"/>
      <c r="K623" s="9" t="n"/>
      <c r="L623" s="10" t="n"/>
      <c r="M623" s="238" t="inlineStr">
        <is>
          <t>INSIGHT ENERGY</t>
        </is>
      </c>
      <c r="N623" s="237" t="n"/>
      <c r="O623" s="302" t="n"/>
      <c r="P623" s="309" t="n"/>
      <c r="Q623" s="310" t="n"/>
      <c r="R623" s="310" t="n"/>
      <c r="S623" s="311" t="n"/>
      <c r="T623" s="311" t="n"/>
      <c r="U623" s="309" t="n"/>
      <c r="V623" s="1279">
        <f>G623*H623</f>
        <v/>
      </c>
    </row>
    <row r="624" ht="15" customFormat="1" customHeight="1" s="353">
      <c r="A624" s="341" t="n"/>
      <c r="B624" s="340" t="n"/>
      <c r="C624" s="340" t="inlineStr">
        <is>
          <t>.</t>
        </is>
      </c>
      <c r="D624" s="340" t="n"/>
      <c r="E624" s="342" t="n"/>
      <c r="F624" s="343" t="n"/>
      <c r="G624" s="344" t="n"/>
      <c r="H624" s="1267" t="n"/>
      <c r="I624" s="316" t="n"/>
      <c r="J624" s="345" t="n"/>
      <c r="K624" s="345" t="n"/>
      <c r="L624" s="346" t="n"/>
      <c r="M624" s="347" t="n"/>
      <c r="N624" s="348" t="n"/>
      <c r="O624" s="1269" t="n"/>
      <c r="P624" s="1270" t="n"/>
      <c r="Q624" s="1269" t="n"/>
      <c r="R624" s="1270" t="n"/>
      <c r="S624" s="1271" t="n"/>
      <c r="T624" s="1270" t="n"/>
      <c r="U624" s="1271" t="n"/>
      <c r="V624" s="1272" t="n"/>
    </row>
    <row r="625" ht="27.6" customHeight="1">
      <c r="A625" s="89" t="inlineStr">
        <is>
          <t>2.32.10</t>
        </is>
      </c>
      <c r="B625" s="80" t="inlineStr">
        <is>
          <t>MATERIAL</t>
        </is>
      </c>
      <c r="C625" s="80" t="n"/>
      <c r="D625" s="80" t="n"/>
      <c r="E625" s="748" t="inlineStr">
        <is>
          <t>Equipamentos e materiais do Sistema de Comando e Controle das Comportas Vagão</t>
        </is>
      </c>
      <c r="F625" s="91" t="inlineStr">
        <is>
          <t>CJ.</t>
        </is>
      </c>
      <c r="G625" s="91" t="n">
        <v>1</v>
      </c>
      <c r="H625" s="1289" t="n">
        <v>409453.22</v>
      </c>
      <c r="I625" s="367" t="n"/>
      <c r="J625" s="9" t="n"/>
      <c r="K625" s="9" t="n"/>
      <c r="L625" s="10" t="n"/>
      <c r="M625" s="238" t="inlineStr">
        <is>
          <t>INSIGHT ENERGY</t>
        </is>
      </c>
      <c r="N625" s="237" t="n"/>
      <c r="O625" s="302" t="n"/>
      <c r="P625" s="309" t="n"/>
      <c r="Q625" s="310" t="n"/>
      <c r="R625" s="310" t="n"/>
      <c r="S625" s="311" t="n"/>
      <c r="T625" s="311" t="n"/>
      <c r="U625" s="309" t="n"/>
      <c r="V625" s="1279">
        <f>G625*H625</f>
        <v/>
      </c>
    </row>
    <row r="626" ht="15" customFormat="1" customHeight="1" s="353">
      <c r="A626" s="341" t="n"/>
      <c r="B626" s="340" t="n"/>
      <c r="C626" s="340" t="inlineStr">
        <is>
          <t>.</t>
        </is>
      </c>
      <c r="D626" s="340" t="n"/>
      <c r="E626" s="342" t="n"/>
      <c r="F626" s="343" t="n"/>
      <c r="G626" s="344" t="n"/>
      <c r="H626" s="1267" t="n"/>
      <c r="I626" s="316" t="n"/>
      <c r="J626" s="345" t="n"/>
      <c r="K626" s="345" t="n"/>
      <c r="L626" s="346" t="n"/>
      <c r="M626" s="347" t="n"/>
      <c r="N626" s="348" t="n"/>
      <c r="O626" s="1269" t="n"/>
      <c r="P626" s="1270" t="n"/>
      <c r="Q626" s="1269" t="n"/>
      <c r="R626" s="1270" t="n"/>
      <c r="S626" s="1271" t="n"/>
      <c r="T626" s="1270" t="n"/>
      <c r="U626" s="1271" t="n"/>
      <c r="V626" s="1272" t="n"/>
    </row>
    <row r="627" ht="27.6" customHeight="1">
      <c r="A627" s="89" t="inlineStr">
        <is>
          <t>2.32.11</t>
        </is>
      </c>
      <c r="B627" s="80" t="inlineStr">
        <is>
          <t>MATERIAL</t>
        </is>
      </c>
      <c r="C627" s="80" t="n"/>
      <c r="D627" s="80" t="n"/>
      <c r="E627" s="81" t="inlineStr">
        <is>
          <t>Equipamentos e materiais do Sistema Iluminação e Tomadas, SPDA e Aterramento</t>
        </is>
      </c>
      <c r="F627" s="91" t="inlineStr">
        <is>
          <t>CJ.</t>
        </is>
      </c>
      <c r="G627" s="91" t="n">
        <v>1</v>
      </c>
      <c r="H627" s="1289" t="n">
        <v>240074.44</v>
      </c>
      <c r="I627" s="367" t="n"/>
      <c r="J627" s="9" t="n"/>
      <c r="K627" s="9" t="n"/>
      <c r="L627" s="10" t="n"/>
      <c r="M627" s="238" t="inlineStr">
        <is>
          <t>INSIGHT ENERGY</t>
        </is>
      </c>
      <c r="N627" s="237" t="n"/>
      <c r="O627" s="302" t="n"/>
      <c r="P627" s="309" t="n"/>
      <c r="Q627" s="310" t="n"/>
      <c r="R627" s="310" t="n"/>
      <c r="S627" s="311" t="n"/>
      <c r="T627" s="311" t="n"/>
      <c r="U627" s="309" t="n"/>
      <c r="V627" s="1279">
        <f>G627*H627</f>
        <v/>
      </c>
    </row>
    <row r="628" ht="15" customFormat="1" customHeight="1" s="353">
      <c r="A628" s="341" t="n"/>
      <c r="B628" s="340" t="n"/>
      <c r="C628" s="340" t="inlineStr">
        <is>
          <t>.</t>
        </is>
      </c>
      <c r="D628" s="340" t="n"/>
      <c r="E628" s="342" t="n"/>
      <c r="F628" s="343" t="n"/>
      <c r="G628" s="344" t="n"/>
      <c r="H628" s="1267" t="n"/>
      <c r="I628" s="316" t="n"/>
      <c r="J628" s="345" t="n"/>
      <c r="K628" s="345" t="n"/>
      <c r="L628" s="346" t="n"/>
      <c r="M628" s="347" t="n"/>
      <c r="N628" s="348" t="n"/>
      <c r="O628" s="1269" t="n"/>
      <c r="P628" s="1270" t="n"/>
      <c r="Q628" s="1269" t="n"/>
      <c r="R628" s="1270" t="n"/>
      <c r="S628" s="1271" t="n"/>
      <c r="T628" s="1270" t="n"/>
      <c r="U628" s="1271" t="n"/>
      <c r="V628" s="1272" t="n"/>
    </row>
    <row r="629" ht="27.6" customHeight="1">
      <c r="A629" s="89" t="inlineStr">
        <is>
          <t>2.32.12</t>
        </is>
      </c>
      <c r="B629" s="80" t="inlineStr">
        <is>
          <t>MATERIAL</t>
        </is>
      </c>
      <c r="C629" s="80" t="n"/>
      <c r="D629" s="80" t="n"/>
      <c r="E629" s="81" t="inlineStr">
        <is>
          <t>Cabos de controle e de força para interligação entre os painéis dos diversos sistemas da Tomada d'Água</t>
        </is>
      </c>
      <c r="F629" s="91" t="inlineStr">
        <is>
          <t>CJ.</t>
        </is>
      </c>
      <c r="G629" s="91" t="n">
        <v>1</v>
      </c>
      <c r="H629" s="1289" t="n">
        <v>315406.86</v>
      </c>
      <c r="I629" s="367" t="n"/>
      <c r="J629" s="9" t="n"/>
      <c r="K629" s="9" t="n"/>
      <c r="L629" s="10" t="n"/>
      <c r="M629" s="238" t="inlineStr">
        <is>
          <t>INSIGHT ENERGY</t>
        </is>
      </c>
      <c r="N629" s="237" t="n"/>
      <c r="O629" s="302" t="n"/>
      <c r="P629" s="309" t="n"/>
      <c r="Q629" s="310" t="n"/>
      <c r="R629" s="310" t="n"/>
      <c r="S629" s="311" t="n"/>
      <c r="T629" s="311" t="n"/>
      <c r="U629" s="309" t="n"/>
      <c r="V629" s="1279">
        <f>G629*H629</f>
        <v/>
      </c>
    </row>
    <row r="630" ht="15.6" customFormat="1" customHeight="1" s="353" thickBot="1">
      <c r="A630" s="341" t="n"/>
      <c r="B630" s="340" t="n"/>
      <c r="C630" s="340" t="inlineStr">
        <is>
          <t>.</t>
        </is>
      </c>
      <c r="D630" s="340" t="n"/>
      <c r="E630" s="342" t="n"/>
      <c r="F630" s="343" t="n"/>
      <c r="G630" s="344" t="n"/>
      <c r="H630" s="1267" t="n"/>
      <c r="I630" s="316" t="n"/>
      <c r="J630" s="1268" t="n"/>
      <c r="K630" s="345" t="n"/>
      <c r="L630" s="346" t="n"/>
      <c r="M630" s="347" t="n"/>
      <c r="N630" s="348" t="n"/>
      <c r="O630" s="1269" t="n"/>
      <c r="P630" s="1270" t="n"/>
      <c r="Q630" s="1269" t="n"/>
      <c r="R630" s="1270" t="n"/>
      <c r="S630" s="1271" t="n"/>
      <c r="T630" s="1270" t="n"/>
      <c r="U630" s="1271" t="n"/>
      <c r="V630" s="1272" t="n"/>
    </row>
    <row r="631" ht="16.2" customHeight="1" thickBot="1">
      <c r="A631" s="379" t="inlineStr">
        <is>
          <t>2.33 - Telecomunicações</t>
        </is>
      </c>
      <c r="B631" s="380" t="n"/>
      <c r="C631" s="380" t="n"/>
      <c r="D631" s="380" t="n"/>
      <c r="E631" s="380" t="n"/>
      <c r="F631" s="380" t="n"/>
      <c r="G631" s="380" t="n"/>
      <c r="H631" s="380" t="n"/>
      <c r="I631" s="381" t="n"/>
      <c r="J631" s="1258" t="n"/>
      <c r="K631" s="380" t="n"/>
      <c r="L631" s="380" t="n"/>
      <c r="M631" s="385" t="n"/>
      <c r="N631" s="380" t="n"/>
      <c r="O631" s="383" t="n"/>
      <c r="P631" s="380" t="n"/>
      <c r="Q631" s="383" t="n"/>
      <c r="R631" s="380" t="n"/>
      <c r="S631" s="380" t="n"/>
      <c r="T631" s="380" t="n"/>
      <c r="U631" s="384" t="n"/>
      <c r="V631" s="1259">
        <f>SUM(V632:V644)</f>
        <v/>
      </c>
    </row>
    <row r="632" ht="15" customHeight="1">
      <c r="A632" s="95" t="inlineStr">
        <is>
          <t>2.33.01</t>
        </is>
      </c>
      <c r="B632" s="80" t="inlineStr">
        <is>
          <t>SERVIÇO</t>
        </is>
      </c>
      <c r="C632" s="80" t="n"/>
      <c r="D632" s="80" t="n"/>
      <c r="E632" s="81" t="inlineStr">
        <is>
          <t>Engenharia e projeto executivo</t>
        </is>
      </c>
      <c r="F632" s="83" t="inlineStr">
        <is>
          <t>VB.</t>
        </is>
      </c>
      <c r="G632" s="91" t="n">
        <v>1</v>
      </c>
      <c r="H632" s="1274" t="n">
        <v>130215.26</v>
      </c>
      <c r="I632" s="367" t="n"/>
      <c r="J632" s="1275" t="n"/>
      <c r="K632" s="9" t="n"/>
      <c r="L632" s="10" t="n"/>
      <c r="M632" s="236" t="inlineStr">
        <is>
          <t>INSIGHT ENERGY</t>
        </is>
      </c>
      <c r="N632" s="237" t="n"/>
      <c r="O632" s="1276" t="n"/>
      <c r="P632" s="1277" t="n"/>
      <c r="Q632" s="1276" t="n"/>
      <c r="R632" s="1277" t="n"/>
      <c r="S632" s="1278" t="n"/>
      <c r="T632" s="1277" t="n"/>
      <c r="U632" s="1278" t="n"/>
      <c r="V632" s="1279">
        <f>G632*H632</f>
        <v/>
      </c>
    </row>
    <row r="633" ht="15" customFormat="1" customHeight="1" s="353">
      <c r="A633" s="341" t="n"/>
      <c r="B633" s="340" t="n"/>
      <c r="C633" s="340" t="inlineStr">
        <is>
          <t>.</t>
        </is>
      </c>
      <c r="D633" s="340" t="n"/>
      <c r="E633" s="342" t="n"/>
      <c r="F633" s="343" t="n"/>
      <c r="G633" s="344" t="n"/>
      <c r="H633" s="1267" t="n"/>
      <c r="I633" s="316" t="n"/>
      <c r="J633" s="1268" t="n"/>
      <c r="K633" s="345" t="n"/>
      <c r="L633" s="346" t="n"/>
      <c r="M633" s="347" t="n"/>
      <c r="N633" s="348" t="n"/>
      <c r="O633" s="1269" t="n"/>
      <c r="P633" s="1270" t="n"/>
      <c r="Q633" s="1269" t="n"/>
      <c r="R633" s="1270" t="n"/>
      <c r="S633" s="1271" t="n"/>
      <c r="T633" s="1270" t="n"/>
      <c r="U633" s="1271" t="n"/>
      <c r="V633" s="1272" t="n"/>
      <c r="W633" s="1260" t="n"/>
    </row>
    <row r="634" ht="15" customHeight="1">
      <c r="A634" s="95" t="inlineStr">
        <is>
          <t>2.33.02</t>
        </is>
      </c>
      <c r="B634" s="80" t="inlineStr">
        <is>
          <t>SERVIÇO</t>
        </is>
      </c>
      <c r="C634" s="80" t="n"/>
      <c r="D634" s="80" t="n"/>
      <c r="E634" s="81" t="inlineStr">
        <is>
          <t>Desmontagem e montagem eletromecânica completa</t>
        </is>
      </c>
      <c r="F634" s="83" t="inlineStr">
        <is>
          <t>VB.</t>
        </is>
      </c>
      <c r="G634" s="91" t="n">
        <v>1</v>
      </c>
      <c r="H634" s="1274" t="n">
        <v>165979.5</v>
      </c>
      <c r="I634" s="367" t="n"/>
      <c r="J634" s="1275" t="n"/>
      <c r="K634" s="9" t="n"/>
      <c r="L634" s="10" t="n"/>
      <c r="M634" s="236" t="inlineStr">
        <is>
          <t>INSIGHT ENERGY</t>
        </is>
      </c>
      <c r="N634" s="237" t="n"/>
      <c r="O634" s="1276" t="n"/>
      <c r="P634" s="1277" t="n"/>
      <c r="Q634" s="1276" t="n"/>
      <c r="R634" s="1277" t="n"/>
      <c r="S634" s="1278" t="n"/>
      <c r="T634" s="1277" t="n"/>
      <c r="U634" s="1278" t="n"/>
      <c r="V634" s="1279">
        <f>G634*H634</f>
        <v/>
      </c>
      <c r="W634" s="1260" t="n"/>
    </row>
    <row r="635" ht="15" customFormat="1" customHeight="1" s="353">
      <c r="A635" s="341" t="n"/>
      <c r="B635" s="340" t="n"/>
      <c r="C635" s="340" t="inlineStr">
        <is>
          <t>.</t>
        </is>
      </c>
      <c r="D635" s="340" t="n"/>
      <c r="E635" s="342" t="n"/>
      <c r="F635" s="343" t="n"/>
      <c r="G635" s="344" t="n"/>
      <c r="H635" s="1267" t="n"/>
      <c r="I635" s="316" t="n"/>
      <c r="J635" s="1268" t="n"/>
      <c r="K635" s="345" t="n"/>
      <c r="L635" s="346" t="n"/>
      <c r="M635" s="347" t="n"/>
      <c r="N635" s="348" t="n"/>
      <c r="O635" s="1269" t="n"/>
      <c r="P635" s="1270" t="n"/>
      <c r="Q635" s="1269" t="n"/>
      <c r="R635" s="1270" t="n"/>
      <c r="S635" s="1271" t="n"/>
      <c r="T635" s="1270" t="n"/>
      <c r="U635" s="1271" t="n"/>
      <c r="V635" s="1272" t="n"/>
    </row>
    <row r="636" ht="15" customHeight="1">
      <c r="A636" s="95" t="inlineStr">
        <is>
          <t>2.33.03</t>
        </is>
      </c>
      <c r="B636" s="80" t="inlineStr">
        <is>
          <t>SERVIÇO</t>
        </is>
      </c>
      <c r="C636" s="80" t="n"/>
      <c r="D636" s="80" t="n"/>
      <c r="E636" s="81" t="inlineStr">
        <is>
          <t>Lançamento da rede óptica, incluíndo as adequações civis necessárias</t>
        </is>
      </c>
      <c r="F636" s="83" t="inlineStr">
        <is>
          <t>VB.</t>
        </is>
      </c>
      <c r="G636" s="91" t="n">
        <v>1</v>
      </c>
      <c r="H636" s="1274" t="n">
        <v>86529.59928163901</v>
      </c>
      <c r="I636" s="367" t="n"/>
      <c r="J636" s="1275" t="n"/>
      <c r="K636" s="9" t="n"/>
      <c r="L636" s="10" t="n"/>
      <c r="M636" s="236" t="inlineStr">
        <is>
          <t>INSIGHT ENERGY</t>
        </is>
      </c>
      <c r="N636" s="237" t="n"/>
      <c r="O636" s="1276" t="n"/>
      <c r="P636" s="1277" t="n"/>
      <c r="Q636" s="1276" t="n"/>
      <c r="R636" s="1277" t="n"/>
      <c r="S636" s="1278" t="n"/>
      <c r="T636" s="1277" t="n"/>
      <c r="U636" s="1278" t="n"/>
      <c r="V636" s="1279">
        <f>G636*H636</f>
        <v/>
      </c>
    </row>
    <row r="637" ht="15" customFormat="1" customHeight="1" s="353">
      <c r="A637" s="341" t="n"/>
      <c r="B637" s="340" t="n"/>
      <c r="C637" s="340" t="inlineStr">
        <is>
          <t>.</t>
        </is>
      </c>
      <c r="D637" s="340" t="n"/>
      <c r="E637" s="342" t="n"/>
      <c r="F637" s="343" t="n"/>
      <c r="G637" s="344" t="n"/>
      <c r="H637" s="1267" t="n"/>
      <c r="I637" s="316" t="n"/>
      <c r="J637" s="1268" t="n"/>
      <c r="K637" s="345" t="n"/>
      <c r="L637" s="346" t="n"/>
      <c r="M637" s="347" t="n"/>
      <c r="N637" s="348" t="n"/>
      <c r="O637" s="1269" t="n"/>
      <c r="P637" s="1270" t="n"/>
      <c r="Q637" s="1269" t="n"/>
      <c r="R637" s="1270" t="n"/>
      <c r="S637" s="1271" t="n"/>
      <c r="T637" s="1270" t="n"/>
      <c r="U637" s="1271" t="n"/>
      <c r="V637" s="1272" t="n"/>
    </row>
    <row r="638" ht="15" customHeight="1">
      <c r="A638" s="95" t="inlineStr">
        <is>
          <t>2.33.04</t>
        </is>
      </c>
      <c r="B638" s="80" t="inlineStr">
        <is>
          <t>SERVIÇO</t>
        </is>
      </c>
      <c r="C638" s="80" t="n"/>
      <c r="D638" s="80" t="n"/>
      <c r="E638" s="81" t="inlineStr">
        <is>
          <t>Supervisão, ensaios de campo e comissionamento</t>
        </is>
      </c>
      <c r="F638" s="83" t="inlineStr">
        <is>
          <t>VB.</t>
        </is>
      </c>
      <c r="G638" s="91" t="n">
        <v>1</v>
      </c>
      <c r="H638" s="1274" t="n">
        <v>110128.57</v>
      </c>
      <c r="I638" s="367" t="n"/>
      <c r="J638" s="1275" t="n"/>
      <c r="K638" s="9" t="n"/>
      <c r="L638" s="10" t="n"/>
      <c r="M638" s="236" t="inlineStr">
        <is>
          <t>INSIGHT ENERGY</t>
        </is>
      </c>
      <c r="N638" s="237" t="n"/>
      <c r="O638" s="1276" t="n"/>
      <c r="P638" s="1277" t="n"/>
      <c r="Q638" s="1276" t="n"/>
      <c r="R638" s="1277" t="n"/>
      <c r="S638" s="1278" t="n"/>
      <c r="T638" s="1277" t="n"/>
      <c r="U638" s="1278" t="n"/>
      <c r="V638" s="1279">
        <f>G638*H638</f>
        <v/>
      </c>
    </row>
    <row r="639" ht="15" customFormat="1" customHeight="1" s="353">
      <c r="A639" s="341" t="n"/>
      <c r="B639" s="340" t="n"/>
      <c r="C639" s="340" t="inlineStr">
        <is>
          <t>.</t>
        </is>
      </c>
      <c r="D639" s="340" t="n"/>
      <c r="E639" s="342" t="n"/>
      <c r="F639" s="343" t="n"/>
      <c r="G639" s="344" t="n"/>
      <c r="H639" s="1267" t="n"/>
      <c r="I639" s="316" t="n"/>
      <c r="J639" s="1268" t="n"/>
      <c r="K639" s="345" t="n"/>
      <c r="L639" s="346" t="n"/>
      <c r="M639" s="347" t="n"/>
      <c r="N639" s="348" t="n"/>
      <c r="O639" s="1269" t="n"/>
      <c r="P639" s="1270" t="n"/>
      <c r="Q639" s="1269" t="n"/>
      <c r="R639" s="1270" t="n"/>
      <c r="S639" s="1271" t="n"/>
      <c r="T639" s="1270" t="n"/>
      <c r="U639" s="1271" t="n"/>
      <c r="V639" s="1272" t="n"/>
    </row>
    <row r="640" ht="27.6" customHeight="1">
      <c r="A640" s="95" t="inlineStr">
        <is>
          <t>2.33.05</t>
        </is>
      </c>
      <c r="B640" s="80" t="inlineStr">
        <is>
          <t>MATERIAL</t>
        </is>
      </c>
      <c r="C640" s="80" t="n"/>
      <c r="D640" s="80" t="n"/>
      <c r="E640" s="81" t="inlineStr">
        <is>
          <t>Equipamentos e materiais de telecomunicações para vertedouros/barragem/tomada d'água</t>
        </is>
      </c>
      <c r="F640" s="83" t="inlineStr">
        <is>
          <t>CJ.</t>
        </is>
      </c>
      <c r="G640" s="91" t="n">
        <v>3</v>
      </c>
      <c r="H640" s="1274" t="n">
        <v>156798.9928474324</v>
      </c>
      <c r="I640" s="367" t="n"/>
      <c r="J640" s="1275" t="n"/>
      <c r="K640" s="1278" t="n"/>
      <c r="L640" s="1277" t="n"/>
      <c r="M640" s="236" t="inlineStr">
        <is>
          <t>INSIGHT ENERGY</t>
        </is>
      </c>
      <c r="N640" s="237" t="n"/>
      <c r="O640" s="302" t="n"/>
      <c r="P640" s="309" t="n"/>
      <c r="Q640" s="310" t="n"/>
      <c r="R640" s="310" t="n"/>
      <c r="S640" s="311" t="n"/>
      <c r="T640" s="311" t="n"/>
      <c r="U640" s="309" t="n"/>
      <c r="V640" s="1279">
        <f>G640*H640</f>
        <v/>
      </c>
    </row>
    <row r="641" ht="15" customFormat="1" customHeight="1" s="353">
      <c r="A641" s="341" t="n"/>
      <c r="B641" s="340" t="n"/>
      <c r="C641" s="340" t="inlineStr">
        <is>
          <t>.</t>
        </is>
      </c>
      <c r="D641" s="340" t="n"/>
      <c r="E641" s="342" t="n"/>
      <c r="F641" s="343" t="n"/>
      <c r="G641" s="344" t="n"/>
      <c r="H641" s="1267" t="n"/>
      <c r="I641" s="316" t="n"/>
      <c r="J641" s="1268" t="n"/>
      <c r="K641" s="345" t="n"/>
      <c r="L641" s="346" t="n"/>
      <c r="M641" s="347" t="n"/>
      <c r="N641" s="348" t="n"/>
      <c r="O641" s="1269" t="n"/>
      <c r="P641" s="1270" t="n"/>
      <c r="Q641" s="1269" t="n"/>
      <c r="R641" s="1270" t="n"/>
      <c r="S641" s="1271" t="n"/>
      <c r="T641" s="1270" t="n"/>
      <c r="U641" s="1271" t="n"/>
      <c r="V641" s="1272" t="n"/>
    </row>
    <row r="642" ht="15" customHeight="1">
      <c r="A642" s="95" t="inlineStr">
        <is>
          <t>2.33.06</t>
        </is>
      </c>
      <c r="B642" s="80" t="inlineStr">
        <is>
          <t>MATERIAL</t>
        </is>
      </c>
      <c r="C642" s="80" t="n"/>
      <c r="D642" s="80" t="n"/>
      <c r="E642" s="81" t="inlineStr">
        <is>
          <t>Equipamentos e materiais de telecomunicações para Casa de Força</t>
        </is>
      </c>
      <c r="F642" s="83" t="inlineStr">
        <is>
          <t>CJ.</t>
        </is>
      </c>
      <c r="G642" s="91" t="n">
        <v>1</v>
      </c>
      <c r="H642" s="1274" t="n">
        <v>124878.7310505406</v>
      </c>
      <c r="I642" s="367" t="n"/>
      <c r="J642" s="1275" t="n"/>
      <c r="K642" s="1278" t="n"/>
      <c r="L642" s="1277" t="n"/>
      <c r="M642" s="236" t="inlineStr">
        <is>
          <t>INSIGHT ENERGY</t>
        </is>
      </c>
      <c r="N642" s="237" t="n"/>
      <c r="O642" s="302" t="n"/>
      <c r="P642" s="309" t="n"/>
      <c r="Q642" s="310" t="n"/>
      <c r="R642" s="310" t="n"/>
      <c r="S642" s="311" t="n"/>
      <c r="T642" s="311" t="n"/>
      <c r="U642" s="309" t="n"/>
      <c r="V642" s="1279">
        <f>G642*H642</f>
        <v/>
      </c>
    </row>
    <row r="643" ht="15" customFormat="1" customHeight="1" s="353">
      <c r="A643" s="341" t="n"/>
      <c r="B643" s="340" t="n"/>
      <c r="C643" s="340" t="inlineStr">
        <is>
          <t>.</t>
        </is>
      </c>
      <c r="D643" s="340" t="n"/>
      <c r="E643" s="342" t="n"/>
      <c r="F643" s="343" t="n"/>
      <c r="G643" s="344" t="n"/>
      <c r="H643" s="1267" t="n"/>
      <c r="I643" s="316" t="n"/>
      <c r="J643" s="1268" t="n"/>
      <c r="K643" s="345" t="n"/>
      <c r="L643" s="346" t="n"/>
      <c r="M643" s="347" t="n"/>
      <c r="N643" s="348" t="n"/>
      <c r="O643" s="1269" t="n"/>
      <c r="P643" s="1270" t="n"/>
      <c r="Q643" s="1269" t="n"/>
      <c r="R643" s="1270" t="n"/>
      <c r="S643" s="1271" t="n"/>
      <c r="T643" s="1270" t="n"/>
      <c r="U643" s="1271" t="n"/>
      <c r="V643" s="1272" t="n"/>
    </row>
    <row r="644" ht="27.6" customHeight="1">
      <c r="A644" s="95" t="inlineStr">
        <is>
          <t>2.33.07</t>
        </is>
      </c>
      <c r="B644" s="80" t="inlineStr">
        <is>
          <t>MATERIAL</t>
        </is>
      </c>
      <c r="C644" s="80" t="n"/>
      <c r="D644" s="80" t="n"/>
      <c r="E644" s="81" t="inlineStr">
        <is>
          <t>Equipamentos e materiais para rede óptica entre Casa de Força, Barragem Guanhães, Barragem Santo Antônio e Tomada d'água</t>
        </is>
      </c>
      <c r="F644" s="83" t="inlineStr">
        <is>
          <t>CJ.</t>
        </is>
      </c>
      <c r="G644" s="91" t="n">
        <v>1</v>
      </c>
      <c r="H644" s="1274" t="n">
        <v>480342.81</v>
      </c>
      <c r="I644" s="367" t="n"/>
      <c r="J644" s="1275" t="n"/>
      <c r="K644" s="1278" t="n"/>
      <c r="L644" s="1277" t="n"/>
      <c r="M644" s="236" t="inlineStr">
        <is>
          <t>INSIGHT ENERGY</t>
        </is>
      </c>
      <c r="N644" s="237" t="n"/>
      <c r="O644" s="302" t="n"/>
      <c r="P644" s="309" t="n"/>
      <c r="Q644" s="310" t="n"/>
      <c r="R644" s="310" t="n"/>
      <c r="S644" s="311" t="n"/>
      <c r="T644" s="311" t="n"/>
      <c r="U644" s="309" t="n"/>
      <c r="V644" s="1279">
        <f>G644*H644</f>
        <v/>
      </c>
    </row>
    <row r="645" ht="15.6" customFormat="1" customHeight="1" s="353" thickBot="1">
      <c r="A645" s="341" t="n"/>
      <c r="B645" s="340" t="n"/>
      <c r="C645" s="340" t="inlineStr">
        <is>
          <t>.</t>
        </is>
      </c>
      <c r="D645" s="340" t="n"/>
      <c r="E645" s="342" t="n"/>
      <c r="F645" s="343" t="n"/>
      <c r="G645" s="344" t="n"/>
      <c r="H645" s="1267" t="n"/>
      <c r="I645" s="316" t="n"/>
      <c r="J645" s="1268" t="n"/>
      <c r="K645" s="345" t="n"/>
      <c r="L645" s="346" t="n"/>
      <c r="M645" s="347" t="n"/>
      <c r="N645" s="348" t="n"/>
      <c r="O645" s="1269" t="n"/>
      <c r="P645" s="1270" t="n"/>
      <c r="Q645" s="1269" t="n"/>
      <c r="R645" s="1270" t="n"/>
      <c r="S645" s="1271" t="n"/>
      <c r="T645" s="1270" t="n"/>
      <c r="U645" s="1271" t="n"/>
      <c r="V645" s="1272" t="n"/>
    </row>
    <row r="646" ht="17.4" customHeight="1">
      <c r="A646" s="261" t="n"/>
      <c r="B646" s="262" t="n"/>
      <c r="C646" s="262" t="n"/>
      <c r="D646" s="262" t="n"/>
      <c r="E646" s="263" t="n"/>
      <c r="F646" s="263" t="n"/>
      <c r="G646" s="263" t="n"/>
      <c r="H646" s="1001" t="inlineStr">
        <is>
          <t>TOTAL DA REFORMA E MODERNIZAÇÃO DA UHE SALTO GRANDE</t>
        </is>
      </c>
      <c r="I646" s="1142" t="n"/>
      <c r="J646" s="1142" t="n"/>
      <c r="K646" s="1142" t="n"/>
      <c r="L646" s="1142" t="n"/>
      <c r="M646" s="1142" t="n"/>
      <c r="N646" s="1142" t="n"/>
      <c r="O646" s="1142" t="n"/>
      <c r="P646" s="1142" t="n"/>
      <c r="Q646" s="1142" t="n"/>
      <c r="R646" s="1142" t="n"/>
      <c r="S646" s="1142" t="n"/>
      <c r="T646" s="1142" t="n"/>
      <c r="U646" s="1143" t="n"/>
      <c r="V646" s="1293">
        <f>SUM(V12:V40,V43:V64,V66:V99,V101:V121,V124:V144,V147:V165,V168:V238,V241:V275,,V278:V286,V289:V295,V298:V326,V329:V345,V348:V362,V366:V374,V377:V401,V404:V414,V417:V425,V428:V432,V556:V564,V567:V585,V588:V606,V609:V629,V632:V644,V364:V364)</f>
        <v/>
      </c>
    </row>
    <row r="647" ht="18" customHeight="1" thickBot="1">
      <c r="A647" s="264" t="n"/>
      <c r="B647" s="265" t="n"/>
      <c r="C647" s="265" t="n"/>
      <c r="D647" s="265" t="n"/>
      <c r="E647" s="266" t="n"/>
      <c r="F647" s="266" t="n"/>
      <c r="G647" s="266" t="n"/>
      <c r="H647" s="999" t="inlineStr">
        <is>
          <t>TOTAL DA MODERNIZAÇÃO E DIGITALIZAÇÃO DA SE DA UHE SALTO GRANDE</t>
        </is>
      </c>
      <c r="I647" s="1210" t="n"/>
      <c r="J647" s="1210" t="n"/>
      <c r="K647" s="1210" t="n"/>
      <c r="L647" s="1210" t="n"/>
      <c r="M647" s="1210" t="n"/>
      <c r="N647" s="1210" t="n"/>
      <c r="O647" s="1210" t="n"/>
      <c r="P647" s="1210" t="n"/>
      <c r="Q647" s="1210" t="n"/>
      <c r="R647" s="1210" t="n"/>
      <c r="S647" s="1210" t="n"/>
      <c r="T647" s="1210" t="n"/>
      <c r="U647" s="1151" t="n"/>
      <c r="V647" s="1294">
        <f>SUM(V435:V553)</f>
        <v/>
      </c>
    </row>
    <row r="648" ht="15" customHeight="1" thickBot="1">
      <c r="A648" s="92" t="n"/>
      <c r="B648" s="76" t="n"/>
      <c r="C648" s="76" t="n"/>
      <c r="D648" s="76" t="n"/>
      <c r="E648" s="76" t="n"/>
      <c r="F648" s="76" t="n"/>
      <c r="G648" s="12" t="n"/>
      <c r="H648" s="76" t="n"/>
      <c r="I648" s="321" t="n"/>
      <c r="J648" s="1295" t="n"/>
      <c r="K648" s="86" t="n"/>
      <c r="L648" s="76" t="n"/>
      <c r="M648" s="87" t="n"/>
      <c r="N648" s="86" t="n"/>
      <c r="O648" s="305" t="n"/>
      <c r="P648" s="86" t="n"/>
      <c r="Q648" s="305" t="n"/>
      <c r="R648" s="86" t="n"/>
      <c r="S648" s="86" t="n"/>
      <c r="T648" s="86" t="n"/>
      <c r="U648" s="86" t="n"/>
      <c r="V648" s="1296" t="n"/>
    </row>
    <row r="649" ht="17.4" customHeight="1">
      <c r="A649" s="261" t="n"/>
      <c r="B649" s="262" t="n"/>
      <c r="C649" s="262" t="n"/>
      <c r="D649" s="262" t="n"/>
      <c r="E649" s="263" t="n"/>
      <c r="F649" s="263" t="n"/>
      <c r="G649" s="263" t="n"/>
      <c r="H649" s="1001" t="inlineStr">
        <is>
          <t>TOTAL DOS SERVIÇOS</t>
        </is>
      </c>
      <c r="I649" s="1142" t="n"/>
      <c r="J649" s="1142" t="n"/>
      <c r="K649" s="1142" t="n"/>
      <c r="L649" s="1142" t="n"/>
      <c r="M649" s="1142" t="n"/>
      <c r="N649" s="1142" t="n"/>
      <c r="O649" s="1142" t="n"/>
      <c r="P649" s="1142" t="n"/>
      <c r="Q649" s="1142" t="n"/>
      <c r="R649" s="1142" t="n"/>
      <c r="S649" s="1142" t="n"/>
      <c r="T649" s="1142" t="n"/>
      <c r="U649" s="1143" t="n"/>
      <c r="V649" s="1293">
        <f>SUMIF(B12:B644,"Material",V12:V644)</f>
        <v/>
      </c>
      <c r="W649" s="1297" t="n"/>
    </row>
    <row r="650" ht="18" customHeight="1" thickBot="1">
      <c r="A650" s="264" t="n"/>
      <c r="B650" s="265" t="n"/>
      <c r="C650" s="265" t="n"/>
      <c r="D650" s="265" t="n"/>
      <c r="E650" s="266" t="n"/>
      <c r="F650" s="266" t="n"/>
      <c r="G650" s="266" t="n"/>
      <c r="H650" s="999" t="inlineStr">
        <is>
          <t>TOTAL DOS MATERIAIS E EQUIPAMENTOS</t>
        </is>
      </c>
      <c r="I650" s="1210" t="n"/>
      <c r="J650" s="1210" t="n"/>
      <c r="K650" s="1210" t="n"/>
      <c r="L650" s="1210" t="n"/>
      <c r="M650" s="1210" t="n"/>
      <c r="N650" s="1210" t="n"/>
      <c r="O650" s="1210" t="n"/>
      <c r="P650" s="1210" t="n"/>
      <c r="Q650" s="1210" t="n"/>
      <c r="R650" s="1210" t="n"/>
      <c r="S650" s="1210" t="n"/>
      <c r="T650" s="1210" t="n"/>
      <c r="U650" s="1151" t="n"/>
      <c r="V650" s="1294">
        <f>SUMIF(B12:B644,"Serviço",V12:V644)</f>
        <v/>
      </c>
    </row>
    <row r="651" ht="15" customHeight="1" thickBot="1">
      <c r="A651" s="99" t="n"/>
      <c r="B651" s="297" t="n"/>
      <c r="C651" s="297" t="n"/>
      <c r="D651" s="297" t="n"/>
      <c r="E651" s="297" t="n"/>
      <c r="F651" s="297" t="n"/>
      <c r="G651" s="297" t="n"/>
      <c r="H651" s="297" t="n"/>
      <c r="I651" s="324" t="n"/>
      <c r="J651" s="1298" t="n"/>
      <c r="K651" s="297" t="n"/>
      <c r="L651" s="297" t="n"/>
      <c r="M651" s="297" t="n"/>
      <c r="N651" s="297" t="n"/>
      <c r="O651" s="184" t="n"/>
      <c r="P651" s="297" t="n"/>
      <c r="Q651" s="184" t="n"/>
      <c r="R651" s="297" t="n"/>
      <c r="S651" s="297" t="n"/>
      <c r="T651" s="297" t="n"/>
      <c r="U651" s="297" t="n"/>
      <c r="V651" s="1299" t="n"/>
    </row>
    <row r="652" ht="15" customHeight="1" thickBot="1">
      <c r="A652" s="102" t="n"/>
      <c r="B652" s="103" t="n"/>
      <c r="C652" s="103" t="n"/>
      <c r="D652" s="103" t="n"/>
      <c r="E652" s="103" t="n"/>
      <c r="F652" s="1300" t="n"/>
      <c r="G652" s="1301" t="n"/>
      <c r="H652" s="1301" t="n"/>
      <c r="I652" s="325" t="n"/>
      <c r="J652" s="1302" t="n"/>
      <c r="K652" s="1301" t="n"/>
      <c r="L652" s="1301" t="n"/>
      <c r="M652" s="1301" t="n"/>
      <c r="N652" s="1301" t="n"/>
      <c r="O652" s="1300" t="n"/>
      <c r="P652" s="1301" t="n"/>
      <c r="Q652" s="1300" t="n"/>
      <c r="R652" s="1301" t="n"/>
      <c r="S652" s="1301" t="n"/>
      <c r="T652" s="1301" t="n"/>
      <c r="U652" s="1301" t="n"/>
      <c r="V652" s="1303" t="n"/>
    </row>
    <row r="653" ht="21" customHeight="1">
      <c r="A653" s="104" t="n"/>
      <c r="B653" s="1011" t="inlineStr">
        <is>
          <t>PREÇO TOTAL DA DISCIPLINA ELETROMECÂNICA:</t>
        </is>
      </c>
      <c r="C653" s="1142" t="n"/>
      <c r="D653" s="1142" t="n"/>
      <c r="E653" s="1142" t="n"/>
      <c r="F653" s="1142" t="n"/>
      <c r="G653" s="1142" t="n"/>
      <c r="H653" s="1142" t="n"/>
      <c r="I653" s="1142" t="n"/>
      <c r="J653" s="1142" t="n"/>
      <c r="K653" s="1142" t="n"/>
      <c r="L653" s="1142" t="n"/>
      <c r="M653" s="1142" t="n"/>
      <c r="N653" s="1143" t="n"/>
      <c r="O653" s="1304">
        <f>SUM(V646,V647)</f>
        <v/>
      </c>
      <c r="P653" s="1142" t="n"/>
      <c r="Q653" s="1142" t="n"/>
      <c r="R653" s="1142" t="n"/>
      <c r="S653" s="1142" t="n"/>
      <c r="T653" s="1142" t="n"/>
      <c r="U653" s="1143" t="n"/>
      <c r="V653" s="1305" t="n"/>
    </row>
    <row r="654" ht="21.6" customHeight="1" thickBot="1">
      <c r="A654" s="104" t="n"/>
      <c r="B654" s="1014">
        <f>Q4</f>
        <v/>
      </c>
      <c r="C654" s="1210" t="n"/>
      <c r="D654" s="1210" t="n"/>
      <c r="E654" s="1210" t="n"/>
      <c r="F654" s="1210" t="n"/>
      <c r="G654" s="1210" t="n"/>
      <c r="H654" s="1210" t="n"/>
      <c r="I654" s="1210" t="n"/>
      <c r="J654" s="1210" t="n"/>
      <c r="K654" s="1210" t="n"/>
      <c r="L654" s="1210" t="n"/>
      <c r="M654" s="1210" t="n"/>
      <c r="N654" s="1151" t="n"/>
      <c r="O654" s="1306">
        <f>V4</f>
        <v/>
      </c>
      <c r="P654" s="1210" t="n"/>
      <c r="Q654" s="1210" t="n"/>
      <c r="R654" s="1210" t="n"/>
      <c r="S654" s="1210" t="n"/>
      <c r="T654" s="1210" t="n"/>
      <c r="U654" s="1151" t="n"/>
      <c r="V654" s="1305" t="n"/>
    </row>
    <row r="655" ht="15" customHeight="1" thickBot="1">
      <c r="A655" s="104" t="n"/>
      <c r="B655" s="105" t="n"/>
      <c r="C655" s="105" t="n"/>
      <c r="D655" s="105" t="n"/>
      <c r="E655" s="298" t="n"/>
      <c r="F655" s="106" t="n"/>
      <c r="G655" s="299" t="n"/>
      <c r="H655" s="1307" t="n"/>
      <c r="I655" s="326" t="n"/>
      <c r="J655" s="1308" t="n"/>
      <c r="K655" s="1307" t="n"/>
      <c r="L655" s="1307" t="n"/>
      <c r="M655" s="1307" t="n"/>
      <c r="N655" s="1307" t="n"/>
      <c r="O655" s="1309" t="n"/>
      <c r="P655" s="1307" t="n"/>
      <c r="Q655" s="1309" t="n"/>
      <c r="R655" s="1307" t="n"/>
      <c r="S655" s="1307" t="n"/>
      <c r="T655" s="1307" t="n"/>
      <c r="U655" s="1307" t="n"/>
      <c r="V655" s="1305" t="n"/>
    </row>
    <row r="656">
      <c r="A656" s="104" t="n"/>
      <c r="B656" s="108" t="inlineStr">
        <is>
          <t>NOTA:</t>
        </is>
      </c>
      <c r="C656" s="315" t="n"/>
      <c r="D656" s="315" t="n"/>
      <c r="E656" s="103" t="n"/>
      <c r="F656" s="109" t="n"/>
      <c r="G656" s="300" t="n"/>
      <c r="H656" s="1310" t="n"/>
      <c r="I656" s="327" t="n"/>
      <c r="J656" s="1311" t="n"/>
      <c r="K656" s="1310" t="n"/>
      <c r="L656" s="1310" t="n"/>
      <c r="M656" s="1310" t="n"/>
      <c r="N656" s="1310" t="n"/>
      <c r="O656" s="1312" t="n"/>
      <c r="P656" s="1310" t="n"/>
      <c r="Q656" s="1312" t="n"/>
      <c r="R656" s="1310" t="n"/>
      <c r="S656" s="1310" t="n"/>
      <c r="T656" s="1310" t="n"/>
      <c r="U656" s="1313" t="n"/>
      <c r="V656" s="1305" t="n"/>
    </row>
    <row r="657" ht="171" customHeight="1" thickBot="1">
      <c r="A657" s="104" t="n"/>
      <c r="B657" s="1314" t="inlineStr">
        <is>
          <t>1. Não serão permitidas alterações ou modificações em nenhum dado ou estrutura desta planilha, ficando a empresa PROPONENTE responsável pelo preenchimento dos campos vazios, destacados em amarelo, conforme regras do edital.
2. Os itens relacionados são meramente indicativos do escopo, cabendo a empresa PROPONENTE realizar todo o fornecimento de materiais e/ou serviços, ainda que não listados, mas que sejam usuais ou necessários à eficiente execução do escopo  contratado, sem ônus adicional para a CONTRATANTE, para o completo atendimento ao CONTRATO.
3. O valor do item ENGENHARIA DE PROJETO deve se limitar a 10,00 % do valor total do seu referido escopo.
4. Os itens referenciados entre ( ) para os eventos de "Fornecimento de Equipamentos, Sistemas e Materiais" e seus respectivos quantitativos são aqueles constantes no documento 20000-EA/EA-8478 - RELAÇÃO DE EQUIPAMENTOS, SISTEMAS E MATERIAIS E RESPECTIVOS QUANTITATIVOS - MODERNIZAÇÃO E DIGITALIZAÇÃO DA SE UHE SALTO GRANDE - ATIVOS CEMIG-D.</t>
        </is>
      </c>
      <c r="C657" s="59" t="n"/>
      <c r="D657" s="59" t="n"/>
      <c r="E657" s="59" t="n"/>
      <c r="F657" s="59" t="n"/>
      <c r="G657" s="59" t="n"/>
      <c r="H657" s="59" t="n"/>
      <c r="I657" s="59" t="n"/>
      <c r="J657" s="59" t="n"/>
      <c r="K657" s="59" t="n"/>
      <c r="L657" s="59" t="n"/>
      <c r="M657" s="59" t="n"/>
      <c r="N657" s="59" t="n"/>
      <c r="O657" s="59" t="n"/>
      <c r="P657" s="59" t="n"/>
      <c r="Q657" s="59" t="n"/>
      <c r="R657" s="59" t="n"/>
      <c r="S657" s="59" t="n"/>
      <c r="T657" s="59" t="n"/>
      <c r="U657" s="60" t="n"/>
      <c r="V657" s="1315" t="n"/>
    </row>
    <row r="658" ht="15" customHeight="1" thickBot="1">
      <c r="A658" s="113" t="n"/>
      <c r="B658" s="1006" t="n"/>
      <c r="C658" s="1006" t="n"/>
      <c r="D658" s="1006" t="n"/>
      <c r="E658" s="301" t="n"/>
      <c r="F658" s="301" t="n"/>
      <c r="G658" s="1006" t="n"/>
      <c r="H658" s="59" t="n"/>
      <c r="I658" s="328" t="n"/>
      <c r="J658" s="1316" t="n"/>
      <c r="K658" s="1006" t="n"/>
      <c r="L658" s="1006" t="n"/>
      <c r="M658" s="1006" t="n"/>
      <c r="N658" s="1006" t="n"/>
      <c r="O658" s="1006" t="n"/>
      <c r="P658" s="1006" t="n"/>
      <c r="Q658" s="1006" t="n"/>
      <c r="R658" s="1006" t="n"/>
      <c r="S658" s="1006" t="n"/>
      <c r="T658" s="1006" t="n"/>
      <c r="U658" s="1006" t="n"/>
      <c r="V658" s="1317" t="n"/>
    </row>
  </sheetData>
  <autoFilter ref="A10:V647"/>
  <mergeCells count="32">
    <mergeCell ref="A2:V2"/>
    <mergeCell ref="O654:U654"/>
    <mergeCell ref="C6:J6"/>
    <mergeCell ref="K9:L9"/>
    <mergeCell ref="N5:P5"/>
    <mergeCell ref="H647:U647"/>
    <mergeCell ref="C5:J5"/>
    <mergeCell ref="A6:B6"/>
    <mergeCell ref="A7:B7"/>
    <mergeCell ref="B654:N654"/>
    <mergeCell ref="B657:U657"/>
    <mergeCell ref="L5:M5"/>
    <mergeCell ref="O4:P4"/>
    <mergeCell ref="Q4:U4"/>
    <mergeCell ref="N6:P6"/>
    <mergeCell ref="A4:L4"/>
    <mergeCell ref="G658:H658"/>
    <mergeCell ref="O9:U9"/>
    <mergeCell ref="U5:U6"/>
    <mergeCell ref="H650:U650"/>
    <mergeCell ref="A1:V1"/>
    <mergeCell ref="A5:B5"/>
    <mergeCell ref="Q5:T5"/>
    <mergeCell ref="O653:U653"/>
    <mergeCell ref="H646:U646"/>
    <mergeCell ref="H649:U649"/>
    <mergeCell ref="M4:N4"/>
    <mergeCell ref="L6:M6"/>
    <mergeCell ref="C7:V7"/>
    <mergeCell ref="B653:N653"/>
    <mergeCell ref="Q6:T6"/>
    <mergeCell ref="V5:V6"/>
  </mergeCells>
  <dataValidations count="2">
    <dataValidation sqref="H1:J3 H8:H9 H11:H91 H93:H145 H146:I552 H554:J645 H648:J648 H652:J652 H655:J656 H658:J658 I8:J8 I11:J145 J146:J297 J327:J376 J402:J552" showDropDown="0" showInputMessage="0" showErrorMessage="1" allowBlank="1" errorTitle="Atenção" error="Digite um valor maior que zero!" promptTitle="Entrada dos Preços" prompt="Digite o preço correspondente de sua proposta." type="decimal" operator="greaterThan">
      <formula1>0</formula1>
    </dataValidation>
    <dataValidation sqref="F278 F280:G280 F282:G282 G65:G66 G123 G146:G147 G240:G241 G277:G278 G297 G347 G403 G434:G435 G437 G439 G441 G443 G445 G447 G449 G451 G453 G455 G457 G459 G461 G463 G465 G467 G469 G471 G473 G475 G477 G479 G481 G483 G485 G487 G489 G491 G493 G495 G497 G499 G501 G503 G505 G507 G509 G511 G513 G515 G517 G519 G521 G523 G525 G527 G529 G531 G533 G535 G537 G539 G541 G543 G545 G547 G556 G558 G560 G562 G564 G566:G567 G569 G571 G573 G575 G577 G579 G581 G583 G585 G587:G588 G590 G592 G594 G596 G598 G600 G602 G604:G606 G608:G609 G611 G613 G646:G650" showDropDown="0" showInputMessage="0" showErrorMessage="1" allowBlank="1"/>
  </dataValidations>
  <printOptions horizontalCentered="1"/>
  <pageMargins left="0.1968503937007874" right="0.1181102362204725" top="0.3149606299212598" bottom="0.3149606299212598" header="0.3149606299212598" footer="0.1181102362204725"/>
  <pageSetup orientation="landscape" paperSize="8" scale="67" fitToHeight="0"/>
  <headerFooter>
    <oddHeader/>
    <oddFooter>&amp;C&amp;P de &amp;N&amp;R&amp;"Calibri"&amp;10 &amp;K000000_x000d_# Classificação: Público</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C81"/>
  <sheetViews>
    <sheetView workbookViewId="0">
      <selection activeCell="B69" sqref="B1:B69"/>
    </sheetView>
  </sheetViews>
  <sheetFormatPr baseColWidth="8" defaultRowHeight="14.4"/>
  <cols>
    <col width="8.88671875" customWidth="1" style="1066" min="1" max="2"/>
    <col width="17.44140625" bestFit="1" customWidth="1" min="3" max="3"/>
  </cols>
  <sheetData>
    <row r="1">
      <c r="A1" s="1066" t="n">
        <v>1</v>
      </c>
      <c r="B1" s="388" t="n">
        <v>45474</v>
      </c>
    </row>
    <row r="2">
      <c r="A2" s="1066" t="n">
        <v>2</v>
      </c>
      <c r="B2" s="388" t="n">
        <v>45505</v>
      </c>
    </row>
    <row r="3">
      <c r="A3" s="1066" t="n">
        <v>3</v>
      </c>
      <c r="B3" s="388" t="n">
        <v>45536</v>
      </c>
    </row>
    <row r="4">
      <c r="A4" s="1066" t="n">
        <v>4</v>
      </c>
      <c r="B4" s="388" t="n">
        <v>45566</v>
      </c>
    </row>
    <row r="5">
      <c r="A5" s="1066" t="n">
        <v>5</v>
      </c>
      <c r="B5" s="388" t="n">
        <v>45597</v>
      </c>
    </row>
    <row r="6">
      <c r="A6" s="1066" t="n">
        <v>6</v>
      </c>
      <c r="B6" s="388" t="n">
        <v>45627</v>
      </c>
    </row>
    <row r="7">
      <c r="A7" s="1066" t="n">
        <v>7</v>
      </c>
      <c r="B7" s="388" t="n">
        <v>45658</v>
      </c>
    </row>
    <row r="8">
      <c r="A8" s="1066" t="n">
        <v>8</v>
      </c>
      <c r="B8" s="388" t="n">
        <v>45689</v>
      </c>
    </row>
    <row r="9">
      <c r="A9" s="1066" t="n">
        <v>9</v>
      </c>
      <c r="B9" s="388" t="n">
        <v>45717</v>
      </c>
    </row>
    <row r="10">
      <c r="A10" s="1066" t="n">
        <v>10</v>
      </c>
      <c r="B10" s="388" t="n">
        <v>45748</v>
      </c>
    </row>
    <row r="11">
      <c r="A11" s="1066" t="n">
        <v>11</v>
      </c>
      <c r="B11" s="388" t="n">
        <v>45778</v>
      </c>
    </row>
    <row r="12">
      <c r="A12" s="1066" t="n">
        <v>12</v>
      </c>
      <c r="B12" s="388" t="n">
        <v>45809</v>
      </c>
    </row>
    <row r="13">
      <c r="A13" s="1066" t="n">
        <v>13</v>
      </c>
      <c r="B13" s="388" t="n">
        <v>45839</v>
      </c>
    </row>
    <row r="14">
      <c r="A14" s="1066" t="n">
        <v>14</v>
      </c>
      <c r="B14" s="388" t="n">
        <v>45870</v>
      </c>
    </row>
    <row r="15">
      <c r="A15" s="1066" t="n">
        <v>15</v>
      </c>
      <c r="B15" s="388" t="n">
        <v>45901</v>
      </c>
    </row>
    <row r="16">
      <c r="A16" s="1066" t="n">
        <v>16</v>
      </c>
      <c r="B16" s="388" t="n">
        <v>45931</v>
      </c>
    </row>
    <row r="17">
      <c r="A17" s="1066" t="n">
        <v>17</v>
      </c>
      <c r="B17" s="388" t="n">
        <v>45962</v>
      </c>
    </row>
    <row r="18">
      <c r="A18" s="1066" t="n">
        <v>18</v>
      </c>
      <c r="B18" s="388" t="n">
        <v>45992</v>
      </c>
      <c r="C18" s="388" t="n"/>
    </row>
    <row r="19">
      <c r="A19" s="1066" t="n">
        <v>19</v>
      </c>
      <c r="B19" s="388" t="n">
        <v>46023</v>
      </c>
      <c r="C19" s="388" t="n"/>
    </row>
    <row r="20">
      <c r="A20" s="1066" t="n">
        <v>20</v>
      </c>
      <c r="B20" s="388" t="n">
        <v>46054</v>
      </c>
      <c r="C20" s="388" t="n"/>
    </row>
    <row r="21">
      <c r="A21" s="1066" t="n">
        <v>21</v>
      </c>
      <c r="B21" s="388" t="n">
        <v>46082</v>
      </c>
      <c r="C21" s="388" t="n"/>
    </row>
    <row r="22">
      <c r="A22" s="1066" t="n">
        <v>22</v>
      </c>
      <c r="B22" s="388" t="n">
        <v>46113</v>
      </c>
      <c r="C22" s="388" t="n"/>
    </row>
    <row r="23">
      <c r="A23" s="1066" t="n">
        <v>23</v>
      </c>
      <c r="B23" s="388" t="n">
        <v>46143</v>
      </c>
      <c r="C23" s="388" t="n"/>
    </row>
    <row r="24">
      <c r="A24" s="1066" t="n">
        <v>24</v>
      </c>
      <c r="B24" s="388" t="n">
        <v>46174</v>
      </c>
      <c r="C24" s="388" t="n"/>
    </row>
    <row r="25">
      <c r="A25" s="1066" t="n">
        <v>25</v>
      </c>
      <c r="B25" s="388" t="n">
        <v>46204</v>
      </c>
      <c r="C25" s="388" t="n"/>
    </row>
    <row r="26">
      <c r="A26" s="1066" t="n">
        <v>26</v>
      </c>
      <c r="B26" s="388" t="n">
        <v>46235</v>
      </c>
      <c r="C26" s="388" t="n"/>
    </row>
    <row r="27">
      <c r="A27" s="1066" t="n">
        <v>27</v>
      </c>
      <c r="B27" s="388" t="n">
        <v>46266</v>
      </c>
      <c r="C27" s="388" t="n"/>
    </row>
    <row r="28">
      <c r="A28" s="1066" t="n">
        <v>28</v>
      </c>
      <c r="B28" s="388" t="n">
        <v>46296</v>
      </c>
      <c r="C28" s="388" t="n"/>
    </row>
    <row r="29">
      <c r="A29" s="1066" t="n">
        <v>29</v>
      </c>
      <c r="B29" s="388" t="n">
        <v>46327</v>
      </c>
      <c r="C29" s="388" t="n"/>
    </row>
    <row r="30">
      <c r="A30" s="1066" t="n">
        <v>30</v>
      </c>
      <c r="B30" s="388" t="n">
        <v>46357</v>
      </c>
      <c r="C30" s="388" t="n"/>
    </row>
    <row r="31">
      <c r="A31" s="1066" t="n">
        <v>31</v>
      </c>
      <c r="B31" s="388" t="n">
        <v>46388</v>
      </c>
      <c r="C31" s="388" t="n"/>
    </row>
    <row r="32">
      <c r="A32" s="1066" t="n">
        <v>32</v>
      </c>
      <c r="B32" s="388" t="n">
        <v>46419</v>
      </c>
      <c r="C32" s="388" t="n"/>
    </row>
    <row r="33">
      <c r="A33" s="1066" t="n">
        <v>33</v>
      </c>
      <c r="B33" s="388" t="n">
        <v>46447</v>
      </c>
      <c r="C33" s="388" t="n"/>
    </row>
    <row r="34">
      <c r="A34" s="1066" t="n">
        <v>34</v>
      </c>
      <c r="B34" s="388" t="n">
        <v>46478</v>
      </c>
      <c r="C34" s="388" t="n"/>
    </row>
    <row r="35">
      <c r="A35" s="1066" t="n">
        <v>35</v>
      </c>
      <c r="B35" s="388" t="n">
        <v>46508</v>
      </c>
      <c r="C35" s="388" t="n"/>
    </row>
    <row r="36">
      <c r="A36" s="1066" t="n">
        <v>36</v>
      </c>
      <c r="B36" s="388" t="n">
        <v>46539</v>
      </c>
      <c r="C36" s="388" t="n"/>
    </row>
    <row r="37">
      <c r="A37" s="1066" t="n">
        <v>37</v>
      </c>
      <c r="B37" s="388" t="n">
        <v>46569</v>
      </c>
      <c r="C37" s="388" t="n"/>
    </row>
    <row r="38">
      <c r="A38" s="1066" t="n">
        <v>38</v>
      </c>
      <c r="B38" s="388" t="n">
        <v>46600</v>
      </c>
      <c r="C38" s="388" t="n"/>
    </row>
    <row r="39">
      <c r="A39" s="1066" t="n">
        <v>39</v>
      </c>
      <c r="B39" s="388" t="n">
        <v>46631</v>
      </c>
      <c r="C39" s="388" t="n"/>
    </row>
    <row r="40">
      <c r="A40" s="1066" t="n">
        <v>40</v>
      </c>
      <c r="B40" s="388" t="n">
        <v>46661</v>
      </c>
      <c r="C40" s="388" t="n"/>
    </row>
    <row r="41">
      <c r="A41" s="1066" t="n">
        <v>41</v>
      </c>
      <c r="B41" s="388" t="n">
        <v>46692</v>
      </c>
      <c r="C41" s="388" t="n"/>
    </row>
    <row r="42">
      <c r="A42" s="1066" t="n">
        <v>42</v>
      </c>
      <c r="B42" s="388" t="n">
        <v>46722</v>
      </c>
      <c r="C42" s="388" t="n"/>
    </row>
    <row r="43">
      <c r="A43" s="1066" t="n">
        <v>43</v>
      </c>
      <c r="B43" s="388" t="n">
        <v>46753</v>
      </c>
      <c r="C43" s="388" t="n"/>
    </row>
    <row r="44">
      <c r="A44" s="1066" t="n">
        <v>44</v>
      </c>
      <c r="B44" s="388" t="n">
        <v>46784</v>
      </c>
      <c r="C44" s="388" t="n"/>
    </row>
    <row r="45">
      <c r="A45" s="1066" t="n">
        <v>45</v>
      </c>
      <c r="B45" s="388" t="n">
        <v>46813</v>
      </c>
      <c r="C45" s="388" t="n"/>
    </row>
    <row r="46">
      <c r="A46" s="1066" t="n">
        <v>46</v>
      </c>
      <c r="B46" s="388" t="n">
        <v>46844</v>
      </c>
      <c r="C46" s="388" t="n"/>
    </row>
    <row r="47">
      <c r="A47" s="1066" t="n">
        <v>47</v>
      </c>
      <c r="B47" s="388" t="n">
        <v>46874</v>
      </c>
      <c r="C47" s="388" t="n"/>
    </row>
    <row r="48">
      <c r="A48" s="1066" t="n">
        <v>48</v>
      </c>
      <c r="B48" s="388" t="n">
        <v>46905</v>
      </c>
      <c r="C48" s="388" t="n"/>
    </row>
    <row r="49">
      <c r="A49" s="1066" t="n">
        <v>49</v>
      </c>
      <c r="B49" s="388" t="n">
        <v>46935</v>
      </c>
      <c r="C49" s="388" t="n"/>
    </row>
    <row r="50">
      <c r="A50" s="1066" t="n">
        <v>50</v>
      </c>
      <c r="B50" s="388" t="n">
        <v>46966</v>
      </c>
      <c r="C50" s="388" t="n"/>
    </row>
    <row r="51">
      <c r="A51" s="1066" t="n">
        <v>51</v>
      </c>
      <c r="B51" s="388" t="n">
        <v>46997</v>
      </c>
      <c r="C51" s="388" t="n"/>
    </row>
    <row r="52">
      <c r="A52" s="1066" t="n">
        <v>52</v>
      </c>
      <c r="B52" s="388" t="n">
        <v>47027</v>
      </c>
      <c r="C52" s="388" t="n"/>
    </row>
    <row r="53">
      <c r="A53" s="1066" t="n">
        <v>53</v>
      </c>
      <c r="B53" s="388" t="n">
        <v>47058</v>
      </c>
      <c r="C53" s="388" t="n"/>
    </row>
    <row r="54">
      <c r="A54" s="1066" t="n">
        <v>54</v>
      </c>
      <c r="B54" s="388" t="n">
        <v>47088</v>
      </c>
      <c r="C54" s="388" t="n"/>
    </row>
    <row r="55">
      <c r="A55" s="1066" t="n">
        <v>55</v>
      </c>
      <c r="B55" s="388" t="n">
        <v>47119</v>
      </c>
      <c r="C55" s="388" t="n"/>
    </row>
    <row r="56">
      <c r="A56" s="1066" t="n">
        <v>56</v>
      </c>
      <c r="B56" s="388" t="n">
        <v>47150</v>
      </c>
      <c r="C56" s="388" t="n"/>
    </row>
    <row r="57">
      <c r="A57" s="1066" t="n">
        <v>57</v>
      </c>
      <c r="B57" s="388" t="n">
        <v>47178</v>
      </c>
      <c r="C57" s="388" t="n"/>
    </row>
    <row r="58">
      <c r="A58" s="1066" t="n">
        <v>58</v>
      </c>
      <c r="B58" s="388" t="n">
        <v>47209</v>
      </c>
      <c r="C58" s="388" t="n"/>
    </row>
    <row r="59">
      <c r="A59" s="1066" t="n">
        <v>59</v>
      </c>
      <c r="B59" s="388" t="n">
        <v>47239</v>
      </c>
      <c r="C59" s="388" t="n"/>
    </row>
    <row r="60">
      <c r="A60" s="1066" t="n">
        <v>60</v>
      </c>
      <c r="B60" s="388" t="n">
        <v>47270</v>
      </c>
      <c r="C60" s="388" t="n"/>
    </row>
    <row r="61">
      <c r="A61" s="1066" t="n">
        <v>61</v>
      </c>
      <c r="B61" s="388" t="n">
        <v>47300</v>
      </c>
      <c r="C61" s="388" t="n"/>
    </row>
    <row r="62">
      <c r="A62" s="1066" t="n">
        <v>62</v>
      </c>
      <c r="B62" s="388" t="n">
        <v>47331</v>
      </c>
      <c r="C62" s="388" t="n"/>
    </row>
    <row r="63">
      <c r="A63" s="1066" t="n">
        <v>63</v>
      </c>
      <c r="B63" s="388" t="n">
        <v>47362</v>
      </c>
      <c r="C63" s="388" t="n"/>
    </row>
    <row r="64">
      <c r="A64" s="1066" t="n">
        <v>64</v>
      </c>
      <c r="B64" s="388" t="n">
        <v>47392</v>
      </c>
      <c r="C64" s="388" t="n"/>
    </row>
    <row r="65">
      <c r="A65" s="1066" t="n">
        <v>65</v>
      </c>
      <c r="B65" s="388" t="n">
        <v>47423</v>
      </c>
      <c r="C65" s="388" t="n"/>
    </row>
    <row r="66">
      <c r="A66" s="1066" t="n">
        <v>66</v>
      </c>
      <c r="B66" s="388" t="n">
        <v>47453</v>
      </c>
      <c r="C66" s="388" t="n"/>
    </row>
    <row r="67">
      <c r="A67" s="1066" t="n">
        <v>67</v>
      </c>
      <c r="B67" s="388" t="n">
        <v>47484</v>
      </c>
      <c r="C67" s="388" t="n"/>
    </row>
    <row r="68">
      <c r="A68" s="1066" t="n">
        <v>68</v>
      </c>
      <c r="B68" s="388" t="n">
        <v>47515</v>
      </c>
      <c r="C68" s="388" t="n"/>
    </row>
    <row r="69">
      <c r="B69" s="388" t="n">
        <v>47543</v>
      </c>
      <c r="C69" s="388" t="n"/>
    </row>
    <row r="70">
      <c r="B70" s="388" t="n">
        <v>47574</v>
      </c>
      <c r="C70" s="388" t="n"/>
    </row>
    <row r="71">
      <c r="B71" s="388" t="n">
        <v>47604</v>
      </c>
      <c r="C71" s="388" t="n"/>
    </row>
    <row r="72">
      <c r="B72" s="388" t="n"/>
    </row>
    <row r="73">
      <c r="B73" s="388" t="n"/>
    </row>
    <row r="74">
      <c r="B74" s="388" t="n"/>
    </row>
    <row r="75">
      <c r="B75" s="388" t="n"/>
    </row>
    <row r="76">
      <c r="B76" s="388" t="n"/>
    </row>
    <row r="77">
      <c r="B77" s="388" t="n"/>
    </row>
    <row r="78">
      <c r="B78" s="388" t="n"/>
    </row>
    <row r="79">
      <c r="B79" s="388" t="n"/>
    </row>
    <row r="80">
      <c r="B80" s="388" t="n"/>
    </row>
    <row r="81">
      <c r="B81" s="388" t="n"/>
    </row>
  </sheetData>
  <pageMargins left="0.511811024" right="0.511811024" top="0.787401575" bottom="0.787401575" header="0.31496062" footer="0.31496062"/>
  <pageSetup orientation="portrait" paperSize="9"/>
</worksheet>
</file>

<file path=xl/worksheets/sheet5.xml><?xml version="1.0" encoding="utf-8"?>
<worksheet xmlns="http://schemas.openxmlformats.org/spreadsheetml/2006/main">
  <sheetPr codeName="Planilha4">
    <outlinePr summaryBelow="1" summaryRight="1"/>
    <pageSetUpPr fitToPage="1"/>
  </sheetPr>
  <dimension ref="A1:ANJ859"/>
  <sheetViews>
    <sheetView showGridLines="0" tabSelected="1" zoomScale="55" zoomScaleNormal="55" zoomScaleSheetLayoutView="85" zoomScalePageLayoutView="70" workbookViewId="0">
      <pane ySplit="9" topLeftCell="A10" activePane="bottomLeft" state="frozen"/>
      <selection pane="bottomLeft" activeCell="P763" sqref="P763:Q763"/>
    </sheetView>
  </sheetViews>
  <sheetFormatPr baseColWidth="8" defaultRowHeight="27" customHeight="1" outlineLevelRow="1"/>
  <cols>
    <col width="34.6640625" customWidth="1" min="1" max="1"/>
    <col width="12.6640625" customWidth="1" min="2" max="2"/>
    <col width="12" customWidth="1" min="3" max="3"/>
    <col width="32.33203125" customWidth="1" style="166" min="4" max="4"/>
    <col width="12.33203125" customWidth="1" style="458" min="5" max="6"/>
    <col width="15.33203125" customWidth="1" style="117" min="7" max="7"/>
    <col width="21.5546875" customWidth="1" style="117" min="8" max="8"/>
    <col width="15.33203125" customWidth="1" style="117" min="9" max="9"/>
    <col width="18.6640625" customWidth="1" style="117" min="10" max="10"/>
    <col width="15.33203125" customWidth="1" style="117" min="11" max="11"/>
    <col width="75.33203125" customWidth="1" min="12" max="12"/>
    <col width="16.109375" customWidth="1" min="13" max="13"/>
    <col width="27.33203125" bestFit="1" customWidth="1" min="14" max="14"/>
    <col width="27.44140625" customWidth="1" style="1318" min="15" max="15"/>
    <col width="17.33203125" customWidth="1" style="458" min="16" max="16"/>
    <col width="27.44140625" customWidth="1" style="1318" min="17" max="17"/>
    <col width="20.5546875" bestFit="1" customWidth="1" min="18" max="18"/>
    <col width="20.5546875" customWidth="1" min="19" max="20"/>
    <col width="19.33203125" customWidth="1" min="21" max="21"/>
    <col width="36.33203125" customWidth="1" min="22" max="22"/>
    <col width="12.33203125" customWidth="1" min="23" max="23"/>
    <col width="17.109375" bestFit="1" customWidth="1" min="26" max="26"/>
  </cols>
  <sheetData>
    <row r="1" ht="37.5" customHeight="1">
      <c r="A1" s="1319">
        <f>'01_Preço'!A1</f>
        <v/>
      </c>
      <c r="B1" s="1142" t="n"/>
      <c r="C1" s="1142" t="n"/>
      <c r="D1" s="1142" t="n"/>
      <c r="E1" s="1142" t="n"/>
      <c r="F1" s="1142" t="n"/>
      <c r="G1" s="1142" t="n"/>
      <c r="H1" s="1142" t="n"/>
      <c r="I1" s="1142" t="n"/>
      <c r="J1" s="1142" t="n"/>
      <c r="K1" s="1142" t="n"/>
      <c r="L1" s="1142" t="n"/>
      <c r="M1" s="1142" t="n"/>
      <c r="N1" s="1142" t="n"/>
      <c r="O1" s="1320" t="n"/>
    </row>
    <row r="2" ht="16.2" customHeight="1" thickBot="1">
      <c r="A2" s="1321" t="inlineStr">
        <is>
          <t>TABELA DE EVENTOS DOS EQUIPAMENTOS, MATERIAIS E SERVIÇOS DA REFORMA E MODERNIZAÇÃO DA UHE SALTO GRANDE E MODERNIZAÇÃO E DIGITALIZAÇÃO DA SE UHE SALTO GRANDE – ATIVOS CEMIG D</t>
        </is>
      </c>
      <c r="B2" s="1210" t="n"/>
      <c r="C2" s="1210" t="n"/>
      <c r="D2" s="1210" t="n"/>
      <c r="E2" s="1210" t="n"/>
      <c r="F2" s="1210" t="n"/>
      <c r="G2" s="1210" t="n"/>
      <c r="H2" s="1210" t="n"/>
      <c r="I2" s="1210" t="n"/>
      <c r="J2" s="1210" t="n"/>
      <c r="K2" s="1210" t="n"/>
      <c r="L2" s="1210" t="n"/>
      <c r="M2" s="1210" t="n"/>
      <c r="N2" s="1210" t="n"/>
      <c r="O2" s="1250" t="n"/>
    </row>
    <row r="3" ht="30.6" customHeight="1" thickBot="1">
      <c r="A3" s="62" t="n"/>
      <c r="B3" s="63" t="n"/>
      <c r="C3" s="63" t="n"/>
      <c r="D3" s="245" t="n"/>
      <c r="E3" s="451" t="n"/>
      <c r="F3" s="451" t="n"/>
      <c r="G3" s="246" t="n"/>
      <c r="H3" s="246" t="n"/>
      <c r="I3" s="246" t="n"/>
      <c r="J3" s="246" t="n"/>
      <c r="K3" s="246" t="n"/>
      <c r="L3" s="247" t="n"/>
      <c r="M3" s="248" t="n"/>
      <c r="N3" s="248" t="n"/>
      <c r="O3" s="1322" t="n"/>
    </row>
    <row r="4" ht="47.25" customHeight="1">
      <c r="A4" s="155">
        <f>_xlfn.CONCAT('01_Preço'!M4,"  ",'01_Preço'!O4)</f>
        <v/>
      </c>
      <c r="B4" s="1068">
        <f>'01_Preço'!A4</f>
        <v/>
      </c>
      <c r="C4" s="1142" t="n"/>
      <c r="D4" s="1142" t="n"/>
      <c r="E4" s="1142" t="n"/>
      <c r="F4" s="1142" t="n"/>
      <c r="G4" s="1143" t="n"/>
      <c r="H4" s="1068" t="n"/>
      <c r="I4" s="1068" t="n"/>
      <c r="J4" s="1068" t="n"/>
      <c r="K4" s="1068" t="n"/>
      <c r="L4" s="156" t="inlineStr">
        <is>
          <t>BASE ECONÔMICA TRIBUTÁRIA</t>
        </is>
      </c>
      <c r="M4" s="1323">
        <f>'01_Preço'!V4</f>
        <v/>
      </c>
      <c r="N4" s="1142" t="n"/>
      <c r="O4" s="1320" t="n"/>
    </row>
    <row r="5" ht="21" customHeight="1">
      <c r="A5" s="804" t="inlineStr">
        <is>
          <t>EMPRESA PROPONENTE:</t>
        </is>
      </c>
      <c r="B5" s="1073">
        <f>'01_Preço'!C5</f>
        <v/>
      </c>
      <c r="C5" s="1201" t="n"/>
      <c r="D5" s="1201" t="n"/>
      <c r="E5" s="810" t="inlineStr">
        <is>
          <t>INSC ESTADUAL:</t>
        </is>
      </c>
      <c r="F5" s="1201" t="n"/>
      <c r="G5" s="1144" t="n"/>
      <c r="H5" s="809" t="n"/>
      <c r="I5" s="809" t="n"/>
      <c r="J5" s="809" t="n"/>
      <c r="K5" s="809" t="n"/>
      <c r="L5" s="25">
        <f>'01_Preço'!Q5</f>
        <v/>
      </c>
      <c r="M5" s="810" t="inlineStr">
        <is>
          <t>Nº CNPJ:</t>
        </is>
      </c>
      <c r="N5" s="1075" t="n"/>
      <c r="O5" s="1324">
        <f>'01_Preço'!L5</f>
        <v/>
      </c>
    </row>
    <row r="6" ht="21" customHeight="1">
      <c r="A6" s="808" t="inlineStr">
        <is>
          <t>REPRESENTANTE LEGAL:</t>
        </is>
      </c>
      <c r="B6" s="1073">
        <f>'01_Preço'!C6</f>
        <v/>
      </c>
      <c r="C6" s="1201" t="n"/>
      <c r="D6" s="1201" t="n"/>
      <c r="E6" s="810" t="inlineStr">
        <is>
          <t>Nº IDENTIDADE:</t>
        </is>
      </c>
      <c r="F6" s="1201" t="n"/>
      <c r="G6" s="1144" t="n"/>
      <c r="H6" s="809" t="n"/>
      <c r="I6" s="809" t="n"/>
      <c r="J6" s="809" t="n"/>
      <c r="K6" s="809" t="n"/>
      <c r="L6" s="25">
        <f>'01_Preço'!Q6</f>
        <v/>
      </c>
      <c r="M6" s="810" t="inlineStr">
        <is>
          <t>Nº CPF:</t>
        </is>
      </c>
      <c r="N6" s="1075" t="n"/>
      <c r="O6" s="1324">
        <f>'01_Preço'!L6</f>
        <v/>
      </c>
      <c r="U6" s="1066" t="n"/>
    </row>
    <row r="7" ht="40.95" customHeight="1" thickBot="1">
      <c r="A7" s="1325" t="inlineStr">
        <is>
          <t>ASSINATURA REPRESENTANTE LEGAL EMPRESA:</t>
        </is>
      </c>
      <c r="B7" s="1210" t="n"/>
      <c r="C7" s="1151" t="n"/>
      <c r="D7" s="1326">
        <f>'01_Preço'!E7</f>
        <v/>
      </c>
      <c r="E7" s="1210" t="n"/>
      <c r="F7" s="1210" t="n"/>
      <c r="G7" s="1151" t="n"/>
      <c r="H7" s="816" t="n"/>
      <c r="I7" s="816" t="n"/>
      <c r="J7" s="816" t="n"/>
      <c r="K7" s="816" t="n"/>
      <c r="L7" s="157" t="inlineStr">
        <is>
          <t>DATA DE EMISSÃO</t>
        </is>
      </c>
      <c r="M7" s="40">
        <f>'01_Preço'!V5</f>
        <v/>
      </c>
      <c r="N7" s="1210" t="n"/>
      <c r="O7" s="1250" t="n"/>
      <c r="P7" s="1327" t="n"/>
    </row>
    <row r="8" ht="9" customHeight="1" thickBot="1">
      <c r="A8" s="41" t="n"/>
      <c r="B8" s="42" t="n"/>
      <c r="C8" s="42" t="n"/>
      <c r="D8" s="249" t="n"/>
      <c r="E8" s="452" t="n"/>
      <c r="F8" s="452" t="n"/>
      <c r="G8" s="45" t="n"/>
      <c r="H8" s="45" t="n"/>
      <c r="I8" s="45" t="n"/>
      <c r="J8" s="45" t="n"/>
      <c r="K8" s="45" t="n"/>
      <c r="L8" s="250" t="n"/>
      <c r="M8" s="42" t="n"/>
      <c r="N8" s="42" t="n"/>
      <c r="O8" s="1328" t="n"/>
      <c r="P8" s="452" t="n"/>
      <c r="Q8" s="1328" t="n"/>
    </row>
    <row r="9" ht="47.4" customHeight="1" thickBot="1">
      <c r="A9" s="491" t="inlineStr">
        <is>
          <t>Especificação Técnica</t>
        </is>
      </c>
      <c r="B9" s="492" t="inlineStr">
        <is>
          <t>Item da Tab. Preços</t>
        </is>
      </c>
      <c r="C9" s="492" t="inlineStr">
        <is>
          <t>Tipo</t>
        </is>
      </c>
      <c r="D9" s="492" t="inlineStr">
        <is>
          <t>Descritivo do Item</t>
        </is>
      </c>
      <c r="E9" s="159" t="inlineStr">
        <is>
          <t>Mês Proposta</t>
        </is>
      </c>
      <c r="F9" s="159" t="n"/>
      <c r="G9" s="159" t="inlineStr">
        <is>
          <t>Evento nº</t>
        </is>
      </c>
      <c r="H9" s="159" t="inlineStr">
        <is>
          <t>Execução</t>
        </is>
      </c>
      <c r="I9" s="159" t="inlineStr">
        <is>
          <t xml:space="preserve">Faturamento </t>
        </is>
      </c>
      <c r="J9" s="159" t="inlineStr">
        <is>
          <t>Código de nota</t>
        </is>
      </c>
      <c r="K9" s="159" t="inlineStr">
        <is>
          <t>Item segurado</t>
        </is>
      </c>
      <c r="L9" s="493" t="inlineStr">
        <is>
          <t>Descrição do Marco Principais / Evento</t>
        </is>
      </c>
      <c r="M9" s="159" t="inlineStr">
        <is>
          <t>% referente a ET</t>
        </is>
      </c>
      <c r="N9" s="1329" t="inlineStr">
        <is>
          <t>Valor da ET</t>
        </is>
      </c>
      <c r="O9" s="1330" t="inlineStr">
        <is>
          <t>Valor do Marco / Evento</t>
        </is>
      </c>
      <c r="P9" s="550" t="inlineStr">
        <is>
          <t>Mês de desembolso</t>
        </is>
      </c>
      <c r="Q9" s="1330" t="inlineStr">
        <is>
          <t>Desembolso financeiro</t>
        </is>
      </c>
      <c r="R9" s="1331" t="n"/>
      <c r="S9" s="1331" t="inlineStr">
        <is>
          <t>Faturamento realizado</t>
        </is>
      </c>
    </row>
    <row r="10" ht="16.2" customHeight="1" thickBot="1">
      <c r="A10" s="1332" t="inlineStr">
        <is>
          <t>2.01 - Sistema de Supervisão e Controle e 2.10 -  Sincronismo</t>
        </is>
      </c>
      <c r="B10" s="1139" t="n"/>
      <c r="C10" s="1139" t="n"/>
      <c r="D10" s="1139" t="n"/>
      <c r="E10" s="1139" t="n"/>
      <c r="F10" s="1139" t="n"/>
      <c r="G10" s="1139" t="n"/>
      <c r="H10" s="1139" t="n"/>
      <c r="I10" s="1139" t="n"/>
      <c r="J10" s="1139" t="n"/>
      <c r="K10" s="1139" t="n"/>
      <c r="L10" s="1139" t="n"/>
      <c r="M10" s="1140" t="n"/>
      <c r="N10" s="1332">
        <f>SUM(O11,O26,O31,O39,O51,O56,O57,O59,O58,O60,O61,O62,O63,O65,O64)</f>
        <v/>
      </c>
      <c r="O10" s="1332" t="n"/>
      <c r="P10" s="1332" t="n"/>
      <c r="Q10" s="1332" t="n"/>
    </row>
    <row r="11" outlineLevel="1" ht="36.6" customHeight="1">
      <c r="A11" s="461">
        <f>'01_Preço'!$A$11</f>
        <v/>
      </c>
      <c r="B11" s="436">
        <f>'01_Preço'!$A$12</f>
        <v/>
      </c>
      <c r="C11" s="436">
        <f>'01_Preço'!$B$12</f>
        <v/>
      </c>
      <c r="D11" s="437">
        <f>'01_Preço'!$E$12</f>
        <v/>
      </c>
      <c r="E11" s="449" t="n"/>
      <c r="F11" s="449" t="n"/>
      <c r="G11" s="436" t="n"/>
      <c r="H11" s="436" t="n"/>
      <c r="I11" s="436" t="n"/>
      <c r="J11" s="436" t="n"/>
      <c r="K11" s="436" t="n"/>
      <c r="L11" s="437">
        <f>'01_Preço'!$E$12</f>
        <v/>
      </c>
      <c r="M11" s="439">
        <f>O11/$N$10</f>
        <v/>
      </c>
      <c r="N11" s="1333" t="n"/>
      <c r="O11" s="1334">
        <f>SUM(O12:O25)</f>
        <v/>
      </c>
      <c r="P11" s="449" t="n"/>
      <c r="Q11" s="1334" t="n"/>
      <c r="U11" s="1067" t="inlineStr">
        <is>
          <t>LEGENDA</t>
        </is>
      </c>
      <c r="V11" s="1144" t="n"/>
    </row>
    <row r="12" outlineLevel="1" ht="41.4" customHeight="1">
      <c r="A12" s="231">
        <f>'01_Preço'!$A$11</f>
        <v/>
      </c>
      <c r="B12" s="478">
        <f>'01_Preço'!$A$12</f>
        <v/>
      </c>
      <c r="C12" s="478">
        <f>'01_Preço'!$B$12</f>
        <v/>
      </c>
      <c r="D12" s="672">
        <f>'01_Preço'!$E$12</f>
        <v/>
      </c>
      <c r="E12" s="710" t="n">
        <v>16</v>
      </c>
      <c r="F12" s="1335">
        <f>VLOOKUP(E12,'Tabela de mês'!$A$1:$B$70,2,TRUE)</f>
        <v/>
      </c>
      <c r="G12" s="673" t="inlineStr">
        <is>
          <t>001-SER</t>
        </is>
      </c>
      <c r="H12" s="177" t="inlineStr">
        <is>
          <t>INSIGHT</t>
        </is>
      </c>
      <c r="I12" s="478" t="inlineStr">
        <is>
          <t>INSIGHT</t>
        </is>
      </c>
      <c r="J12" s="478" t="inlineStr">
        <is>
          <t>7.01</t>
        </is>
      </c>
      <c r="K12" s="478" t="n"/>
      <c r="L12" s="672" t="inlineStr">
        <is>
          <t xml:space="preserve">Aprovação do Plano de Emissão de Documentos do Sistema de Supervisão e Controle </t>
        </is>
      </c>
      <c r="M12" s="421">
        <f>O12/$O$11</f>
        <v/>
      </c>
      <c r="N12" s="1336" t="n"/>
      <c r="O12" s="1337" t="n">
        <v>21492.17</v>
      </c>
      <c r="P12" s="453" t="n"/>
      <c r="Q12" s="1338" t="n"/>
      <c r="S12" s="662" t="inlineStr">
        <is>
          <t>SIM</t>
        </is>
      </c>
      <c r="U12" s="534" t="inlineStr">
        <is>
          <t>VERDE</t>
        </is>
      </c>
      <c r="V12" s="534" t="inlineStr">
        <is>
          <t>EVENTO SEM ALTERAÇÃO</t>
        </is>
      </c>
    </row>
    <row r="13" outlineLevel="1" ht="41.4" customHeight="1">
      <c r="A13" s="393">
        <f>'01_Preço'!$A$11</f>
        <v/>
      </c>
      <c r="B13" s="389">
        <f>'01_Preço'!$A$12</f>
        <v/>
      </c>
      <c r="C13" s="389">
        <f>'01_Preço'!$B$12</f>
        <v/>
      </c>
      <c r="D13" s="423">
        <f>'01_Preço'!$E$12</f>
        <v/>
      </c>
      <c r="E13" s="450" t="n">
        <v>16</v>
      </c>
      <c r="F13" s="1339">
        <f>VLOOKUP(E13,'Tabela de mês'!$A$1:$B$70,2,TRUE)</f>
        <v/>
      </c>
      <c r="G13" s="511" t="inlineStr">
        <is>
          <t>233-SER</t>
        </is>
      </c>
      <c r="H13" s="163" t="inlineStr">
        <is>
          <t>INSIGHT</t>
        </is>
      </c>
      <c r="I13" s="389" t="inlineStr">
        <is>
          <t>INSIGHT</t>
        </is>
      </c>
      <c r="J13" s="389" t="n"/>
      <c r="K13" s="389" t="n"/>
      <c r="L13" s="423" t="inlineStr">
        <is>
          <t>Aprovação do Plano de Emissão de Documentos do Sistema de Sincronismo</t>
        </is>
      </c>
      <c r="M13" s="391">
        <f>O13/$O$11</f>
        <v/>
      </c>
      <c r="N13" s="1340" t="n"/>
      <c r="O13" s="1340" t="n">
        <v>21599.39</v>
      </c>
      <c r="P13" s="553" t="n"/>
      <c r="Q13" s="1338" t="n"/>
      <c r="S13" s="662" t="inlineStr">
        <is>
          <t>SIM</t>
        </is>
      </c>
      <c r="U13" s="533" t="inlineStr">
        <is>
          <t>AMARELO</t>
        </is>
      </c>
      <c r="V13" s="533" t="inlineStr">
        <is>
          <t>EVENTO ALTERADO</t>
        </is>
      </c>
    </row>
    <row r="14" outlineLevel="1" ht="41.4" customHeight="1">
      <c r="A14" s="414">
        <f>'01_Preço'!$A$11</f>
        <v/>
      </c>
      <c r="B14" s="389">
        <f>'01_Preço'!$A$12</f>
        <v/>
      </c>
      <c r="C14" s="389">
        <f>'01_Preço'!$B$12</f>
        <v/>
      </c>
      <c r="D14" s="423">
        <f>'01_Preço'!$E$12</f>
        <v/>
      </c>
      <c r="E14" s="730" t="n">
        <v>21</v>
      </c>
      <c r="F14" s="1339">
        <f>VLOOKUP(E14,'Tabela de mês'!$A$1:$B$70,2,TRUE)</f>
        <v/>
      </c>
      <c r="G14" s="510" t="inlineStr">
        <is>
          <t>002-SER</t>
        </is>
      </c>
      <c r="H14" s="389" t="inlineStr">
        <is>
          <t>LCS LINK</t>
        </is>
      </c>
      <c r="I14" s="497" t="inlineStr">
        <is>
          <t>FAT. DIRETO</t>
        </is>
      </c>
      <c r="J14" s="389" t="inlineStr">
        <is>
          <t>7.01</t>
        </is>
      </c>
      <c r="K14" s="389" t="n"/>
      <c r="L14" s="342" t="inlineStr">
        <is>
          <t>Aprovação da arquitetura e do Workstatement do Sistema de Supervisão e Controle</t>
        </is>
      </c>
      <c r="M14" s="391">
        <f>O14/$O$11</f>
        <v/>
      </c>
      <c r="N14" s="1340" t="n"/>
      <c r="O14" s="1340" t="n">
        <v>64476.52</v>
      </c>
      <c r="P14" s="553" t="n"/>
      <c r="Q14" s="1341" t="n"/>
      <c r="U14" s="535" t="inlineStr">
        <is>
          <t>AZUL</t>
        </is>
      </c>
      <c r="V14" s="535" t="inlineStr">
        <is>
          <t>FATURAMENTO DIRETO</t>
        </is>
      </c>
    </row>
    <row r="15" outlineLevel="1" ht="41.4" customHeight="1">
      <c r="A15" s="414">
        <f>'01_Preço'!$A$11</f>
        <v/>
      </c>
      <c r="B15" s="389">
        <f>'01_Preço'!$A$12</f>
        <v/>
      </c>
      <c r="C15" s="389">
        <f>'01_Preço'!$B$12</f>
        <v/>
      </c>
      <c r="D15" s="423">
        <f>'01_Preço'!$E$12</f>
        <v/>
      </c>
      <c r="E15" s="730" t="n">
        <v>21</v>
      </c>
      <c r="F15" s="1339">
        <f>VLOOKUP(E15,'Tabela de mês'!$A$1:$B$70,2,TRUE)</f>
        <v/>
      </c>
      <c r="G15" s="510" t="inlineStr">
        <is>
          <t>003-SER</t>
        </is>
      </c>
      <c r="H15" s="389" t="inlineStr">
        <is>
          <t>LCS LINK</t>
        </is>
      </c>
      <c r="I15" s="497" t="inlineStr">
        <is>
          <t>FAT. DIRETO</t>
        </is>
      </c>
      <c r="J15" s="389" t="inlineStr">
        <is>
          <t>7.01</t>
        </is>
      </c>
      <c r="K15" s="389" t="n"/>
      <c r="L15" s="342" t="inlineStr">
        <is>
          <t>Aprovação dos Diagramas Lógicos das Unidades Funcionais</t>
        </is>
      </c>
      <c r="M15" s="391">
        <f>O15/$O$11</f>
        <v/>
      </c>
      <c r="N15" s="1340" t="n"/>
      <c r="O15" s="1340" t="n">
        <v>64476.52</v>
      </c>
      <c r="P15" s="553" t="n"/>
      <c r="Q15" s="1341" t="n"/>
    </row>
    <row r="16" outlineLevel="1" ht="41.4" customHeight="1">
      <c r="A16" s="414">
        <f>'01_Preço'!$A$11</f>
        <v/>
      </c>
      <c r="B16" s="389">
        <f>'01_Preço'!$A$12</f>
        <v/>
      </c>
      <c r="C16" s="389">
        <f>'01_Preço'!$B$12</f>
        <v/>
      </c>
      <c r="D16" s="423">
        <f>'01_Preço'!$E$12</f>
        <v/>
      </c>
      <c r="E16" s="730" t="n">
        <v>24</v>
      </c>
      <c r="F16" s="1339">
        <f>VLOOKUP(E16,'Tabela de mês'!$A$1:$B$70,2,TRUE)</f>
        <v/>
      </c>
      <c r="G16" s="510" t="inlineStr">
        <is>
          <t>004-SER - A</t>
        </is>
      </c>
      <c r="H16" s="389" t="inlineStr">
        <is>
          <t>LCS LINK</t>
        </is>
      </c>
      <c r="I16" s="497" t="inlineStr">
        <is>
          <t>FAT. DIRETO</t>
        </is>
      </c>
      <c r="J16" s="389" t="inlineStr">
        <is>
          <t>7.01</t>
        </is>
      </c>
      <c r="K16" s="389" t="n"/>
      <c r="L16" s="342" t="inlineStr">
        <is>
          <t>Aprovação completa dos Documentos do Projeto Executivo e de Fabricação do Sistema de Supervisão e Controle  1ª UF com paineis +AUC, +#UC, SUC e MCO</t>
        </is>
      </c>
      <c r="M16" s="391">
        <f>O16/$O$11</f>
        <v/>
      </c>
      <c r="N16" s="1340" t="n"/>
      <c r="O16" s="1340" t="n">
        <v>103162.43</v>
      </c>
      <c r="P16" s="553" t="n"/>
      <c r="Q16" s="1341" t="n"/>
    </row>
    <row r="17" outlineLevel="1" ht="41.4" customHeight="1">
      <c r="A17" s="414">
        <f>'01_Preço'!$A$11</f>
        <v/>
      </c>
      <c r="B17" s="389">
        <f>'01_Preço'!$A$12</f>
        <v/>
      </c>
      <c r="C17" s="389">
        <f>'01_Preço'!$B$12</f>
        <v/>
      </c>
      <c r="D17" s="423">
        <f>'01_Preço'!$E$12</f>
        <v/>
      </c>
      <c r="E17" s="730" t="n">
        <v>24</v>
      </c>
      <c r="F17" s="1339">
        <f>VLOOKUP(E17,'Tabela de mês'!$A$1:$B$70,2,TRUE)</f>
        <v/>
      </c>
      <c r="G17" s="510" t="inlineStr">
        <is>
          <t>234-SER -A</t>
        </is>
      </c>
      <c r="H17" s="163" t="inlineStr">
        <is>
          <t>INSIGHT</t>
        </is>
      </c>
      <c r="I17" s="389" t="inlineStr">
        <is>
          <t>INSIGHT</t>
        </is>
      </c>
      <c r="J17" s="389" t="inlineStr">
        <is>
          <t>7.01</t>
        </is>
      </c>
      <c r="K17" s="389" t="n"/>
      <c r="L17" s="342" t="inlineStr">
        <is>
          <t>Aprovação completa dos Documentos do Projeto Executivo e de Fabricação do Sistema de Sincronismo 1ª UF</t>
        </is>
      </c>
      <c r="M17" s="391">
        <f>O17/$O$11</f>
        <v/>
      </c>
      <c r="N17" s="1340" t="n"/>
      <c r="O17" s="1340" t="n">
        <v>144476.5175</v>
      </c>
      <c r="P17" s="553" t="n"/>
      <c r="Q17" s="1341" t="n"/>
    </row>
    <row r="18" outlineLevel="1" ht="41.4" customHeight="1">
      <c r="A18" s="393">
        <f>'01_Preço'!$A$11</f>
        <v/>
      </c>
      <c r="B18" s="389">
        <f>'01_Preço'!$A$12</f>
        <v/>
      </c>
      <c r="C18" s="163">
        <f>'01_Preço'!$B$12</f>
        <v/>
      </c>
      <c r="D18" s="167">
        <f>'01_Preço'!$E$12</f>
        <v/>
      </c>
      <c r="E18" s="450" t="n">
        <v>35</v>
      </c>
      <c r="F18" s="1339">
        <f>VLOOKUP(E18,'Tabela de mês'!$A$1:$B$70,2,TRUE)</f>
        <v/>
      </c>
      <c r="G18" s="510" t="inlineStr">
        <is>
          <t>004-SER - B</t>
        </is>
      </c>
      <c r="H18" s="389" t="inlineStr">
        <is>
          <t>LCS LINK</t>
        </is>
      </c>
      <c r="I18" s="497" t="inlineStr">
        <is>
          <t>FAT. DIRETO</t>
        </is>
      </c>
      <c r="J18" s="389" t="inlineStr">
        <is>
          <t>7.01</t>
        </is>
      </c>
      <c r="K18" s="389" t="n"/>
      <c r="L18" s="165" t="inlineStr">
        <is>
          <t>Aprovação completa dos Documentos do Projeto Executivo e de Fabricação do Sistema de Supervisão e Controle 2ª UF com paineis +#UC</t>
        </is>
      </c>
      <c r="M18" s="391">
        <f>O18/$O$11</f>
        <v/>
      </c>
      <c r="N18" s="1342" t="n"/>
      <c r="O18" s="1340" t="n">
        <v>51581.22</v>
      </c>
      <c r="P18" s="553" t="n"/>
      <c r="Q18" s="1341" t="n"/>
    </row>
    <row r="19" outlineLevel="1" ht="41.4" customHeight="1">
      <c r="A19" s="228">
        <f>'01_Preço'!$A$11</f>
        <v/>
      </c>
      <c r="B19" s="417">
        <f>'01_Preço'!$A$12</f>
        <v/>
      </c>
      <c r="C19" s="161">
        <f>'01_Preço'!$B$12</f>
        <v/>
      </c>
      <c r="D19" s="162">
        <f>'01_Preço'!$E$12</f>
        <v/>
      </c>
      <c r="E19" s="453" t="n">
        <v>35</v>
      </c>
      <c r="F19" s="1343">
        <f>VLOOKUP(E19,'Tabela de mês'!$A$1:$B$70,2,TRUE)</f>
        <v/>
      </c>
      <c r="G19" s="510" t="inlineStr">
        <is>
          <t>234-SER -B</t>
        </is>
      </c>
      <c r="H19" s="161" t="inlineStr">
        <is>
          <t>INSIGHT</t>
        </is>
      </c>
      <c r="I19" s="417" t="inlineStr">
        <is>
          <t>INSIGHT</t>
        </is>
      </c>
      <c r="J19" s="417" t="inlineStr">
        <is>
          <t>7.01</t>
        </is>
      </c>
      <c r="K19" s="417" t="n"/>
      <c r="L19" s="164" t="inlineStr">
        <is>
          <t>Aprovação completa dos Documentos do Projeto Executivo e de Fabricação do Sistema de Sincronismo 2ª UF</t>
        </is>
      </c>
      <c r="M19" s="416">
        <f>O19/$O$11</f>
        <v/>
      </c>
      <c r="N19" s="1344" t="n"/>
      <c r="O19" s="1338" t="n">
        <v>144476.5175</v>
      </c>
      <c r="P19" s="453" t="n"/>
      <c r="Q19" s="1341" t="n"/>
    </row>
    <row r="20" outlineLevel="1" ht="41.4" customHeight="1">
      <c r="A20" s="228">
        <f>'01_Preço'!$A$11</f>
        <v/>
      </c>
      <c r="B20" s="417">
        <f>'01_Preço'!$A$12</f>
        <v/>
      </c>
      <c r="C20" s="161">
        <f>'01_Preço'!$B$12</f>
        <v/>
      </c>
      <c r="D20" s="162">
        <f>'01_Preço'!$E$12</f>
        <v/>
      </c>
      <c r="E20" s="453" t="n">
        <v>48</v>
      </c>
      <c r="F20" s="1343">
        <f>VLOOKUP(E20,'Tabela de mês'!$A$1:$B$70,2,TRUE)</f>
        <v/>
      </c>
      <c r="G20" s="510" t="inlineStr">
        <is>
          <t>004-SER - C</t>
        </is>
      </c>
      <c r="H20" s="417" t="inlineStr">
        <is>
          <t>LCS LINK</t>
        </is>
      </c>
      <c r="I20" s="496" t="inlineStr">
        <is>
          <t>FAT. DIRETO</t>
        </is>
      </c>
      <c r="J20" s="417" t="inlineStr">
        <is>
          <t>7.01</t>
        </is>
      </c>
      <c r="K20" s="417" t="n"/>
      <c r="L20" s="164" t="inlineStr">
        <is>
          <t>Aprovação completa dos Documentos do Projeto Executivo e de Fabricação do Sistema de Supervisão e Controle 3ª UFcom paineis +#UC</t>
        </is>
      </c>
      <c r="M20" s="416">
        <f>O20/$O$11</f>
        <v/>
      </c>
      <c r="N20" s="1344" t="n"/>
      <c r="O20" s="1338" t="n">
        <v>51581.22</v>
      </c>
      <c r="P20" s="453" t="n"/>
      <c r="Q20" s="1341" t="n"/>
    </row>
    <row r="21" outlineLevel="1" ht="41.4" customHeight="1">
      <c r="A21" s="228">
        <f>'01_Preço'!$A$11</f>
        <v/>
      </c>
      <c r="B21" s="417">
        <f>'01_Preço'!$A$12</f>
        <v/>
      </c>
      <c r="C21" s="161">
        <f>'01_Preço'!$B$12</f>
        <v/>
      </c>
      <c r="D21" s="162">
        <f>'01_Preço'!$E$12</f>
        <v/>
      </c>
      <c r="E21" s="453" t="n">
        <v>48</v>
      </c>
      <c r="F21" s="1343">
        <f>VLOOKUP(E21,'Tabela de mês'!$A$1:$B$70,2,TRUE)</f>
        <v/>
      </c>
      <c r="G21" s="510" t="inlineStr">
        <is>
          <t>234-SER -C</t>
        </is>
      </c>
      <c r="H21" s="161" t="inlineStr">
        <is>
          <t>INSIGHT</t>
        </is>
      </c>
      <c r="I21" s="417" t="inlineStr">
        <is>
          <t>INSIGHT</t>
        </is>
      </c>
      <c r="J21" s="417" t="inlineStr">
        <is>
          <t>7.01</t>
        </is>
      </c>
      <c r="K21" s="417" t="n"/>
      <c r="L21" s="164" t="inlineStr">
        <is>
          <t>Aprovação completa dos Documentos do Projeto Executivo e de Fabricação do Sistema de Sincronismo 3ª UF</t>
        </is>
      </c>
      <c r="M21" s="416">
        <f>O21/$O$11</f>
        <v/>
      </c>
      <c r="N21" s="1344" t="n"/>
      <c r="O21" s="1338" t="n">
        <v>144476.5175</v>
      </c>
      <c r="P21" s="453" t="n"/>
      <c r="Q21" s="1341" t="n"/>
    </row>
    <row r="22" outlineLevel="1" ht="41.4" customHeight="1">
      <c r="A22" s="228">
        <f>'01_Preço'!$A$11</f>
        <v/>
      </c>
      <c r="B22" s="417">
        <f>'01_Preço'!$A$12</f>
        <v/>
      </c>
      <c r="C22" s="161">
        <f>'01_Preço'!$B$12</f>
        <v/>
      </c>
      <c r="D22" s="162">
        <f>'01_Preço'!$E$12</f>
        <v/>
      </c>
      <c r="E22" s="453" t="n">
        <v>59</v>
      </c>
      <c r="F22" s="1343">
        <f>VLOOKUP(E22,'Tabela de mês'!$A$1:$B$70,2,TRUE)</f>
        <v/>
      </c>
      <c r="G22" s="510" t="inlineStr">
        <is>
          <t>004-SER - D</t>
        </is>
      </c>
      <c r="H22" s="417" t="inlineStr">
        <is>
          <t>LCS LINK</t>
        </is>
      </c>
      <c r="I22" s="496" t="inlineStr">
        <is>
          <t>FAT. DIRETO</t>
        </is>
      </c>
      <c r="J22" s="417" t="inlineStr">
        <is>
          <t>7.01</t>
        </is>
      </c>
      <c r="K22" s="417" t="n"/>
      <c r="L22" s="164" t="inlineStr">
        <is>
          <t>Aprovação completa dos Documentos do Projeto Executivo e de Fabricação do Sistema de Supervisão e Controle 4ª UF com paineis +#UC</t>
        </is>
      </c>
      <c r="M22" s="416">
        <f>O22/$O$11</f>
        <v/>
      </c>
      <c r="N22" s="1344" t="n"/>
      <c r="O22" s="1338" t="n">
        <v>51581.22</v>
      </c>
      <c r="P22" s="453" t="n"/>
      <c r="Q22" s="1341" t="n"/>
    </row>
    <row r="23" outlineLevel="1" ht="41.4" customHeight="1">
      <c r="A23" s="228">
        <f>'01_Preço'!$A$11</f>
        <v/>
      </c>
      <c r="B23" s="417">
        <f>'01_Preço'!$A$12</f>
        <v/>
      </c>
      <c r="C23" s="161">
        <f>'01_Preço'!$B$12</f>
        <v/>
      </c>
      <c r="D23" s="162">
        <f>'01_Preço'!$E$12</f>
        <v/>
      </c>
      <c r="E23" s="453" t="n">
        <v>59</v>
      </c>
      <c r="F23" s="1343">
        <f>VLOOKUP(E23,'Tabela de mês'!$A$1:$B$70,2,TRUE)</f>
        <v/>
      </c>
      <c r="G23" s="510" t="inlineStr">
        <is>
          <t>234-SER -D</t>
        </is>
      </c>
      <c r="H23" s="161" t="inlineStr">
        <is>
          <t>INSIGHT</t>
        </is>
      </c>
      <c r="I23" s="417" t="inlineStr">
        <is>
          <t>INSIGHT</t>
        </is>
      </c>
      <c r="J23" s="417" t="inlineStr">
        <is>
          <t>7.01</t>
        </is>
      </c>
      <c r="K23" s="417" t="n"/>
      <c r="L23" s="164" t="inlineStr">
        <is>
          <t>Aprovação completa dos Documentos do Projeto Executivo e de Fabricação do Sistema de Sincronismo 4ª UF</t>
        </is>
      </c>
      <c r="M23" s="416">
        <f>O23/$O$11</f>
        <v/>
      </c>
      <c r="N23" s="1344" t="n"/>
      <c r="O23" s="1341" t="n">
        <v>144476.5175</v>
      </c>
      <c r="P23" s="453" t="n"/>
      <c r="Q23" s="1341" t="n"/>
    </row>
    <row r="24" outlineLevel="1" ht="41.4" customHeight="1">
      <c r="A24" s="228">
        <f>'01_Preço'!$A$11</f>
        <v/>
      </c>
      <c r="B24" s="417">
        <f>'01_Preço'!$A$12</f>
        <v/>
      </c>
      <c r="C24" s="161">
        <f>'01_Preço'!$B$12</f>
        <v/>
      </c>
      <c r="D24" s="162">
        <f>'01_Preço'!$E$12</f>
        <v/>
      </c>
      <c r="E24" s="453" t="n">
        <v>65</v>
      </c>
      <c r="F24" s="1343">
        <f>VLOOKUP(E24,'Tabela de mês'!$A$1:$B$70,2,TRUE)</f>
        <v/>
      </c>
      <c r="G24" s="511" t="inlineStr">
        <is>
          <t>005-SER</t>
        </is>
      </c>
      <c r="H24" s="417" t="inlineStr">
        <is>
          <t>LCS LINK</t>
        </is>
      </c>
      <c r="I24" s="496" t="inlineStr">
        <is>
          <t>FAT. DIRETO</t>
        </is>
      </c>
      <c r="J24" s="417" t="inlineStr">
        <is>
          <t>7.01</t>
        </is>
      </c>
      <c r="K24" s="417" t="n"/>
      <c r="L24" s="164" t="inlineStr">
        <is>
          <t>Aprovação da versão conforme construído do Projeto do Sistema de Supervisão e Controle</t>
        </is>
      </c>
      <c r="M24" s="416">
        <f>O24/$O$11</f>
        <v/>
      </c>
      <c r="N24" s="1344" t="n"/>
      <c r="O24" s="1341" t="n">
        <v>42984.35</v>
      </c>
      <c r="P24" s="453" t="n"/>
      <c r="Q24" s="1341" t="n"/>
    </row>
    <row r="25" outlineLevel="1" ht="41.4" customHeight="1">
      <c r="A25" s="228">
        <f>'01_Preço'!$A$11</f>
        <v/>
      </c>
      <c r="B25" s="417">
        <f>'01_Preço'!$A$12</f>
        <v/>
      </c>
      <c r="C25" s="161">
        <f>'01_Preço'!$B$12</f>
        <v/>
      </c>
      <c r="D25" s="162">
        <f>'01_Preço'!$E$12</f>
        <v/>
      </c>
      <c r="E25" s="453" t="n">
        <v>65</v>
      </c>
      <c r="F25" s="1343">
        <f>VLOOKUP(E25,'Tabela de mês'!$A$1:$B$70,2,TRUE)</f>
        <v/>
      </c>
      <c r="G25" s="510" t="inlineStr">
        <is>
          <t>235-SER</t>
        </is>
      </c>
      <c r="H25" s="161" t="inlineStr">
        <is>
          <t>INSIGHT</t>
        </is>
      </c>
      <c r="I25" s="417" t="inlineStr">
        <is>
          <t>INSIGHT</t>
        </is>
      </c>
      <c r="J25" s="417" t="inlineStr">
        <is>
          <t>7.01</t>
        </is>
      </c>
      <c r="K25" s="417" t="n"/>
      <c r="L25" s="164" t="inlineStr">
        <is>
          <t>Aprovação da versão conforme construído do Projeto do Sistema de Sincronismo</t>
        </is>
      </c>
      <c r="M25" s="416">
        <f>O25/$O$11</f>
        <v/>
      </c>
      <c r="N25" s="1344" t="n"/>
      <c r="O25" s="1341" t="n">
        <v>42984.35</v>
      </c>
      <c r="P25" s="453" t="n"/>
      <c r="Q25" s="1341" t="n"/>
    </row>
    <row r="26" outlineLevel="1" ht="41.4" customHeight="1">
      <c r="A26" s="461">
        <f>'01_Preço'!$A$11</f>
        <v/>
      </c>
      <c r="B26" s="436">
        <f>'01_Preço'!$A$14</f>
        <v/>
      </c>
      <c r="C26" s="436">
        <f>'01_Preço'!$B$14</f>
        <v/>
      </c>
      <c r="D26" s="437" t="inlineStr">
        <is>
          <t>Desmontagem eletromecânica completa</t>
        </is>
      </c>
      <c r="E26" s="449" t="n"/>
      <c r="F26" s="449" t="n"/>
      <c r="G26" s="436" t="n"/>
      <c r="H26" s="436" t="n"/>
      <c r="I26" s="436" t="n"/>
      <c r="J26" s="436" t="n"/>
      <c r="K26" s="436" t="n"/>
      <c r="L26" s="437">
        <f>'01_Preço'!$E$14</f>
        <v/>
      </c>
      <c r="M26" s="439">
        <f>O26/$N$10</f>
        <v/>
      </c>
      <c r="N26" s="1333" t="n"/>
      <c r="O26" s="1334">
        <f>SUM(O27:O30)</f>
        <v/>
      </c>
      <c r="P26" s="449" t="n"/>
      <c r="Q26" s="1334" t="n"/>
    </row>
    <row r="27" outlineLevel="1" ht="27.6" customHeight="1">
      <c r="A27" s="228">
        <f>'01_Preço'!$A$11</f>
        <v/>
      </c>
      <c r="B27" s="417">
        <f>'01_Preço'!$A$14</f>
        <v/>
      </c>
      <c r="C27" s="161">
        <f>'01_Preço'!$B$14</f>
        <v/>
      </c>
      <c r="D27" s="162" t="inlineStr">
        <is>
          <t>Desmontagem eletromecânica completa</t>
        </is>
      </c>
      <c r="E27" s="453" t="n">
        <v>27</v>
      </c>
      <c r="F27" s="1343">
        <f>VLOOKUP(E27,'Tabela de mês'!$A$1:$B$70,2,TRUE)</f>
        <v/>
      </c>
      <c r="G27" s="510" t="inlineStr">
        <is>
          <t xml:space="preserve">013-SER </t>
        </is>
      </c>
      <c r="H27" s="161" t="inlineStr">
        <is>
          <t>INSIGHT</t>
        </is>
      </c>
      <c r="I27" s="161" t="inlineStr">
        <is>
          <t>INSIGHT</t>
        </is>
      </c>
      <c r="J27" s="161" t="inlineStr">
        <is>
          <t>7.02</t>
        </is>
      </c>
      <c r="K27" s="161" t="n"/>
      <c r="L27" s="422" t="inlineStr">
        <is>
          <t>Conclusão da Desmontagem de todos equipamentos e componentes do SDSC da 1ª UF, integrado aos demais equipamentos e sistemas</t>
        </is>
      </c>
      <c r="M27" s="416">
        <f>O27/$O$26</f>
        <v/>
      </c>
      <c r="N27" s="1344" t="n"/>
      <c r="O27" s="1341" t="n">
        <v>300690.07</v>
      </c>
      <c r="P27" s="453" t="n">
        <v>25</v>
      </c>
      <c r="Q27" s="1345" t="n">
        <v>168000</v>
      </c>
    </row>
    <row r="28" outlineLevel="1" ht="41.4" customHeight="1">
      <c r="A28" s="228">
        <f>'01_Preço'!$A$11</f>
        <v/>
      </c>
      <c r="B28" s="417">
        <f>'01_Preço'!$A$14</f>
        <v/>
      </c>
      <c r="C28" s="161">
        <f>'01_Preço'!$B$14</f>
        <v/>
      </c>
      <c r="D28" s="162" t="inlineStr">
        <is>
          <t>Desmontagem eletromecânica completa</t>
        </is>
      </c>
      <c r="E28" s="453" t="n">
        <v>37</v>
      </c>
      <c r="F28" s="1343">
        <f>VLOOKUP(E28,'Tabela de mês'!$A$1:$B$70,2,TRUE)</f>
        <v/>
      </c>
      <c r="G28" s="510" t="inlineStr">
        <is>
          <t>015-SER</t>
        </is>
      </c>
      <c r="H28" s="161" t="inlineStr">
        <is>
          <t>INSIGHT</t>
        </is>
      </c>
      <c r="I28" s="161" t="inlineStr">
        <is>
          <t>INSIGHT</t>
        </is>
      </c>
      <c r="J28" s="161" t="inlineStr">
        <is>
          <t>7.02</t>
        </is>
      </c>
      <c r="K28" s="161" t="n"/>
      <c r="L28" s="422" t="inlineStr">
        <is>
          <t>Conclusão da Desmontagem de todos equipamentos e componentes do SDSC da 2ª UF, integrado aos demais equipamentos e sistemas</t>
        </is>
      </c>
      <c r="M28" s="416">
        <f>O28/$O$26</f>
        <v/>
      </c>
      <c r="N28" s="1344" t="n"/>
      <c r="O28" s="1341" t="n">
        <v>300690.07</v>
      </c>
      <c r="P28" s="453" t="n">
        <v>35</v>
      </c>
      <c r="Q28" s="1345" t="n">
        <v>168000</v>
      </c>
    </row>
    <row r="29" outlineLevel="1" ht="41.4" customHeight="1">
      <c r="A29" s="228">
        <f>'01_Preço'!$A$11</f>
        <v/>
      </c>
      <c r="B29" s="417">
        <f>'01_Preço'!$A$14</f>
        <v/>
      </c>
      <c r="C29" s="161">
        <f>'01_Preço'!$B$14</f>
        <v/>
      </c>
      <c r="D29" s="162" t="inlineStr">
        <is>
          <t>Desmontagem eletromecânica completa</t>
        </is>
      </c>
      <c r="E29" s="453" t="n">
        <v>49</v>
      </c>
      <c r="F29" s="1343">
        <f>VLOOKUP(E29,'Tabela de mês'!$A$1:$B$70,2,TRUE)</f>
        <v/>
      </c>
      <c r="G29" s="510" t="inlineStr">
        <is>
          <t xml:space="preserve">016-SER </t>
        </is>
      </c>
      <c r="H29" s="161" t="inlineStr">
        <is>
          <t>INSIGHT</t>
        </is>
      </c>
      <c r="I29" s="161" t="inlineStr">
        <is>
          <t>INSIGHT</t>
        </is>
      </c>
      <c r="J29" s="161" t="inlineStr">
        <is>
          <t>7.02</t>
        </is>
      </c>
      <c r="K29" s="161" t="n"/>
      <c r="L29" s="422" t="inlineStr">
        <is>
          <t>Conclusão da Desmontagem de todos equipamentos e componentes do SDSC da 3ª UF, integrado aos demais equipamentos e sistemas</t>
        </is>
      </c>
      <c r="M29" s="416">
        <f>O29/$O$26</f>
        <v/>
      </c>
      <c r="N29" s="1344" t="n"/>
      <c r="O29" s="1341" t="n">
        <v>300690.07</v>
      </c>
      <c r="P29" s="453" t="n">
        <v>46</v>
      </c>
      <c r="Q29" s="1345" t="n">
        <v>168000</v>
      </c>
    </row>
    <row r="30" outlineLevel="1" ht="41.4" customHeight="1">
      <c r="A30" s="228">
        <f>'01_Preço'!$A$11</f>
        <v/>
      </c>
      <c r="B30" s="417">
        <f>'01_Preço'!$A$14</f>
        <v/>
      </c>
      <c r="C30" s="161">
        <f>'01_Preço'!$B$14</f>
        <v/>
      </c>
      <c r="D30" s="162" t="inlineStr">
        <is>
          <t>Desmontagem eletromecânica completa</t>
        </is>
      </c>
      <c r="E30" s="453" t="n">
        <v>59</v>
      </c>
      <c r="F30" s="1343">
        <f>VLOOKUP(E30,'Tabela de mês'!$A$1:$B$70,2,TRUE)</f>
        <v/>
      </c>
      <c r="G30" s="510" t="inlineStr">
        <is>
          <t>017-SER</t>
        </is>
      </c>
      <c r="H30" s="161" t="inlineStr">
        <is>
          <t>INSIGHT</t>
        </is>
      </c>
      <c r="I30" s="161" t="inlineStr">
        <is>
          <t>INSIGHT</t>
        </is>
      </c>
      <c r="J30" s="161" t="inlineStr">
        <is>
          <t>7.02</t>
        </is>
      </c>
      <c r="K30" s="161" t="n"/>
      <c r="L30" s="422" t="inlineStr">
        <is>
          <t>Conclusão da Desmontagem de todos equipamentos e componentes do SDSC da 4ª UF, SE e Sala de Controle, integrado aos demais equipamentos e sistemas</t>
        </is>
      </c>
      <c r="M30" s="416">
        <f>O30/$O$26</f>
        <v/>
      </c>
      <c r="N30" s="1344" t="n"/>
      <c r="O30" s="1341" t="n">
        <v>300690.07</v>
      </c>
      <c r="P30" s="453" t="n">
        <v>56</v>
      </c>
      <c r="Q30" s="1345" t="n">
        <v>168000</v>
      </c>
    </row>
    <row r="31" outlineLevel="1" ht="41.4" customHeight="1">
      <c r="A31" s="461">
        <f>'01_Preço'!$A$11</f>
        <v/>
      </c>
      <c r="B31" s="436">
        <f>'01_Preço'!$A$16</f>
        <v/>
      </c>
      <c r="C31" s="436">
        <f>'01_Preço'!$B$16</f>
        <v/>
      </c>
      <c r="D31" s="437">
        <f>'01_Preço'!$E$16</f>
        <v/>
      </c>
      <c r="E31" s="449" t="n"/>
      <c r="F31" s="449" t="n"/>
      <c r="G31" s="436" t="n"/>
      <c r="H31" s="436" t="n"/>
      <c r="I31" s="436" t="n"/>
      <c r="J31" s="436" t="n"/>
      <c r="K31" s="436" t="n"/>
      <c r="L31" s="437">
        <f>'01_Preço'!$E$16</f>
        <v/>
      </c>
      <c r="M31" s="439">
        <f>O31/$N$10</f>
        <v/>
      </c>
      <c r="N31" s="1333" t="n"/>
      <c r="O31" s="1334">
        <f>SUM(O32:O38)</f>
        <v/>
      </c>
      <c r="P31" s="449" t="n"/>
      <c r="Q31" s="1334" t="n"/>
    </row>
    <row r="32" outlineLevel="1" ht="41.4" customHeight="1">
      <c r="A32" s="228">
        <f>'01_Preço'!$A$11</f>
        <v/>
      </c>
      <c r="B32" s="417">
        <f>'01_Preço'!$A$16</f>
        <v/>
      </c>
      <c r="C32" s="161">
        <f>'01_Preço'!$B$16</f>
        <v/>
      </c>
      <c r="D32" s="162">
        <f>'01_Preço'!$E$16</f>
        <v/>
      </c>
      <c r="E32" s="453" t="n">
        <v>31</v>
      </c>
      <c r="F32" s="1343">
        <f>VLOOKUP(E32,'Tabela de mês'!$A$1:$B$70,2,TRUE)</f>
        <v/>
      </c>
      <c r="G32" s="510" t="inlineStr">
        <is>
          <t xml:space="preserve">238-SER </t>
        </is>
      </c>
      <c r="H32" s="161" t="inlineStr">
        <is>
          <t>INSIGHT</t>
        </is>
      </c>
      <c r="I32" s="161" t="inlineStr">
        <is>
          <t>INSIGHT</t>
        </is>
      </c>
      <c r="J32" s="161" t="inlineStr">
        <is>
          <t>7.02</t>
        </is>
      </c>
      <c r="K32" s="161" t="n"/>
      <c r="L32" s="164" t="inlineStr">
        <is>
          <t>Conclusão da Adequações e Montagem de todos equipamentos e componentes do SDSC da 1ª UF, integrado aos demais equipamentos e sistemas</t>
        </is>
      </c>
      <c r="M32" s="416">
        <f>O32/$O$31</f>
        <v/>
      </c>
      <c r="N32" s="1344" t="n"/>
      <c r="O32" s="1341" t="n">
        <v>300690.07</v>
      </c>
      <c r="P32" s="453" t="n"/>
      <c r="Q32" s="1341" t="n"/>
    </row>
    <row r="33" outlineLevel="1" ht="41.4" customHeight="1">
      <c r="A33" s="228">
        <f>'01_Preço'!$A$11</f>
        <v/>
      </c>
      <c r="B33" s="417">
        <f>'01_Preço'!$A$16</f>
        <v/>
      </c>
      <c r="C33" s="161">
        <f>'01_Preço'!$B$16</f>
        <v/>
      </c>
      <c r="D33" s="162">
        <f>'01_Preço'!$E$16</f>
        <v/>
      </c>
      <c r="E33" s="453" t="n">
        <v>35</v>
      </c>
      <c r="F33" s="1343">
        <f>VLOOKUP(E33,'Tabela de mês'!$A$1:$B$70,2,TRUE)</f>
        <v/>
      </c>
      <c r="G33" s="510" t="inlineStr">
        <is>
          <t xml:space="preserve">014-SER A
</t>
        </is>
      </c>
      <c r="H33" s="161" t="inlineStr">
        <is>
          <t>INSIGHT</t>
        </is>
      </c>
      <c r="I33" s="161" t="inlineStr">
        <is>
          <t>INSIGHT</t>
        </is>
      </c>
      <c r="J33" s="161" t="inlineStr">
        <is>
          <t>7.02</t>
        </is>
      </c>
      <c r="K33" s="161" t="n"/>
      <c r="L33" s="164" t="inlineStr">
        <is>
          <t>Conclusão das Adequações e Montagem de todos equipamentos e componentes do SDSC dos Tomada d'agua Santo antônio</t>
        </is>
      </c>
      <c r="M33" s="416">
        <f>O33/$O$31</f>
        <v/>
      </c>
      <c r="N33" s="1344" t="n"/>
      <c r="O33" s="1341" t="n">
        <v>76820.03999999999</v>
      </c>
      <c r="P33" s="453" t="n"/>
      <c r="Q33" s="1341" t="n"/>
    </row>
    <row r="34" outlineLevel="1" ht="41.4" customHeight="1">
      <c r="A34" s="228">
        <f>'01_Preço'!$A$11</f>
        <v/>
      </c>
      <c r="B34" s="417">
        <f>'01_Preço'!$A$16</f>
        <v/>
      </c>
      <c r="C34" s="161">
        <f>'01_Preço'!$B$16</f>
        <v/>
      </c>
      <c r="D34" s="162">
        <f>'01_Preço'!$E$16</f>
        <v/>
      </c>
      <c r="E34" s="453" t="n">
        <v>40</v>
      </c>
      <c r="F34" s="1343">
        <f>VLOOKUP(E34,'Tabela de mês'!$A$1:$B$70,2,TRUE)</f>
        <v/>
      </c>
      <c r="G34" s="510" t="inlineStr">
        <is>
          <t xml:space="preserve">014-SER B
</t>
        </is>
      </c>
      <c r="H34" s="161" t="inlineStr">
        <is>
          <t>INSIGHT</t>
        </is>
      </c>
      <c r="I34" s="161" t="inlineStr">
        <is>
          <t>INSIGHT</t>
        </is>
      </c>
      <c r="J34" s="161" t="inlineStr">
        <is>
          <t>7.02</t>
        </is>
      </c>
      <c r="K34" s="161" t="n"/>
      <c r="L34" s="164" t="inlineStr">
        <is>
          <t>Conclusão das Adequações e Montagem de todos equipamentos e componentes do SDSC dos Vertedouro Guanhães</t>
        </is>
      </c>
      <c r="M34" s="416">
        <f>O34/$O$31</f>
        <v/>
      </c>
      <c r="N34" s="1344" t="n"/>
      <c r="O34" s="1341" t="n">
        <v>76820.03</v>
      </c>
      <c r="P34" s="453" t="n"/>
      <c r="Q34" s="1341" t="n"/>
    </row>
    <row r="35" outlineLevel="1" ht="41.4" customHeight="1">
      <c r="A35" s="228">
        <f>'01_Preço'!$A$11</f>
        <v/>
      </c>
      <c r="B35" s="417">
        <f>'01_Preço'!$A$16</f>
        <v/>
      </c>
      <c r="C35" s="161">
        <f>'01_Preço'!$B$16</f>
        <v/>
      </c>
      <c r="D35" s="162">
        <f>'01_Preço'!$E$16</f>
        <v/>
      </c>
      <c r="E35" s="453" t="n">
        <v>40</v>
      </c>
      <c r="F35" s="1343">
        <f>VLOOKUP(E35,'Tabela de mês'!$A$1:$B$70,2,TRUE)</f>
        <v/>
      </c>
      <c r="G35" s="510" t="inlineStr">
        <is>
          <t>014-SER C</t>
        </is>
      </c>
      <c r="H35" s="161" t="inlineStr">
        <is>
          <t>INSIGHT</t>
        </is>
      </c>
      <c r="I35" s="161" t="inlineStr">
        <is>
          <t>INSIGHT</t>
        </is>
      </c>
      <c r="J35" s="161" t="inlineStr">
        <is>
          <t>7.02</t>
        </is>
      </c>
      <c r="K35" s="161" t="n"/>
      <c r="L35" s="164" t="inlineStr">
        <is>
          <t>Conclusão das Adequações e Montagem de todos equipamentos e componentes do SDSC do Vertedouro Santo Antônio</t>
        </is>
      </c>
      <c r="M35" s="416">
        <f>O35/$O$31</f>
        <v/>
      </c>
      <c r="N35" s="1344" t="n"/>
      <c r="O35" s="1341" t="n">
        <v>76820.03</v>
      </c>
      <c r="P35" s="453" t="n"/>
      <c r="Q35" s="1341" t="n"/>
    </row>
    <row r="36" outlineLevel="1" ht="41.4" customHeight="1">
      <c r="A36" s="228">
        <f>'01_Preço'!$A$11</f>
        <v/>
      </c>
      <c r="B36" s="417">
        <f>'01_Preço'!$A$16</f>
        <v/>
      </c>
      <c r="C36" s="161">
        <f>'01_Preço'!$B$16</f>
        <v/>
      </c>
      <c r="D36" s="162">
        <f>'01_Preço'!$E$16</f>
        <v/>
      </c>
      <c r="E36" s="453" t="n">
        <v>43</v>
      </c>
      <c r="F36" s="1343">
        <f>VLOOKUP(E36,'Tabela de mês'!$A$1:$B$70,2,TRUE)</f>
        <v/>
      </c>
      <c r="G36" s="510" t="inlineStr">
        <is>
          <t xml:space="preserve">239-SER </t>
        </is>
      </c>
      <c r="H36" s="161" t="inlineStr">
        <is>
          <t>INSIGHT</t>
        </is>
      </c>
      <c r="I36" s="161" t="inlineStr">
        <is>
          <t>INSIGHT</t>
        </is>
      </c>
      <c r="J36" s="161" t="inlineStr">
        <is>
          <t>7.02</t>
        </is>
      </c>
      <c r="K36" s="161" t="n"/>
      <c r="L36" s="164" t="inlineStr">
        <is>
          <t>Conclusão da Adequações e Montagem de todos equipamentos e componentes do SDSC da 2ª UF, integrado aos demais equipamentos e sistemas</t>
        </is>
      </c>
      <c r="M36" s="416">
        <f>O36/$O$31</f>
        <v/>
      </c>
      <c r="N36" s="1344" t="n"/>
      <c r="O36" s="1341" t="n">
        <v>300690.07</v>
      </c>
      <c r="P36" s="453" t="n"/>
      <c r="Q36" s="1341" t="n"/>
    </row>
    <row r="37" outlineLevel="1" ht="41.4" customHeight="1">
      <c r="A37" s="228">
        <f>'01_Preço'!$A$11</f>
        <v/>
      </c>
      <c r="B37" s="417">
        <f>'01_Preço'!$A$16</f>
        <v/>
      </c>
      <c r="C37" s="161">
        <f>'01_Preço'!$B$16</f>
        <v/>
      </c>
      <c r="D37" s="162">
        <f>'01_Preço'!$E$16</f>
        <v/>
      </c>
      <c r="E37" s="453" t="n">
        <v>55</v>
      </c>
      <c r="F37" s="1343">
        <f>VLOOKUP(E37,'Tabela de mês'!$A$1:$B$70,2,TRUE)</f>
        <v/>
      </c>
      <c r="G37" s="510" t="inlineStr">
        <is>
          <t>240-SER</t>
        </is>
      </c>
      <c r="H37" s="161" t="inlineStr">
        <is>
          <t>INSIGHT</t>
        </is>
      </c>
      <c r="I37" s="161" t="inlineStr">
        <is>
          <t>INSIGHT</t>
        </is>
      </c>
      <c r="J37" s="161" t="inlineStr">
        <is>
          <t>7.02</t>
        </is>
      </c>
      <c r="K37" s="161" t="n"/>
      <c r="L37" s="164" t="inlineStr">
        <is>
          <t>Conclusão da Adequações e Montagem de todos equipamentos e componentes do SDSC da 3ª UF, integrado aos demais equipamentos e sistemas</t>
        </is>
      </c>
      <c r="M37" s="416">
        <f>O37/$O$31</f>
        <v/>
      </c>
      <c r="N37" s="1344" t="n"/>
      <c r="O37" s="1341" t="n">
        <v>300690.07</v>
      </c>
      <c r="P37" s="453" t="n"/>
      <c r="Q37" s="1341" t="n"/>
    </row>
    <row r="38" outlineLevel="1" ht="41.4" customHeight="1">
      <c r="A38" s="228">
        <f>'01_Preço'!$A$11</f>
        <v/>
      </c>
      <c r="B38" s="417">
        <f>'01_Preço'!$A$16</f>
        <v/>
      </c>
      <c r="C38" s="161">
        <f>'01_Preço'!$B$16</f>
        <v/>
      </c>
      <c r="D38" s="162">
        <f>'01_Preço'!$E$16</f>
        <v/>
      </c>
      <c r="E38" s="453" t="n">
        <v>65</v>
      </c>
      <c r="F38" s="1343">
        <f>VLOOKUP(E38,'Tabela de mês'!$A$1:$B$70,2,TRUE)</f>
        <v/>
      </c>
      <c r="G38" s="510" t="inlineStr">
        <is>
          <t>241-SER</t>
        </is>
      </c>
      <c r="H38" s="161" t="inlineStr">
        <is>
          <t>INSIGHT</t>
        </is>
      </c>
      <c r="I38" s="161" t="inlineStr">
        <is>
          <t>INSIGHT</t>
        </is>
      </c>
      <c r="J38" s="161" t="inlineStr">
        <is>
          <t>7.02</t>
        </is>
      </c>
      <c r="K38" s="161" t="n"/>
      <c r="L38" s="164" t="inlineStr">
        <is>
          <t>Conclusão das adequações e Montagem de todos equipamentos e componentes do SDSC da 4ª UF, SE e Sala de Controle, integrado aos demais equipamentos e sistemas</t>
        </is>
      </c>
      <c r="M38" s="416">
        <f>O38/$O$31</f>
        <v/>
      </c>
      <c r="N38" s="1344" t="n"/>
      <c r="O38" s="1341" t="n">
        <v>300690.07</v>
      </c>
      <c r="P38" s="453" t="n"/>
      <c r="Q38" s="1341" t="n"/>
    </row>
    <row r="39" outlineLevel="1" ht="41.4" customHeight="1">
      <c r="A39" s="461">
        <f>'01_Preço'!$A$11</f>
        <v/>
      </c>
      <c r="B39" s="436">
        <f>'01_Preço'!$A$18</f>
        <v/>
      </c>
      <c r="C39" s="436">
        <f>'01_Preço'!$B$18</f>
        <v/>
      </c>
      <c r="D39" s="437">
        <f>'01_Preço'!$E$16</f>
        <v/>
      </c>
      <c r="E39" s="449" t="n"/>
      <c r="F39" s="449" t="n"/>
      <c r="G39" s="436" t="n"/>
      <c r="H39" s="436" t="n"/>
      <c r="I39" s="436" t="n"/>
      <c r="J39" s="436" t="n"/>
      <c r="K39" s="436" t="n"/>
      <c r="L39" s="437">
        <f>'01_Preço'!$E$18</f>
        <v/>
      </c>
      <c r="M39" s="439">
        <f>O39/$N$10</f>
        <v/>
      </c>
      <c r="N39" s="1333" t="n"/>
      <c r="O39" s="1334">
        <f>SUM(O40:O50)</f>
        <v/>
      </c>
      <c r="P39" s="449" t="n"/>
      <c r="Q39" s="1334" t="n"/>
    </row>
    <row r="40" outlineLevel="1" ht="41.4" customHeight="1">
      <c r="A40" s="228">
        <f>'01_Preço'!$A$11</f>
        <v/>
      </c>
      <c r="B40" s="161">
        <f>'01_Preço'!$A$18</f>
        <v/>
      </c>
      <c r="C40" s="161">
        <f>'01_Preço'!$B$18</f>
        <v/>
      </c>
      <c r="D40" s="162">
        <f>'01_Preço'!$E$16</f>
        <v/>
      </c>
      <c r="E40" s="453" t="n">
        <v>33</v>
      </c>
      <c r="F40" s="1343">
        <f>VLOOKUP(E40,'Tabela de mês'!$A$1:$B$70,2,TRUE)</f>
        <v/>
      </c>
      <c r="G40" s="510" t="inlineStr">
        <is>
          <t xml:space="preserve">018-SER </t>
        </is>
      </c>
      <c r="H40" s="161" t="inlineStr">
        <is>
          <t>LCS LINK</t>
        </is>
      </c>
      <c r="I40" s="496" t="inlineStr">
        <is>
          <t>FAT. DIRETO</t>
        </is>
      </c>
      <c r="J40" s="161" t="inlineStr">
        <is>
          <t>7.02</t>
        </is>
      </c>
      <c r="K40" s="161" t="n"/>
      <c r="L40" s="164" t="inlineStr">
        <is>
          <t>Conclusão do Comissionamento estático do SDSC da 1ª UF, integrado aos demais equipamentos e sistemas</t>
        </is>
      </c>
      <c r="M40" s="416">
        <f>O40/$O$39</f>
        <v/>
      </c>
      <c r="N40" s="1344" t="n"/>
      <c r="O40" s="1341" t="n">
        <v>175015.85</v>
      </c>
      <c r="P40" s="453" t="n"/>
      <c r="Q40" s="1341" t="n"/>
    </row>
    <row r="41" outlineLevel="1" ht="41.4" customHeight="1">
      <c r="A41" s="228">
        <f>'01_Preço'!$A$11</f>
        <v/>
      </c>
      <c r="B41" s="161">
        <f>'01_Preço'!$A$18</f>
        <v/>
      </c>
      <c r="C41" s="161">
        <f>'01_Preço'!$B$18</f>
        <v/>
      </c>
      <c r="D41" s="162">
        <f>'01_Preço'!$E$16</f>
        <v/>
      </c>
      <c r="E41" s="453" t="n">
        <v>34</v>
      </c>
      <c r="F41" s="1343">
        <f>VLOOKUP(E41,'Tabela de mês'!$A$1:$B$70,2,TRUE)</f>
        <v/>
      </c>
      <c r="G41" s="510" t="inlineStr">
        <is>
          <t>242-SER</t>
        </is>
      </c>
      <c r="H41" s="161" t="inlineStr">
        <is>
          <t>LCS LINK</t>
        </is>
      </c>
      <c r="I41" s="496" t="inlineStr">
        <is>
          <t>FAT. DIRETO</t>
        </is>
      </c>
      <c r="J41" s="161" t="inlineStr">
        <is>
          <t>7.02</t>
        </is>
      </c>
      <c r="K41" s="161" t="n"/>
      <c r="L41" s="164" t="inlineStr">
        <is>
          <t>Conclusão do Comissionamento dinâmico do SDSC da 1ª UF, integrado aos demais equipamentos e sistemas</t>
        </is>
      </c>
      <c r="M41" s="416">
        <f>O41/$O$39</f>
        <v/>
      </c>
      <c r="N41" s="1344" t="n"/>
      <c r="O41" s="1341" t="n">
        <v>408370.3</v>
      </c>
      <c r="P41" s="453" t="n"/>
      <c r="Q41" s="1341" t="n"/>
    </row>
    <row r="42" outlineLevel="1" ht="41.4" customHeight="1">
      <c r="A42" s="228">
        <f>'01_Preço'!$A$11</f>
        <v/>
      </c>
      <c r="B42" s="161">
        <f>'01_Preço'!$A$18</f>
        <v/>
      </c>
      <c r="C42" s="161">
        <f>'01_Preço'!$B$18</f>
        <v/>
      </c>
      <c r="D42" s="162">
        <f>'01_Preço'!$E$16</f>
        <v/>
      </c>
      <c r="E42" s="453" t="n">
        <v>37</v>
      </c>
      <c r="F42" s="1343">
        <f>VLOOKUP(E42,'Tabela de mês'!$A$1:$B$70,2,TRUE)</f>
        <v/>
      </c>
      <c r="G42" s="510" t="inlineStr">
        <is>
          <t>019-SER A</t>
        </is>
      </c>
      <c r="H42" s="161" t="inlineStr">
        <is>
          <t>LCS LINK</t>
        </is>
      </c>
      <c r="I42" s="496" t="inlineStr">
        <is>
          <t>FAT. DIRETO</t>
        </is>
      </c>
      <c r="J42" s="161" t="inlineStr">
        <is>
          <t>7.02</t>
        </is>
      </c>
      <c r="K42" s="161" t="n"/>
      <c r="L42" s="164" t="inlineStr">
        <is>
          <t>Conclusão do Comissionamento do SDSC da Tomada d'Água Santo Antônio</t>
        </is>
      </c>
      <c r="M42" s="416">
        <f>O42/$O$39</f>
        <v/>
      </c>
      <c r="N42" s="1344" t="n"/>
      <c r="O42" s="1341" t="n">
        <v>25928.27</v>
      </c>
      <c r="P42" s="453" t="n"/>
      <c r="Q42" s="1341" t="n"/>
    </row>
    <row r="43" outlineLevel="1" ht="41.4" customHeight="1">
      <c r="A43" s="228">
        <f>'01_Preço'!$A$11</f>
        <v/>
      </c>
      <c r="B43" s="161">
        <f>'01_Preço'!$A$18</f>
        <v/>
      </c>
      <c r="C43" s="161">
        <f>'01_Preço'!$B$18</f>
        <v/>
      </c>
      <c r="D43" s="162">
        <f>'01_Preço'!$E$16</f>
        <v/>
      </c>
      <c r="E43" s="453" t="n">
        <v>42</v>
      </c>
      <c r="F43" s="1343">
        <f>VLOOKUP(E43,'Tabela de mês'!$A$1:$B$70,2,TRUE)</f>
        <v/>
      </c>
      <c r="G43" s="510" t="inlineStr">
        <is>
          <t>019-SER B</t>
        </is>
      </c>
      <c r="H43" s="161" t="inlineStr">
        <is>
          <t>LCS LINK</t>
        </is>
      </c>
      <c r="I43" s="496" t="inlineStr">
        <is>
          <t>FAT. DIRETO</t>
        </is>
      </c>
      <c r="J43" s="161" t="inlineStr">
        <is>
          <t>7.02</t>
        </is>
      </c>
      <c r="K43" s="161" t="n"/>
      <c r="L43" s="164" t="inlineStr">
        <is>
          <t>Conclusão do Comissionamento do SDSC do Vertedouro Guanhães</t>
        </is>
      </c>
      <c r="M43" s="416">
        <f>O43/$O$39</f>
        <v/>
      </c>
      <c r="N43" s="1344" t="n"/>
      <c r="O43" s="1341" t="n">
        <v>25928.27</v>
      </c>
      <c r="P43" s="453" t="n"/>
      <c r="Q43" s="1341" t="n"/>
    </row>
    <row r="44" outlineLevel="1" ht="41.4" customHeight="1">
      <c r="A44" s="228">
        <f>'01_Preço'!$A$11</f>
        <v/>
      </c>
      <c r="B44" s="161">
        <f>'01_Preço'!$A$18</f>
        <v/>
      </c>
      <c r="C44" s="161">
        <f>'01_Preço'!$B$18</f>
        <v/>
      </c>
      <c r="D44" s="162">
        <f>'01_Preço'!$E$16</f>
        <v/>
      </c>
      <c r="E44" s="453" t="n">
        <v>42</v>
      </c>
      <c r="F44" s="1343">
        <f>VLOOKUP(E44,'Tabela de mês'!$A$1:$B$70,2,TRUE)</f>
        <v/>
      </c>
      <c r="G44" s="510" t="inlineStr">
        <is>
          <t>019-SER C</t>
        </is>
      </c>
      <c r="H44" s="161" t="inlineStr">
        <is>
          <t>LCS LINK</t>
        </is>
      </c>
      <c r="I44" s="496" t="inlineStr">
        <is>
          <t>FAT. DIRETO</t>
        </is>
      </c>
      <c r="J44" s="161" t="inlineStr">
        <is>
          <t>7.02</t>
        </is>
      </c>
      <c r="K44" s="161" t="n"/>
      <c r="L44" s="164" t="inlineStr">
        <is>
          <t>Conclusão do Comissionamento do SDSC dos Vertedouro Santo Antônio</t>
        </is>
      </c>
      <c r="M44" s="416">
        <f>O44/$O$39</f>
        <v/>
      </c>
      <c r="N44" s="1344" t="n"/>
      <c r="O44" s="1341" t="n">
        <v>25928.28</v>
      </c>
      <c r="P44" s="453" t="n"/>
      <c r="Q44" s="1341" t="n"/>
    </row>
    <row r="45" outlineLevel="1" ht="41.4" customHeight="1">
      <c r="A45" s="228">
        <f>'01_Preço'!$A$11</f>
        <v/>
      </c>
      <c r="B45" s="161">
        <f>'01_Preço'!$A$18</f>
        <v/>
      </c>
      <c r="C45" s="161">
        <f>'01_Preço'!$B$18</f>
        <v/>
      </c>
      <c r="D45" s="162">
        <f>'01_Preço'!$E$16</f>
        <v/>
      </c>
      <c r="E45" s="453" t="n">
        <v>44</v>
      </c>
      <c r="F45" s="1343">
        <f>VLOOKUP(E45,'Tabela de mês'!$A$1:$B$70,2,TRUE)</f>
        <v/>
      </c>
      <c r="G45" s="510" t="inlineStr">
        <is>
          <t>020-SER</t>
        </is>
      </c>
      <c r="H45" s="161" t="inlineStr">
        <is>
          <t>LCS LINK</t>
        </is>
      </c>
      <c r="I45" s="496" t="inlineStr">
        <is>
          <t>FAT. DIRETO</t>
        </is>
      </c>
      <c r="J45" s="161" t="inlineStr">
        <is>
          <t>7.02</t>
        </is>
      </c>
      <c r="K45" s="161" t="n"/>
      <c r="L45" s="164" t="inlineStr">
        <is>
          <t>Conclusão do Comissionamento estático do SDSC da 2ª UF, integrado aos demais equipamentos e sistemas</t>
        </is>
      </c>
      <c r="M45" s="416">
        <f>O45/$O$39</f>
        <v/>
      </c>
      <c r="N45" s="1344" t="n"/>
      <c r="O45" s="1341" t="n">
        <v>128344.95</v>
      </c>
      <c r="P45" s="453" t="n"/>
      <c r="Q45" s="1341" t="n"/>
    </row>
    <row r="46" outlineLevel="1" ht="41.4" customHeight="1">
      <c r="A46" s="228">
        <f>'01_Preço'!$A$11</f>
        <v/>
      </c>
      <c r="B46" s="161">
        <f>'01_Preço'!$A$18</f>
        <v/>
      </c>
      <c r="C46" s="161">
        <f>'01_Preço'!$B$18</f>
        <v/>
      </c>
      <c r="D46" s="162">
        <f>'01_Preço'!$E$16</f>
        <v/>
      </c>
      <c r="E46" s="453" t="n">
        <v>45</v>
      </c>
      <c r="F46" s="1343">
        <f>VLOOKUP(E46,'Tabela de mês'!$A$1:$B$70,2,TRUE)</f>
        <v/>
      </c>
      <c r="G46" s="510" t="inlineStr">
        <is>
          <t>243-SER</t>
        </is>
      </c>
      <c r="H46" s="161" t="inlineStr">
        <is>
          <t>LCS LINK</t>
        </is>
      </c>
      <c r="I46" s="496" t="inlineStr">
        <is>
          <t>FAT. DIRETO</t>
        </is>
      </c>
      <c r="J46" s="161" t="inlineStr">
        <is>
          <t>7.02</t>
        </is>
      </c>
      <c r="K46" s="161" t="n"/>
      <c r="L46" s="164" t="inlineStr">
        <is>
          <t>Conclusão do Comissionamento dinâmico do SDSC da 2ª UF, integrado aos demais equipamentos e sistemas</t>
        </is>
      </c>
      <c r="M46" s="416">
        <f>O46/$O$39</f>
        <v/>
      </c>
      <c r="N46" s="1344" t="n"/>
      <c r="O46" s="1341" t="n">
        <v>299471.56</v>
      </c>
      <c r="P46" s="453" t="n"/>
      <c r="Q46" s="1341" t="n"/>
    </row>
    <row r="47" outlineLevel="1" ht="41.4" customHeight="1">
      <c r="A47" s="228">
        <f>'01_Preço'!$A$11</f>
        <v/>
      </c>
      <c r="B47" s="161">
        <f>'01_Preço'!$A$18</f>
        <v/>
      </c>
      <c r="C47" s="161">
        <f>'01_Preço'!$B$18</f>
        <v/>
      </c>
      <c r="D47" s="162">
        <f>'01_Preço'!$E$16</f>
        <v/>
      </c>
      <c r="E47" s="453" t="n">
        <v>56</v>
      </c>
      <c r="F47" s="1343">
        <f>VLOOKUP(E47,'Tabela de mês'!$A$1:$B$70,2,TRUE)</f>
        <v/>
      </c>
      <c r="G47" s="510" t="inlineStr">
        <is>
          <t xml:space="preserve">021-SER </t>
        </is>
      </c>
      <c r="H47" s="161" t="inlineStr">
        <is>
          <t>LCS LINK</t>
        </is>
      </c>
      <c r="I47" s="496" t="inlineStr">
        <is>
          <t>FAT. DIRETO</t>
        </is>
      </c>
      <c r="J47" s="161" t="inlineStr">
        <is>
          <t>7.02</t>
        </is>
      </c>
      <c r="K47" s="161" t="n"/>
      <c r="L47" s="164" t="inlineStr">
        <is>
          <t>Conclusão do Comissionamento estático do SDSC da 3ª UF, integrado aos demais equipamentos e sistemas</t>
        </is>
      </c>
      <c r="M47" s="416">
        <f>O47/$O$39</f>
        <v/>
      </c>
      <c r="N47" s="1344" t="n"/>
      <c r="O47" s="1341" t="n">
        <v>128344.95</v>
      </c>
      <c r="P47" s="453" t="n"/>
      <c r="Q47" s="1341" t="n"/>
    </row>
    <row r="48" outlineLevel="1" ht="41.4" customHeight="1">
      <c r="A48" s="228">
        <f>'01_Preço'!$A$11</f>
        <v/>
      </c>
      <c r="B48" s="161">
        <f>'01_Preço'!$A$18</f>
        <v/>
      </c>
      <c r="C48" s="161">
        <f>'01_Preço'!$B$18</f>
        <v/>
      </c>
      <c r="D48" s="162">
        <f>'01_Preço'!$E$16</f>
        <v/>
      </c>
      <c r="E48" s="453" t="n">
        <v>57</v>
      </c>
      <c r="F48" s="1343">
        <f>VLOOKUP(E48,'Tabela de mês'!$A$1:$B$70,2,TRUE)</f>
        <v/>
      </c>
      <c r="G48" s="510" t="inlineStr">
        <is>
          <t>244-SER</t>
        </is>
      </c>
      <c r="H48" s="161" t="inlineStr">
        <is>
          <t>LCS LINK</t>
        </is>
      </c>
      <c r="I48" s="496" t="inlineStr">
        <is>
          <t>FAT. DIRETO</t>
        </is>
      </c>
      <c r="J48" s="161" t="inlineStr">
        <is>
          <t>7.02</t>
        </is>
      </c>
      <c r="K48" s="161" t="n"/>
      <c r="L48" s="164" t="inlineStr">
        <is>
          <t>Conclusão do Comissionamento dinâmico do SDSC da 3ª UF, integrado aos demais equipamentos e sistemas</t>
        </is>
      </c>
      <c r="M48" s="416">
        <f>O48/$O$39</f>
        <v/>
      </c>
      <c r="N48" s="1344" t="n"/>
      <c r="O48" s="1341" t="n">
        <v>299471.56</v>
      </c>
      <c r="P48" s="453" t="n"/>
      <c r="Q48" s="1341" t="n"/>
    </row>
    <row r="49" outlineLevel="1" ht="41.4" customHeight="1">
      <c r="A49" s="230">
        <f>'01_Preço'!$A$11</f>
        <v/>
      </c>
      <c r="B49" s="161">
        <f>'01_Preço'!$A$18</f>
        <v/>
      </c>
      <c r="C49" s="179">
        <f>'01_Preço'!$B$18</f>
        <v/>
      </c>
      <c r="D49" s="162">
        <f>'01_Preço'!$E$16</f>
        <v/>
      </c>
      <c r="E49" s="453" t="n">
        <v>66</v>
      </c>
      <c r="F49" s="1343">
        <f>VLOOKUP(E49,'Tabela de mês'!$A$1:$B$70,2,TRUE)</f>
        <v/>
      </c>
      <c r="G49" s="510" t="inlineStr">
        <is>
          <t>022-SER</t>
        </is>
      </c>
      <c r="H49" s="161" t="inlineStr">
        <is>
          <t>LCS LINK</t>
        </is>
      </c>
      <c r="I49" s="496" t="inlineStr">
        <is>
          <t>FAT. DIRETO</t>
        </is>
      </c>
      <c r="J49" s="161" t="inlineStr">
        <is>
          <t>7.02</t>
        </is>
      </c>
      <c r="K49" s="161" t="n"/>
      <c r="L49" s="164" t="inlineStr">
        <is>
          <t>Conclusão do Comissionamento estático do SDSC da 4ª UF, SE e Sala de Controle, integrado aos demais equipamentos e sistemas</t>
        </is>
      </c>
      <c r="M49" s="416">
        <f>O49/$O$39</f>
        <v/>
      </c>
      <c r="N49" s="1344" t="n"/>
      <c r="O49" s="1341" t="n">
        <v>128344.95</v>
      </c>
      <c r="P49" s="453" t="n"/>
      <c r="Q49" s="1341" t="n"/>
    </row>
    <row r="50" outlineLevel="1" ht="41.4" customHeight="1">
      <c r="A50" s="230">
        <f>'01_Preço'!$A$11</f>
        <v/>
      </c>
      <c r="B50" s="161">
        <f>'01_Preço'!$A$18</f>
        <v/>
      </c>
      <c r="C50" s="179">
        <f>'01_Preço'!$B$18</f>
        <v/>
      </c>
      <c r="D50" s="162">
        <f>'01_Preço'!$E$16</f>
        <v/>
      </c>
      <c r="E50" s="453" t="n">
        <v>67</v>
      </c>
      <c r="F50" s="1343">
        <f>VLOOKUP(E50,'Tabela de mês'!$A$1:$B$70,2,TRUE)</f>
        <v/>
      </c>
      <c r="G50" s="510" t="inlineStr">
        <is>
          <t>245-SER</t>
        </is>
      </c>
      <c r="H50" s="161" t="inlineStr">
        <is>
          <t>LCS LINK</t>
        </is>
      </c>
      <c r="I50" s="496" t="inlineStr">
        <is>
          <t>FAT. DIRETO</t>
        </is>
      </c>
      <c r="J50" s="161" t="inlineStr">
        <is>
          <t>7.02</t>
        </is>
      </c>
      <c r="K50" s="161" t="n"/>
      <c r="L50" s="164" t="inlineStr">
        <is>
          <t>Conclusão do Comissionamento dinâmico do SDSC da 4ª UF, SE e Sala de Controle, integrado aos demais equipamentos e sistemas</t>
        </is>
      </c>
      <c r="M50" s="416">
        <f>O50/$O$39</f>
        <v/>
      </c>
      <c r="N50" s="1344" t="n"/>
      <c r="O50" s="1341" t="n">
        <v>299471.56</v>
      </c>
      <c r="P50" s="453" t="n"/>
      <c r="Q50" s="1341" t="n"/>
    </row>
    <row r="51" outlineLevel="1" ht="41.4" customHeight="1">
      <c r="A51" s="461">
        <f>'01_Preço'!$A$11</f>
        <v/>
      </c>
      <c r="B51" s="441">
        <f>CONCATENATE('01_Preço'!$A$20)</f>
        <v/>
      </c>
      <c r="C51" s="441">
        <f>'01_Preço'!$B$20</f>
        <v/>
      </c>
      <c r="D51" s="437" t="inlineStr">
        <is>
          <t>Equipamentos e materiais</t>
        </is>
      </c>
      <c r="E51" s="449" t="n"/>
      <c r="F51" s="449" t="n"/>
      <c r="G51" s="441" t="n"/>
      <c r="H51" s="441" t="n"/>
      <c r="I51" s="436" t="n"/>
      <c r="J51" s="436" t="n"/>
      <c r="K51" s="436" t="n"/>
      <c r="L51" s="469">
        <f>CONCATENATE('01_Preço'!$E$20)</f>
        <v/>
      </c>
      <c r="M51" s="439">
        <f>O51/$N$10</f>
        <v/>
      </c>
      <c r="N51" s="1333" t="n"/>
      <c r="O51" s="1346">
        <f>SUM(O52:O55)</f>
        <v/>
      </c>
      <c r="P51" s="552" t="n"/>
      <c r="Q51" s="1334" t="n"/>
    </row>
    <row r="52" outlineLevel="1" ht="41.4" customHeight="1">
      <c r="A52" s="228">
        <f>'01_Preço'!$A$11</f>
        <v/>
      </c>
      <c r="B52" s="413">
        <f>CONCATENATE('01_Preço'!$A$20)</f>
        <v/>
      </c>
      <c r="C52" s="168">
        <f>'01_Preço'!$B$20</f>
        <v/>
      </c>
      <c r="D52" s="162" t="inlineStr">
        <is>
          <t>Equipamentos e materiais</t>
        </is>
      </c>
      <c r="E52" s="453" t="n">
        <v>28</v>
      </c>
      <c r="F52" s="1343">
        <f>VLOOKUP(E52,'Tabela de mês'!$A$1:$B$70,2,TRUE)</f>
        <v/>
      </c>
      <c r="G52" s="510" t="inlineStr">
        <is>
          <t xml:space="preserve">006-MAT </t>
        </is>
      </c>
      <c r="H52" s="161" t="inlineStr">
        <is>
          <t>INSIGHT</t>
        </is>
      </c>
      <c r="I52" s="161" t="inlineStr">
        <is>
          <t>INSIGHT</t>
        </is>
      </c>
      <c r="J52" s="161" t="n"/>
      <c r="K52" s="161" t="n"/>
      <c r="L52" s="164" t="inlineStr">
        <is>
          <t>Entrega completa na obra dos equipamentos e materiais na Usina do SDSC e sincronismo da 1ª UF ( #+UC)</t>
        </is>
      </c>
      <c r="M52" s="416">
        <f>O52/$O$51</f>
        <v/>
      </c>
      <c r="N52" s="1344" t="n"/>
      <c r="O52" s="1342" t="n">
        <v>996595.77</v>
      </c>
      <c r="P52" s="553" t="n">
        <v>22</v>
      </c>
      <c r="Q52" s="1347" t="n">
        <v>818454.51</v>
      </c>
    </row>
    <row r="53" outlineLevel="1" ht="41.4" customHeight="1">
      <c r="A53" s="228">
        <f>'01_Preço'!$A$11</f>
        <v/>
      </c>
      <c r="B53" s="413">
        <f>CONCATENATE('01_Preço'!$A$20)</f>
        <v/>
      </c>
      <c r="C53" s="168">
        <f>'01_Preço'!$B$20</f>
        <v/>
      </c>
      <c r="D53" s="162" t="inlineStr">
        <is>
          <t>Equipamentos e materiais</t>
        </is>
      </c>
      <c r="E53" s="453" t="n">
        <v>38</v>
      </c>
      <c r="F53" s="1343">
        <f>VLOOKUP(E53,'Tabela de mês'!$A$1:$B$70,2,TRUE)</f>
        <v/>
      </c>
      <c r="G53" s="510" t="inlineStr">
        <is>
          <t>008-MAT</t>
        </is>
      </c>
      <c r="H53" s="161" t="inlineStr">
        <is>
          <t>INSIGHT</t>
        </is>
      </c>
      <c r="I53" s="161" t="inlineStr">
        <is>
          <t>INSIGHT</t>
        </is>
      </c>
      <c r="J53" s="161" t="n"/>
      <c r="K53" s="161" t="n"/>
      <c r="L53" s="164" t="inlineStr">
        <is>
          <t>Entrega completa na obra dos equipamentos e materiais na Usina do SDSC e sincronismo da 2ª UF ( #+UC)</t>
        </is>
      </c>
      <c r="M53" s="416">
        <f>O53/$O$51</f>
        <v/>
      </c>
      <c r="N53" s="1344" t="n"/>
      <c r="O53" s="1342" t="n">
        <v>996595.78</v>
      </c>
      <c r="P53" s="553" t="n">
        <v>29</v>
      </c>
      <c r="Q53" s="1347" t="n">
        <v>818454.51</v>
      </c>
    </row>
    <row r="54" outlineLevel="1" ht="41.4" customHeight="1">
      <c r="A54" s="228">
        <f>'01_Preço'!$A$11</f>
        <v/>
      </c>
      <c r="B54" s="413">
        <f>CONCATENATE('01_Preço'!$A$20)</f>
        <v/>
      </c>
      <c r="C54" s="168">
        <f>'01_Preço'!$B$20</f>
        <v/>
      </c>
      <c r="D54" s="162" t="inlineStr">
        <is>
          <t>Equipamentos e materiais</t>
        </is>
      </c>
      <c r="E54" s="453" t="n">
        <v>50</v>
      </c>
      <c r="F54" s="1343">
        <f>VLOOKUP(E54,'Tabela de mês'!$A$1:$B$70,2,TRUE)</f>
        <v/>
      </c>
      <c r="G54" s="510" t="inlineStr">
        <is>
          <t>009-MAT</t>
        </is>
      </c>
      <c r="H54" s="161" t="inlineStr">
        <is>
          <t>INSIGHT</t>
        </is>
      </c>
      <c r="I54" s="161" t="inlineStr">
        <is>
          <t>INSIGHT</t>
        </is>
      </c>
      <c r="J54" s="161" t="n"/>
      <c r="K54" s="161" t="n"/>
      <c r="L54" s="164" t="inlineStr">
        <is>
          <t>Entrega completa na obra dos equipamentos e materiais na Usina do SDSC e sincronismo da 3ª UF ( #+UC)</t>
        </is>
      </c>
      <c r="M54" s="416">
        <f>O54/$O$51</f>
        <v/>
      </c>
      <c r="N54" s="1344" t="n"/>
      <c r="O54" s="1342" t="n">
        <v>996595.78</v>
      </c>
      <c r="P54" s="553" t="n">
        <v>39</v>
      </c>
      <c r="Q54" s="1347" t="n">
        <v>818454.51</v>
      </c>
    </row>
    <row r="55" outlineLevel="1" ht="41.4" customHeight="1">
      <c r="A55" s="228">
        <f>'01_Preço'!$A$11</f>
        <v/>
      </c>
      <c r="B55" s="413">
        <f>CONCATENATE('01_Preço'!$A$20)</f>
        <v/>
      </c>
      <c r="C55" s="168">
        <f>'01_Preço'!$B$20</f>
        <v/>
      </c>
      <c r="D55" s="162" t="inlineStr">
        <is>
          <t>Equipamentos e materiais</t>
        </is>
      </c>
      <c r="E55" s="453" t="n">
        <v>61</v>
      </c>
      <c r="F55" s="1343">
        <f>VLOOKUP(E55,'Tabela de mês'!$A$1:$B$70,2,TRUE)</f>
        <v/>
      </c>
      <c r="G55" s="510" t="inlineStr">
        <is>
          <t>0010-MAT</t>
        </is>
      </c>
      <c r="H55" s="161" t="inlineStr">
        <is>
          <t>INSIGHT</t>
        </is>
      </c>
      <c r="I55" s="161" t="inlineStr">
        <is>
          <t>INSIGHT</t>
        </is>
      </c>
      <c r="J55" s="161" t="n"/>
      <c r="K55" s="161" t="n"/>
      <c r="L55" s="164" t="inlineStr">
        <is>
          <t>Entrega completa na obra dos equipamentos e materiais na Usina do SDSC e sincronismo da 4ª UF ( #+UC)</t>
        </is>
      </c>
      <c r="M55" s="416">
        <f>O55/$O$51</f>
        <v/>
      </c>
      <c r="N55" s="1344" t="n"/>
      <c r="O55" s="1342" t="n">
        <v>996595.78</v>
      </c>
      <c r="P55" s="553" t="n">
        <v>60</v>
      </c>
      <c r="Q55" s="1347" t="n">
        <v>818454.51</v>
      </c>
    </row>
    <row r="56" outlineLevel="1" ht="41.4" customHeight="1">
      <c r="A56" s="461">
        <f>'01_Preço'!$A$11</f>
        <v/>
      </c>
      <c r="B56" s="436">
        <f>'01_Preço'!$A$22</f>
        <v/>
      </c>
      <c r="C56" s="441">
        <f>'01_Preço'!B$22</f>
        <v/>
      </c>
      <c r="D56" s="437" t="inlineStr">
        <is>
          <t>Equipamentos e materiais</t>
        </is>
      </c>
      <c r="E56" s="449" t="n">
        <v>28</v>
      </c>
      <c r="F56" s="1348">
        <f>VLOOKUP(E56,'Tabela de mês'!$A$1:$B$54,2,TRUE)</f>
        <v/>
      </c>
      <c r="G56" s="510" t="inlineStr">
        <is>
          <t>007-MAT A</t>
        </is>
      </c>
      <c r="H56" s="436" t="inlineStr">
        <is>
          <t>INSIGHT</t>
        </is>
      </c>
      <c r="I56" s="436" t="inlineStr">
        <is>
          <t>INSIGHT</t>
        </is>
      </c>
      <c r="J56" s="436" t="n"/>
      <c r="K56" s="436" t="n"/>
      <c r="L56" s="437" t="inlineStr">
        <is>
          <t>Entrega em campo do painel completo (+AUC) para supervisão, comando e controle dos serviços auxiliares elétricos e mecânicos da casa de força e tomada d´água de Santo Antônio</t>
        </is>
      </c>
      <c r="M56" s="439">
        <f>O56/$N$10</f>
        <v/>
      </c>
      <c r="N56" s="1333" t="n"/>
      <c r="O56" s="1349" t="n">
        <v>797753.84</v>
      </c>
      <c r="P56" s="552" t="n">
        <v>22</v>
      </c>
      <c r="Q56" s="1350">
        <f>1136927.23*0.6</f>
        <v/>
      </c>
    </row>
    <row r="57" outlineLevel="1" ht="41.4" customHeight="1">
      <c r="A57" s="461">
        <f>'01_Preço'!$A$11</f>
        <v/>
      </c>
      <c r="B57" s="436">
        <f>'01_Preço'!$A$24</f>
        <v/>
      </c>
      <c r="C57" s="441">
        <f>'01_Preço'!B$24</f>
        <v/>
      </c>
      <c r="D57" s="437" t="inlineStr">
        <is>
          <t>Equipamentos e materiais</t>
        </is>
      </c>
      <c r="E57" s="449" t="n">
        <v>31</v>
      </c>
      <c r="F57" s="1348">
        <f>VLOOKUP(E57,'Tabela de mês'!$A$1:$B$54,2,TRUE)</f>
        <v/>
      </c>
      <c r="G57" s="510" t="inlineStr">
        <is>
          <t>011-MAT A</t>
        </is>
      </c>
      <c r="H57" s="436" t="inlineStr">
        <is>
          <t>INSIGHT</t>
        </is>
      </c>
      <c r="I57" s="436" t="inlineStr">
        <is>
          <t>INSIGHT</t>
        </is>
      </c>
      <c r="J57" s="436" t="n"/>
      <c r="K57" s="436" t="n"/>
      <c r="L57" s="437" t="inlineStr">
        <is>
          <t>Entrega em campo do painel completo (+VUC1) contendo a unidade de aquisição e controle (UAC) para supervisão do nível do reservatório de Santo Antônio</t>
        </is>
      </c>
      <c r="M57" s="439">
        <f>O57/$N$10</f>
        <v/>
      </c>
      <c r="N57" s="1333" t="n"/>
      <c r="O57" s="1349" t="n">
        <v>328307.6</v>
      </c>
      <c r="P57" s="552" t="n">
        <v>22</v>
      </c>
      <c r="Q57" s="1350">
        <f>462726.05*0.6</f>
        <v/>
      </c>
    </row>
    <row r="58" outlineLevel="1" ht="41.4" customHeight="1">
      <c r="A58" s="461">
        <f>'01_Preço'!$A$11</f>
        <v/>
      </c>
      <c r="B58" s="436">
        <f>'01_Preço'!$A$26</f>
        <v/>
      </c>
      <c r="C58" s="441">
        <f>'01_Preço'!B$26</f>
        <v/>
      </c>
      <c r="D58" s="437" t="inlineStr">
        <is>
          <t>Equipamentos e materiais</t>
        </is>
      </c>
      <c r="E58" s="449" t="n">
        <v>36</v>
      </c>
      <c r="F58" s="1348">
        <f>VLOOKUP(E58,'Tabela de mês'!$A$1:$B$54,2,TRUE)</f>
        <v/>
      </c>
      <c r="G58" s="510" t="inlineStr">
        <is>
          <t>011-MAT B</t>
        </is>
      </c>
      <c r="H58" s="436" t="inlineStr">
        <is>
          <t>INSIGHT</t>
        </is>
      </c>
      <c r="I58" s="436" t="inlineStr">
        <is>
          <t>INSIGHT</t>
        </is>
      </c>
      <c r="J58" s="436" t="n"/>
      <c r="K58" s="436" t="n"/>
      <c r="L58" s="437" t="inlineStr">
        <is>
          <t>Entrega em campo do painel completo (+VUC2) contendo a unidade de aquisição e controle (UAC) para supervisão do nível do reservatório de Guanhães</t>
        </is>
      </c>
      <c r="M58" s="439">
        <f>O58/$N$10</f>
        <v/>
      </c>
      <c r="N58" s="1333" t="n"/>
      <c r="O58" s="1349" t="n">
        <v>328307.6</v>
      </c>
      <c r="P58" s="552" t="n">
        <v>22</v>
      </c>
      <c r="Q58" s="1350">
        <f>462726.05*0.6</f>
        <v/>
      </c>
    </row>
    <row r="59" outlineLevel="1" ht="55.2" customHeight="1">
      <c r="A59" s="461">
        <f>'01_Preço'!$A$11</f>
        <v/>
      </c>
      <c r="B59" s="436">
        <f>'01_Preço'!$A$28</f>
        <v/>
      </c>
      <c r="C59" s="441">
        <f>'01_Preço'!B$28</f>
        <v/>
      </c>
      <c r="D59" s="437" t="inlineStr">
        <is>
          <t>Equipamentos e materiais</t>
        </is>
      </c>
      <c r="E59" s="449" t="n">
        <v>36</v>
      </c>
      <c r="F59" s="1348">
        <f>VLOOKUP(E59,'Tabela de mês'!$A$1:$B$54,2,TRUE)</f>
        <v/>
      </c>
      <c r="G59" s="510" t="inlineStr">
        <is>
          <t>011-MAT C</t>
        </is>
      </c>
      <c r="H59" s="436" t="inlineStr">
        <is>
          <t>INSIGHT</t>
        </is>
      </c>
      <c r="I59" s="436" t="inlineStr">
        <is>
          <t>INSIGHT</t>
        </is>
      </c>
      <c r="J59" s="436" t="n"/>
      <c r="K59" s="436" t="n"/>
      <c r="L59" s="437" t="inlineStr">
        <is>
          <t>Entrega em campo do painel completo (+VUC3) contendo a unidade de aquisição e controle (UAC) para supervisão, comando e controle das comportas de tomada d’água Santo Antônio e aquisição de nível dos reservatórios (Santo Antônio e Guanhães)</t>
        </is>
      </c>
      <c r="M59" s="439">
        <f>O59/$N$10</f>
        <v/>
      </c>
      <c r="N59" s="1333" t="n"/>
      <c r="O59" s="1349" t="n">
        <v>328307.6</v>
      </c>
      <c r="P59" s="552" t="n">
        <v>22</v>
      </c>
      <c r="Q59" s="1350">
        <f>462726.05*0.6</f>
        <v/>
      </c>
    </row>
    <row r="60" outlineLevel="1" ht="41.4" customHeight="1">
      <c r="A60" s="461">
        <f>'01_Preço'!$A$11</f>
        <v/>
      </c>
      <c r="B60" s="436">
        <f>'01_Preço'!$A$30</f>
        <v/>
      </c>
      <c r="C60" s="441">
        <f>'01_Preço'!B$30</f>
        <v/>
      </c>
      <c r="D60" s="437" t="inlineStr">
        <is>
          <t>Equipamentos e materiais</t>
        </is>
      </c>
      <c r="E60" s="449" t="n">
        <v>28</v>
      </c>
      <c r="F60" s="1348">
        <f>VLOOKUP(E60,'Tabela de mês'!$A$1:$B$54,2,TRUE)</f>
        <v/>
      </c>
      <c r="G60" s="510" t="inlineStr">
        <is>
          <t>007-MAT B</t>
        </is>
      </c>
      <c r="H60" s="436" t="inlineStr">
        <is>
          <t>INSIGHT</t>
        </is>
      </c>
      <c r="I60" s="436" t="inlineStr">
        <is>
          <t>INSIGHT</t>
        </is>
      </c>
      <c r="J60" s="436" t="n"/>
      <c r="K60" s="436" t="n"/>
      <c r="L60" s="437" t="inlineStr">
        <is>
          <t>Entrega em campo do painel completo (+SUC) contendo a unidade de aquisição e controle (UAC) para a supervisão, comando e controle da subestação Salto Grande</t>
        </is>
      </c>
      <c r="M60" s="439">
        <f>O60/$N$10</f>
        <v/>
      </c>
      <c r="N60" s="1333" t="n"/>
      <c r="O60" s="1349" t="n">
        <v>785598.22</v>
      </c>
      <c r="P60" s="552" t="n">
        <v>22</v>
      </c>
      <c r="Q60" s="1350">
        <f>903711*0.6</f>
        <v/>
      </c>
    </row>
    <row r="61" outlineLevel="1" ht="41.4" customHeight="1">
      <c r="A61" s="461">
        <f>'01_Preço'!$A$11</f>
        <v/>
      </c>
      <c r="B61" s="436">
        <f>'01_Preço'!$A$32</f>
        <v/>
      </c>
      <c r="C61" s="441">
        <f>'01_Preço'!B$32</f>
        <v/>
      </c>
      <c r="D61" s="437" t="inlineStr">
        <is>
          <t>Equipamentos e materiais</t>
        </is>
      </c>
      <c r="E61" s="449" t="n">
        <v>28</v>
      </c>
      <c r="F61" s="1348">
        <f>VLOOKUP(E61,'Tabela de mês'!$A$1:$B$54,2,TRUE)</f>
        <v/>
      </c>
      <c r="G61" s="510" t="inlineStr">
        <is>
          <t>007-MAT C</t>
        </is>
      </c>
      <c r="H61" s="436" t="inlineStr">
        <is>
          <t>INSIGHT</t>
        </is>
      </c>
      <c r="I61" s="436" t="inlineStr">
        <is>
          <t>INSIGHT</t>
        </is>
      </c>
      <c r="J61" s="436" t="n"/>
      <c r="K61" s="436" t="n"/>
      <c r="L61" s="437" t="inlineStr">
        <is>
          <t>Entrega em campo do painel completo contendo o módulo de comunicação (MCO) com o centro de operação, os equipamentos da rede de dados e os equipamentos do sistema de sincronismo de tempo - GPS</t>
        </is>
      </c>
      <c r="M61" s="439">
        <f>O61/$N$10</f>
        <v/>
      </c>
      <c r="N61" s="1333" t="n"/>
      <c r="O61" s="1349" t="n">
        <v>485003.49</v>
      </c>
      <c r="P61" s="552" t="n">
        <v>22</v>
      </c>
      <c r="Q61" s="1350" t="n">
        <v>350000</v>
      </c>
    </row>
    <row r="62" outlineLevel="1" ht="41.4" customHeight="1">
      <c r="A62" s="461">
        <f>'01_Preço'!$A$11</f>
        <v/>
      </c>
      <c r="B62" s="436">
        <f>'01_Preço'!$A$34</f>
        <v/>
      </c>
      <c r="C62" s="441">
        <f>'01_Preço'!B$20</f>
        <v/>
      </c>
      <c r="D62" s="437" t="inlineStr">
        <is>
          <t>Equipamentos e materiais</t>
        </is>
      </c>
      <c r="E62" s="449" t="n">
        <v>54</v>
      </c>
      <c r="F62" s="1348">
        <f>VLOOKUP(E62,'Tabela de mês'!$A$1:$B$54,2,TRUE)</f>
        <v/>
      </c>
      <c r="G62" s="510" t="inlineStr">
        <is>
          <t>012-MAT A</t>
        </is>
      </c>
      <c r="H62" s="436" t="inlineStr">
        <is>
          <t>INSIGHT</t>
        </is>
      </c>
      <c r="I62" s="436" t="inlineStr">
        <is>
          <t>INSIGHT</t>
        </is>
      </c>
      <c r="J62" s="436" t="n"/>
      <c r="K62" s="436" t="n"/>
      <c r="L62" s="437" t="inlineStr">
        <is>
          <t>Entrega em campo do mobiliário completo para o Sistema Digital de Supervisão e Controle</t>
        </is>
      </c>
      <c r="M62" s="439">
        <f>O62/$N$10</f>
        <v/>
      </c>
      <c r="N62" s="1333" t="n"/>
      <c r="O62" s="1349" t="n">
        <v>41647.43</v>
      </c>
      <c r="P62" s="552" t="n">
        <v>40</v>
      </c>
      <c r="Q62" s="1334" t="n">
        <v>20000</v>
      </c>
    </row>
    <row r="63" outlineLevel="1" ht="41.4" customHeight="1">
      <c r="A63" s="461">
        <f>'01_Preço'!$A$11</f>
        <v/>
      </c>
      <c r="B63" s="436">
        <f>'01_Preço'!$A$36</f>
        <v/>
      </c>
      <c r="C63" s="441">
        <f>'01_Preço'!B$20</f>
        <v/>
      </c>
      <c r="D63" s="437" t="inlineStr">
        <is>
          <t>Equipamentos e materiais</t>
        </is>
      </c>
      <c r="E63" s="449" t="n">
        <v>32</v>
      </c>
      <c r="F63" s="1348">
        <f>VLOOKUP(E63,'Tabela de mês'!$A$1:$B$54,2,TRUE)</f>
        <v/>
      </c>
      <c r="G63" s="510" t="inlineStr">
        <is>
          <t>012-MAT B</t>
        </is>
      </c>
      <c r="H63" s="436" t="inlineStr">
        <is>
          <t>INSIGHT</t>
        </is>
      </c>
      <c r="I63" s="436" t="inlineStr">
        <is>
          <t>INSIGHT</t>
        </is>
      </c>
      <c r="J63" s="436" t="n"/>
      <c r="K63" s="436" t="n"/>
      <c r="L63" s="437" t="inlineStr">
        <is>
          <t>Entrega em campo da estação de operação (EOP), Módulos de configuração e desenvolvimento (MCD) e impressora multifuncional</t>
        </is>
      </c>
      <c r="M63" s="439">
        <f>O63/$N$10</f>
        <v/>
      </c>
      <c r="N63" s="1333" t="n"/>
      <c r="O63" s="1349" t="n">
        <v>113080.49</v>
      </c>
      <c r="P63" s="552" t="n">
        <v>43</v>
      </c>
      <c r="Q63" s="1334" t="n">
        <v>20000</v>
      </c>
    </row>
    <row r="64" outlineLevel="1" ht="41.4" customHeight="1">
      <c r="A64" s="461">
        <f>'01_Preço'!$A$11</f>
        <v/>
      </c>
      <c r="B64" s="436">
        <f>'01_Preço'!$A$38</f>
        <v/>
      </c>
      <c r="C64" s="441">
        <f>'01_Preço'!B$20</f>
        <v/>
      </c>
      <c r="D64" s="437" t="inlineStr">
        <is>
          <t>Equipamentos e materiais</t>
        </is>
      </c>
      <c r="E64" s="449" t="n">
        <v>32</v>
      </c>
      <c r="F64" s="1348">
        <f>VLOOKUP(E64,'Tabela de mês'!$A$1:$B$54,2,TRUE)</f>
        <v/>
      </c>
      <c r="G64" s="510" t="inlineStr">
        <is>
          <t>237-MAT</t>
        </is>
      </c>
      <c r="H64" s="436" t="inlineStr">
        <is>
          <t>INSIGHT</t>
        </is>
      </c>
      <c r="I64" s="436" t="inlineStr">
        <is>
          <t>INSIGHT</t>
        </is>
      </c>
      <c r="J64" s="436" t="n"/>
      <c r="K64" s="436" t="n"/>
      <c r="L64" s="437" t="inlineStr">
        <is>
          <t>Fornecimento das cópias e licenças dos diversos softwares, para o funcionamento integral, operação, visualização, configuração e manutenção do Sistema Digital de Supervisão e Controle</t>
        </is>
      </c>
      <c r="M64" s="439">
        <f>O64/$N$10</f>
        <v/>
      </c>
      <c r="N64" s="1333" t="n"/>
      <c r="O64" s="1349" t="n">
        <v>218550.51</v>
      </c>
      <c r="P64" s="552" t="n">
        <v>43</v>
      </c>
      <c r="Q64" s="1334" t="n">
        <v>400000</v>
      </c>
    </row>
    <row r="65" outlineLevel="1" ht="42" customHeight="1" thickBot="1">
      <c r="A65" s="461">
        <f>'01_Preço'!$A$11</f>
        <v/>
      </c>
      <c r="B65" s="436">
        <f>'01_Preço'!$A$40</f>
        <v/>
      </c>
      <c r="C65" s="441">
        <f>'01_Preço'!B$20</f>
        <v/>
      </c>
      <c r="D65" s="437" t="inlineStr">
        <is>
          <t>Equipamentos e materiais</t>
        </is>
      </c>
      <c r="E65" s="449" t="n">
        <v>28</v>
      </c>
      <c r="F65" s="1348">
        <f>VLOOKUP(E65,'Tabela de mês'!$A$1:$B$54,2,TRUE)</f>
        <v/>
      </c>
      <c r="G65" s="510" t="inlineStr">
        <is>
          <t>012-MAT C</t>
        </is>
      </c>
      <c r="H65" s="436" t="inlineStr">
        <is>
          <t>INSIGHT</t>
        </is>
      </c>
      <c r="I65" s="436" t="inlineStr">
        <is>
          <t>INSIGHT</t>
        </is>
      </c>
      <c r="J65" s="436" t="n"/>
      <c r="K65" s="436" t="n"/>
      <c r="L65" s="437" t="inlineStr">
        <is>
          <t xml:space="preserve">Entrega em campo do sistema de energia para alimentação ininterrupta em 220Vca  </t>
        </is>
      </c>
      <c r="M65" s="439">
        <f>O65/$N$10</f>
        <v/>
      </c>
      <c r="N65" s="1333" t="n"/>
      <c r="O65" s="1349" t="n">
        <v>39367.8</v>
      </c>
      <c r="P65" s="552" t="n">
        <v>40</v>
      </c>
      <c r="Q65" s="1334" t="n">
        <v>30000</v>
      </c>
    </row>
    <row r="66" ht="16.2" customHeight="1" thickBot="1">
      <c r="A66" s="1332" t="inlineStr">
        <is>
          <t>2.02 - Sistema de Proteção</t>
        </is>
      </c>
      <c r="B66" s="1139" t="n"/>
      <c r="C66" s="1139" t="n"/>
      <c r="D66" s="1139" t="n"/>
      <c r="E66" s="1139" t="n"/>
      <c r="F66" s="1139" t="n"/>
      <c r="G66" s="1139" t="n"/>
      <c r="H66" s="1139" t="n"/>
      <c r="I66" s="1139" t="n"/>
      <c r="J66" s="1139" t="n"/>
      <c r="K66" s="1139" t="n"/>
      <c r="L66" s="1139" t="n"/>
      <c r="M66" s="1140" t="n"/>
      <c r="N66" s="1332">
        <f>SUM(O67,O76,O81,O86,O95,O100,O101,O106,O107,O108)</f>
        <v/>
      </c>
      <c r="O66" s="1351" t="n"/>
      <c r="P66" s="1352" t="n"/>
      <c r="Q66" s="1332" t="n"/>
    </row>
    <row r="67" outlineLevel="1" ht="14.4" customHeight="1">
      <c r="A67" s="676">
        <f>'01_Preço'!$A$42</f>
        <v/>
      </c>
      <c r="B67" s="487">
        <f>'01_Preço'!A43</f>
        <v/>
      </c>
      <c r="C67" s="683">
        <f>'01_Preço'!B$43</f>
        <v/>
      </c>
      <c r="D67" s="475" t="inlineStr">
        <is>
          <t>Equipamentos e materiais</t>
        </is>
      </c>
      <c r="E67" s="479" t="n"/>
      <c r="F67" s="479" t="n"/>
      <c r="G67" s="683" t="n"/>
      <c r="H67" s="487" t="n"/>
      <c r="I67" s="487" t="n"/>
      <c r="J67" s="487" t="n"/>
      <c r="K67" s="487" t="n"/>
      <c r="L67" s="475">
        <f>'01_Preço'!E43</f>
        <v/>
      </c>
      <c r="M67" s="711">
        <f>O67/$N$66</f>
        <v/>
      </c>
      <c r="N67" s="1353" t="n"/>
      <c r="O67" s="1354">
        <f>SUM(O68:O75)</f>
        <v/>
      </c>
      <c r="P67" s="552" t="n"/>
      <c r="Q67" s="1334" t="n"/>
    </row>
    <row r="68" outlineLevel="1" ht="40.5" customFormat="1" customHeight="1" s="166">
      <c r="A68" s="393">
        <f>'01_Preço'!$A$42</f>
        <v/>
      </c>
      <c r="B68" s="389">
        <f>'01_Preço'!A43</f>
        <v/>
      </c>
      <c r="C68" s="389">
        <f>'01_Preço'!B$43</f>
        <v/>
      </c>
      <c r="D68" s="423">
        <f>'01_Preço'!E43</f>
        <v/>
      </c>
      <c r="E68" s="450" t="n">
        <v>16</v>
      </c>
      <c r="F68" s="1339">
        <f>VLOOKUP(E68,'Tabela de mês'!$A$1:$B$70,2,TRUE)</f>
        <v/>
      </c>
      <c r="G68" s="511" t="inlineStr">
        <is>
          <t>023-SER</t>
        </is>
      </c>
      <c r="H68" s="389" t="inlineStr">
        <is>
          <t>ERZEG</t>
        </is>
      </c>
      <c r="I68" s="389" t="inlineStr">
        <is>
          <t>INSIGHT</t>
        </is>
      </c>
      <c r="J68" s="389" t="inlineStr">
        <is>
          <t>7.01</t>
        </is>
      </c>
      <c r="K68" s="389" t="n"/>
      <c r="L68" s="423" t="inlineStr">
        <is>
          <t>Aprovação do Plano de Emissão de Documentos do Sistema de Proteção</t>
        </is>
      </c>
      <c r="M68" s="391">
        <f>O68/$O$67</f>
        <v/>
      </c>
      <c r="N68" s="1340" t="n"/>
      <c r="O68" s="1340" t="n">
        <v>16569.98</v>
      </c>
      <c r="P68" s="553" t="n"/>
      <c r="Q68" s="1338" t="n"/>
      <c r="S68" s="662" t="inlineStr">
        <is>
          <t>SIM</t>
        </is>
      </c>
    </row>
    <row r="69" outlineLevel="1" ht="14.4" customFormat="1" customHeight="1" s="166">
      <c r="A69" s="414">
        <f>'01_Preço'!$A$42</f>
        <v/>
      </c>
      <c r="B69" s="389">
        <f>'01_Preço'!A43</f>
        <v/>
      </c>
      <c r="C69" s="389">
        <f>'01_Preço'!B$43</f>
        <v/>
      </c>
      <c r="D69" s="423">
        <f>'01_Preço'!E43</f>
        <v/>
      </c>
      <c r="E69" s="730" t="n">
        <v>22</v>
      </c>
      <c r="F69" s="1339">
        <f>VLOOKUP(E69,'Tabela de mês'!$A$1:$B$70,2,TRUE)</f>
        <v/>
      </c>
      <c r="G69" s="510" t="inlineStr">
        <is>
          <t>024-SER</t>
        </is>
      </c>
      <c r="H69" s="389" t="inlineStr">
        <is>
          <t>ERZEG</t>
        </is>
      </c>
      <c r="I69" s="389" t="inlineStr">
        <is>
          <t>INSIGHT</t>
        </is>
      </c>
      <c r="J69" s="389" t="inlineStr">
        <is>
          <t>7.01</t>
        </is>
      </c>
      <c r="K69" s="389" t="n"/>
      <c r="L69" s="423" t="inlineStr">
        <is>
          <t>Aprovação do Diagrama Unifilar de Proteção e Medição</t>
        </is>
      </c>
      <c r="M69" s="391">
        <f>O69/$O$67</f>
        <v/>
      </c>
      <c r="N69" s="1340" t="n"/>
      <c r="O69" s="1340" t="n">
        <v>49709.94</v>
      </c>
      <c r="P69" s="553" t="n"/>
      <c r="Q69" s="1338" t="n"/>
    </row>
    <row r="70" outlineLevel="1" ht="14.4" customFormat="1" customHeight="1" s="166">
      <c r="A70" s="414">
        <f>'01_Preço'!$A$42</f>
        <v/>
      </c>
      <c r="B70" s="389">
        <f>'01_Preço'!A43</f>
        <v/>
      </c>
      <c r="C70" s="389">
        <f>'01_Preço'!B$43</f>
        <v/>
      </c>
      <c r="D70" s="423">
        <f>'01_Preço'!E43</f>
        <v/>
      </c>
      <c r="E70" s="730" t="n">
        <v>22</v>
      </c>
      <c r="F70" s="1339">
        <f>VLOOKUP(E70,'Tabela de mês'!$A$1:$B$70,2,TRUE)</f>
        <v/>
      </c>
      <c r="G70" s="510" t="inlineStr">
        <is>
          <t>025-SER</t>
        </is>
      </c>
      <c r="H70" s="389" t="inlineStr">
        <is>
          <t>ERZEG</t>
        </is>
      </c>
      <c r="I70" s="389" t="inlineStr">
        <is>
          <t>INSIGHT</t>
        </is>
      </c>
      <c r="J70" s="389" t="inlineStr">
        <is>
          <t>7.01</t>
        </is>
      </c>
      <c r="K70" s="389" t="n"/>
      <c r="L70" s="423" t="inlineStr">
        <is>
          <t>Aprovação da Memória de Cálculo e Dimensionamento do Sistema de Proteção</t>
        </is>
      </c>
      <c r="M70" s="391">
        <f>O70/$O$67</f>
        <v/>
      </c>
      <c r="N70" s="1340" t="n"/>
      <c r="O70" s="1340" t="n">
        <v>149129.85</v>
      </c>
      <c r="P70" s="553" t="n">
        <v>22</v>
      </c>
      <c r="Q70" s="1338" t="n">
        <v>31920</v>
      </c>
    </row>
    <row r="71" outlineLevel="1" ht="27.6" customFormat="1" customHeight="1" s="166">
      <c r="A71" s="414">
        <f>'01_Preço'!$A$42</f>
        <v/>
      </c>
      <c r="B71" s="389">
        <f>'01_Preço'!A43</f>
        <v/>
      </c>
      <c r="C71" s="389">
        <f>'01_Preço'!B$43</f>
        <v/>
      </c>
      <c r="D71" s="423">
        <f>'01_Preço'!E43</f>
        <v/>
      </c>
      <c r="E71" s="730" t="n">
        <v>24</v>
      </c>
      <c r="F71" s="1339">
        <f>VLOOKUP(E71,'Tabela de mês'!$A$1:$B$70,2,TRUE)</f>
        <v/>
      </c>
      <c r="G71" s="510" t="inlineStr">
        <is>
          <t>026-SER A</t>
        </is>
      </c>
      <c r="H71" s="389" t="inlineStr">
        <is>
          <t>ERZEG</t>
        </is>
      </c>
      <c r="I71" s="389" t="inlineStr">
        <is>
          <t>INSIGHT</t>
        </is>
      </c>
      <c r="J71" s="389" t="inlineStr">
        <is>
          <t>7.01</t>
        </is>
      </c>
      <c r="K71" s="389" t="n"/>
      <c r="L71" s="342" t="inlineStr">
        <is>
          <t>Aprovação completa dos Documentos do Projeto Executivo e de Fabricação do Sistema de Proteção 1ª UF e RDP</t>
        </is>
      </c>
      <c r="M71" s="391">
        <f>O71/$O$67</f>
        <v/>
      </c>
      <c r="N71" s="1340" t="n"/>
      <c r="O71" s="1340" t="n">
        <v>161557.35</v>
      </c>
      <c r="P71" s="553" t="n">
        <v>22</v>
      </c>
      <c r="Q71" s="1338">
        <f>233810/4</f>
        <v/>
      </c>
    </row>
    <row r="72" outlineLevel="1" ht="27.6" customFormat="1" customHeight="1" s="166">
      <c r="A72" s="414">
        <f>'01_Preço'!$A$42</f>
        <v/>
      </c>
      <c r="B72" s="163">
        <f>'01_Preço'!A43</f>
        <v/>
      </c>
      <c r="C72" s="389">
        <f>'01_Preço'!B$43</f>
        <v/>
      </c>
      <c r="D72" s="167">
        <f>'01_Preço'!E43</f>
        <v/>
      </c>
      <c r="E72" s="730" t="n">
        <v>35</v>
      </c>
      <c r="F72" s="1339">
        <f>VLOOKUP(E72,'Tabela de mês'!$A$1:$B$70,2,TRUE)</f>
        <v/>
      </c>
      <c r="G72" s="510" t="inlineStr">
        <is>
          <t>026-SER B</t>
        </is>
      </c>
      <c r="H72" s="389" t="inlineStr">
        <is>
          <t>ERZEG</t>
        </is>
      </c>
      <c r="I72" s="389" t="inlineStr">
        <is>
          <t>INSIGHT</t>
        </is>
      </c>
      <c r="J72" s="389" t="inlineStr">
        <is>
          <t>7.01</t>
        </is>
      </c>
      <c r="K72" s="389" t="n"/>
      <c r="L72" s="165" t="inlineStr">
        <is>
          <t>Aprovação completa dos Documentos do Projeto Executivo e de Fabricação do Sistema de Proteção 2ª UF</t>
        </is>
      </c>
      <c r="M72" s="391">
        <f>O72/$O$67</f>
        <v/>
      </c>
      <c r="N72" s="1342" t="n"/>
      <c r="O72" s="1340" t="n">
        <v>161557.35</v>
      </c>
      <c r="P72" s="553" t="n">
        <v>31</v>
      </c>
      <c r="Q72" s="1338">
        <f>233810/4</f>
        <v/>
      </c>
    </row>
    <row r="73" outlineLevel="1" ht="27.6" customFormat="1" customHeight="1" s="166">
      <c r="A73" s="414">
        <f>'01_Preço'!$A$42</f>
        <v/>
      </c>
      <c r="B73" s="163">
        <f>'01_Preço'!A43</f>
        <v/>
      </c>
      <c r="C73" s="389">
        <f>'01_Preço'!B$43</f>
        <v/>
      </c>
      <c r="D73" s="167">
        <f>'01_Preço'!E43</f>
        <v/>
      </c>
      <c r="E73" s="730" t="n">
        <v>48</v>
      </c>
      <c r="F73" s="1339">
        <f>VLOOKUP(E73,'Tabela de mês'!$A$1:$B$70,2,TRUE)</f>
        <v/>
      </c>
      <c r="G73" s="510" t="inlineStr">
        <is>
          <t>026-SER C</t>
        </is>
      </c>
      <c r="H73" s="389" t="inlineStr">
        <is>
          <t>ERZEG</t>
        </is>
      </c>
      <c r="I73" s="389" t="inlineStr">
        <is>
          <t>INSIGHT</t>
        </is>
      </c>
      <c r="J73" s="389" t="inlineStr">
        <is>
          <t>7.01</t>
        </is>
      </c>
      <c r="K73" s="389" t="n"/>
      <c r="L73" s="165" t="inlineStr">
        <is>
          <t>Aprovação completa dos Documentos do Projeto Executivo e de Fabricação do Sistema de Proteção 3ª UF</t>
        </is>
      </c>
      <c r="M73" s="391">
        <f>O73/$O$67</f>
        <v/>
      </c>
      <c r="N73" s="1342" t="n"/>
      <c r="O73" s="1340" t="n">
        <v>161557.35</v>
      </c>
      <c r="P73" s="553" t="n">
        <v>43</v>
      </c>
      <c r="Q73" s="1338">
        <f>233810/4</f>
        <v/>
      </c>
    </row>
    <row r="74" outlineLevel="1" ht="27.6" customFormat="1" customHeight="1" s="166">
      <c r="A74" s="228">
        <f>'01_Preço'!$A$42</f>
        <v/>
      </c>
      <c r="B74" s="163">
        <f>'01_Preço'!A43</f>
        <v/>
      </c>
      <c r="C74" s="417">
        <f>'01_Preço'!B$43</f>
        <v/>
      </c>
      <c r="D74" s="162">
        <f>'01_Preço'!E43</f>
        <v/>
      </c>
      <c r="E74" s="453" t="n">
        <v>59</v>
      </c>
      <c r="F74" s="1343">
        <f>VLOOKUP(E74,'Tabela de mês'!$A$1:$B$70,2,TRUE)</f>
        <v/>
      </c>
      <c r="G74" s="520" t="inlineStr">
        <is>
          <t>026-SER D</t>
        </is>
      </c>
      <c r="H74" s="417" t="inlineStr">
        <is>
          <t>ERZEG</t>
        </is>
      </c>
      <c r="I74" s="417" t="inlineStr">
        <is>
          <t>INSIGHT</t>
        </is>
      </c>
      <c r="J74" s="417" t="inlineStr">
        <is>
          <t>7.01</t>
        </is>
      </c>
      <c r="K74" s="417" t="n"/>
      <c r="L74" s="164" t="inlineStr">
        <is>
          <t>Aprovação completa dos Documentos do Projeto Executivo e de Fabricação do Sistema de Proteção 4ª UF</t>
        </is>
      </c>
      <c r="M74" s="416">
        <f>O74/$O$67</f>
        <v/>
      </c>
      <c r="N74" s="1344" t="n"/>
      <c r="O74" s="1355" t="n">
        <v>161557.35</v>
      </c>
      <c r="P74" s="553" t="n">
        <v>53</v>
      </c>
      <c r="Q74" s="1338">
        <f>233810/4</f>
        <v/>
      </c>
    </row>
    <row r="75" outlineLevel="1" ht="14.4" customFormat="1" customHeight="1" s="166">
      <c r="A75" s="228" t="inlineStr">
        <is>
          <t>2.02 - Sistema de Proteção</t>
        </is>
      </c>
      <c r="B75" s="163">
        <f>'01_Preço'!A43</f>
        <v/>
      </c>
      <c r="C75" s="417">
        <f>'01_Preço'!B$43</f>
        <v/>
      </c>
      <c r="D75" s="162">
        <f>'01_Preço'!E43</f>
        <v/>
      </c>
      <c r="E75" s="453" t="n">
        <v>65</v>
      </c>
      <c r="F75" s="1343">
        <f>VLOOKUP(E75,'Tabela de mês'!$A$1:$B$70,2,TRUE)</f>
        <v/>
      </c>
      <c r="G75" s="513" t="inlineStr">
        <is>
          <t>027-SER</t>
        </is>
      </c>
      <c r="H75" s="417" t="inlineStr">
        <is>
          <t>ERZEG</t>
        </is>
      </c>
      <c r="I75" s="161" t="inlineStr">
        <is>
          <t>INSIGHT</t>
        </is>
      </c>
      <c r="J75" s="417" t="inlineStr">
        <is>
          <t>7.01</t>
        </is>
      </c>
      <c r="K75" s="417" t="n"/>
      <c r="L75" s="422" t="inlineStr">
        <is>
          <t>Aprovação da versão conforme construído do Projeto do Sistema de Proteção</t>
        </is>
      </c>
      <c r="M75" s="416">
        <f>O75/$O$67</f>
        <v/>
      </c>
      <c r="N75" s="1342" t="n"/>
      <c r="O75" s="1355" t="n">
        <v>33139.97</v>
      </c>
      <c r="P75" s="553" t="n"/>
      <c r="Q75" s="1338" t="n"/>
    </row>
    <row r="76" outlineLevel="1" ht="27.6" customHeight="1">
      <c r="A76" s="461">
        <f>'01_Preço'!$A$42</f>
        <v/>
      </c>
      <c r="B76" s="436">
        <f>'01_Preço'!$A$45</f>
        <v/>
      </c>
      <c r="C76" s="441">
        <f>'01_Preço'!B$45</f>
        <v/>
      </c>
      <c r="D76" s="437" t="inlineStr">
        <is>
          <t>Desmontagem e montagem eletromecânica completa</t>
        </is>
      </c>
      <c r="E76" s="449" t="n"/>
      <c r="F76" s="449" t="n"/>
      <c r="G76" s="441" t="n"/>
      <c r="H76" s="436" t="n"/>
      <c r="I76" s="436" t="n"/>
      <c r="J76" s="436" t="n"/>
      <c r="K76" s="436" t="n"/>
      <c r="L76" s="437">
        <f>'01_Preço'!E45</f>
        <v/>
      </c>
      <c r="M76" s="439">
        <f>O76/$N$66</f>
        <v/>
      </c>
      <c r="N76" s="1333" t="n"/>
      <c r="O76" s="1349">
        <f>SUM(O77:O80)</f>
        <v/>
      </c>
      <c r="P76" s="552" t="n"/>
      <c r="Q76" s="1334" t="n"/>
    </row>
    <row r="77" outlineLevel="1" ht="27.6" customFormat="1" customHeight="1" s="166">
      <c r="A77" s="228">
        <f>'01_Preço'!$A$42</f>
        <v/>
      </c>
      <c r="B77" s="163">
        <f>'01_Preço'!$A$45</f>
        <v/>
      </c>
      <c r="C77" s="163">
        <f>'01_Preço'!B$45</f>
        <v/>
      </c>
      <c r="D77" s="167" t="inlineStr">
        <is>
          <t>Desmontagem e montagem eletromecânica completa</t>
        </is>
      </c>
      <c r="E77" s="453" t="n">
        <v>27</v>
      </c>
      <c r="F77" s="1343">
        <f>VLOOKUP(E77,'Tabela de mês'!$A$1:$B$70,2,TRUE)</f>
        <v/>
      </c>
      <c r="G77" s="520" t="inlineStr">
        <is>
          <t>034-SER A</t>
        </is>
      </c>
      <c r="H77" s="161" t="inlineStr">
        <is>
          <t>INSIGHT</t>
        </is>
      </c>
      <c r="I77" s="161" t="inlineStr">
        <is>
          <t>INSIGHT</t>
        </is>
      </c>
      <c r="J77" s="161" t="inlineStr">
        <is>
          <t>7.02</t>
        </is>
      </c>
      <c r="K77" s="161" t="n"/>
      <c r="L77" s="164" t="inlineStr">
        <is>
          <t>Conclusão da desmontagem de todos equipamentos e componentes do Sistema de Proteção da 1ª UF, integrado aos demais equipamentos e sistemas</t>
        </is>
      </c>
      <c r="M77" s="416">
        <f>O77/$O$76</f>
        <v/>
      </c>
      <c r="N77" s="1344" t="n"/>
      <c r="O77" s="1355" t="n">
        <v>316894.58</v>
      </c>
      <c r="P77" s="553" t="n"/>
      <c r="Q77" s="1338" t="n"/>
    </row>
    <row r="78" outlineLevel="1" ht="27.6" customFormat="1" customHeight="1" s="166">
      <c r="A78" s="228">
        <f>'01_Preço'!$A$42</f>
        <v/>
      </c>
      <c r="B78" s="163">
        <f>'01_Preço'!$A$45</f>
        <v/>
      </c>
      <c r="C78" s="163">
        <f>'01_Preço'!B$45</f>
        <v/>
      </c>
      <c r="D78" s="167" t="inlineStr">
        <is>
          <t>Desmontagem e montagem eletromecânica completa</t>
        </is>
      </c>
      <c r="E78" s="453" t="n">
        <v>39</v>
      </c>
      <c r="F78" s="1343">
        <f>VLOOKUP(E78,'Tabela de mês'!$A$1:$B$70,2,TRUE)</f>
        <v/>
      </c>
      <c r="G78" s="520" t="inlineStr">
        <is>
          <t>035-SER A</t>
        </is>
      </c>
      <c r="H78" s="161" t="inlineStr">
        <is>
          <t>INSIGHT</t>
        </is>
      </c>
      <c r="I78" s="161" t="inlineStr">
        <is>
          <t>INSIGHT</t>
        </is>
      </c>
      <c r="J78" s="161" t="inlineStr">
        <is>
          <t>7.02</t>
        </is>
      </c>
      <c r="K78" s="161" t="n"/>
      <c r="L78" s="164" t="inlineStr">
        <is>
          <t>Conclusão da desmontagem de todos equipamentos e componentes do Sistema de Proteção da 2ª UF, integrado aos demais equipamentos e sistemas</t>
        </is>
      </c>
      <c r="M78" s="416">
        <f>O78/$O$76</f>
        <v/>
      </c>
      <c r="N78" s="1344" t="n"/>
      <c r="O78" s="1355" t="n">
        <v>316894.58</v>
      </c>
      <c r="P78" s="553" t="n"/>
      <c r="Q78" s="1338" t="n"/>
    </row>
    <row r="79" outlineLevel="1" ht="27.6" customFormat="1" customHeight="1" s="166">
      <c r="A79" s="228">
        <f>'01_Preço'!$A$42</f>
        <v/>
      </c>
      <c r="B79" s="163">
        <f>'01_Preço'!$A$45</f>
        <v/>
      </c>
      <c r="C79" s="163">
        <f>'01_Preço'!B$45</f>
        <v/>
      </c>
      <c r="D79" s="167" t="inlineStr">
        <is>
          <t>Desmontagem e montagem eletromecânica completa</t>
        </is>
      </c>
      <c r="E79" s="453" t="n">
        <v>51</v>
      </c>
      <c r="F79" s="1343">
        <f>VLOOKUP(E79,'Tabela de mês'!$A$1:$B$70,2,TRUE)</f>
        <v/>
      </c>
      <c r="G79" s="510" t="inlineStr">
        <is>
          <t>036-SER A</t>
        </is>
      </c>
      <c r="H79" s="161" t="inlineStr">
        <is>
          <t>INSIGHT</t>
        </is>
      </c>
      <c r="I79" s="161" t="inlineStr">
        <is>
          <t>INSIGHT</t>
        </is>
      </c>
      <c r="J79" s="161" t="inlineStr">
        <is>
          <t>7.02</t>
        </is>
      </c>
      <c r="K79" s="161" t="n"/>
      <c r="L79" s="164" t="inlineStr">
        <is>
          <t>Conclusão da desmontagem de todos equipamentos e componentes do Sistema de Proteção da 3ª UF, integrado aos demais equipamentos e sistemas</t>
        </is>
      </c>
      <c r="M79" s="416">
        <f>O79/$O$76</f>
        <v/>
      </c>
      <c r="N79" s="1344" t="n"/>
      <c r="O79" s="1355" t="n">
        <v>316894.58</v>
      </c>
      <c r="P79" s="553" t="n"/>
      <c r="Q79" s="1338" t="n"/>
    </row>
    <row r="80" outlineLevel="1" ht="27.6" customFormat="1" customHeight="1" s="166">
      <c r="A80" s="228">
        <f>'01_Preço'!$A$42</f>
        <v/>
      </c>
      <c r="B80" s="163">
        <f>'01_Preço'!$A$45</f>
        <v/>
      </c>
      <c r="C80" s="163">
        <f>'01_Preço'!B$45</f>
        <v/>
      </c>
      <c r="D80" s="167" t="inlineStr">
        <is>
          <t>Desmontagem e montagem eletromecânica completa</t>
        </is>
      </c>
      <c r="E80" s="453" t="n">
        <v>61</v>
      </c>
      <c r="F80" s="1343">
        <f>VLOOKUP(E80,'Tabela de mês'!$A$1:$B$70,2,TRUE)</f>
        <v/>
      </c>
      <c r="G80" s="510" t="inlineStr">
        <is>
          <t>037-SER A</t>
        </is>
      </c>
      <c r="H80" s="161" t="inlineStr">
        <is>
          <t>INSIGHT</t>
        </is>
      </c>
      <c r="I80" s="161" t="inlineStr">
        <is>
          <t>INSIGHT</t>
        </is>
      </c>
      <c r="J80" s="161" t="inlineStr">
        <is>
          <t>7.02</t>
        </is>
      </c>
      <c r="K80" s="161" t="n"/>
      <c r="L80" s="164" t="inlineStr">
        <is>
          <t>Conclusão da desmontagem de todos equipamentos e componentes do Sistema de Proteção da 4ª UF, integrado aos demais equipamentos e sistemas</t>
        </is>
      </c>
      <c r="M80" s="416">
        <f>O80/$O$76</f>
        <v/>
      </c>
      <c r="N80" s="1344" t="n"/>
      <c r="O80" s="1355" t="n">
        <v>316894.58</v>
      </c>
      <c r="P80" s="553" t="n"/>
      <c r="Q80" s="1338" t="n"/>
    </row>
    <row r="81" outlineLevel="1" ht="14.4" customHeight="1">
      <c r="A81" s="461">
        <f>'01_Preço'!$A$42</f>
        <v/>
      </c>
      <c r="B81" s="436">
        <f>'01_Preço'!$A$47</f>
        <v/>
      </c>
      <c r="C81" s="441">
        <f>'01_Preço'!B$47</f>
        <v/>
      </c>
      <c r="D81" s="437" t="inlineStr">
        <is>
          <t>Equipamentos e materiais</t>
        </is>
      </c>
      <c r="E81" s="449" t="n"/>
      <c r="F81" s="449" t="n"/>
      <c r="G81" s="441" t="n"/>
      <c r="H81" s="436" t="n"/>
      <c r="I81" s="436" t="n"/>
      <c r="J81" s="436" t="n"/>
      <c r="K81" s="436" t="n"/>
      <c r="L81" s="437">
        <f>'01_Preço'!E47</f>
        <v/>
      </c>
      <c r="M81" s="439">
        <f>O81/$N$66</f>
        <v/>
      </c>
      <c r="N81" s="1333" t="n"/>
      <c r="O81" s="1349">
        <f>SUM(O82:O85)</f>
        <v/>
      </c>
      <c r="P81" s="552" t="n"/>
      <c r="Q81" s="1334" t="n"/>
    </row>
    <row r="82" outlineLevel="1" ht="27.6" customFormat="1" customHeight="1" s="166">
      <c r="A82" s="228">
        <f>'01_Preço'!$A$42</f>
        <v/>
      </c>
      <c r="B82" s="163">
        <f>'01_Preço'!$A$47</f>
        <v/>
      </c>
      <c r="C82" s="163">
        <f>'01_Preço'!$B$47</f>
        <v/>
      </c>
      <c r="D82" s="167" t="inlineStr">
        <is>
          <t>Desmontagem e montagem eletromecânica completa</t>
        </is>
      </c>
      <c r="E82" s="453" t="n">
        <v>31</v>
      </c>
      <c r="F82" s="1343">
        <f>VLOOKUP(E82,'Tabela de mês'!$A$1:$B$70,2,TRUE)</f>
        <v/>
      </c>
      <c r="G82" s="520" t="inlineStr">
        <is>
          <t>034-SER B</t>
        </is>
      </c>
      <c r="H82" s="161" t="inlineStr">
        <is>
          <t>INSIGHT</t>
        </is>
      </c>
      <c r="I82" s="161" t="inlineStr">
        <is>
          <t>INSIGHT</t>
        </is>
      </c>
      <c r="J82" s="161" t="inlineStr">
        <is>
          <t>7.02</t>
        </is>
      </c>
      <c r="K82" s="161" t="n"/>
      <c r="L82" s="164" t="inlineStr">
        <is>
          <t>Conclusão da Montagem de todos equipamentos e componentes do Sistema de Proteção da 1ª UF, integrado aos demais equipamentos e sistemas</t>
        </is>
      </c>
      <c r="M82" s="416">
        <f>O82/$O$81</f>
        <v/>
      </c>
      <c r="N82" s="1344" t="n"/>
      <c r="O82" s="1355" t="n">
        <v>316894.57</v>
      </c>
      <c r="P82" s="553" t="n"/>
      <c r="Q82" s="1338" t="n"/>
    </row>
    <row r="83" outlineLevel="1" ht="27.6" customFormat="1" customHeight="1" s="166">
      <c r="A83" s="228">
        <f>'01_Preço'!$A$42</f>
        <v/>
      </c>
      <c r="B83" s="163">
        <f>'01_Preço'!$A$47</f>
        <v/>
      </c>
      <c r="C83" s="163">
        <f>'01_Preço'!$B$47</f>
        <v/>
      </c>
      <c r="D83" s="167" t="inlineStr">
        <is>
          <t>Desmontagem e montagem eletromecânica completa</t>
        </is>
      </c>
      <c r="E83" s="453" t="n">
        <v>43</v>
      </c>
      <c r="F83" s="1343">
        <f>VLOOKUP(E83,'Tabela de mês'!$A$1:$B$70,2,TRUE)</f>
        <v/>
      </c>
      <c r="G83" s="520" t="inlineStr">
        <is>
          <t>035-SER B</t>
        </is>
      </c>
      <c r="H83" s="161" t="inlineStr">
        <is>
          <t>INSIGHT</t>
        </is>
      </c>
      <c r="I83" s="161" t="inlineStr">
        <is>
          <t>INSIGHT</t>
        </is>
      </c>
      <c r="J83" s="161" t="inlineStr">
        <is>
          <t>7.02</t>
        </is>
      </c>
      <c r="K83" s="161" t="n"/>
      <c r="L83" s="164" t="inlineStr">
        <is>
          <t>Conclusão da Montagem de todos equipamentos e componentes do Sistema de Proteção da 2ª UF, integrado aos demais equipamentos e sistemas</t>
        </is>
      </c>
      <c r="M83" s="416">
        <f>O83/$O$81</f>
        <v/>
      </c>
      <c r="N83" s="1344" t="n"/>
      <c r="O83" s="1355" t="n">
        <v>316894.57</v>
      </c>
      <c r="P83" s="553" t="n"/>
      <c r="Q83" s="1338" t="n"/>
    </row>
    <row r="84" outlineLevel="1" ht="27.6" customFormat="1" customHeight="1" s="166">
      <c r="A84" s="228">
        <f>'01_Preço'!$A$42</f>
        <v/>
      </c>
      <c r="B84" s="163">
        <f>'01_Preço'!$A$47</f>
        <v/>
      </c>
      <c r="C84" s="163">
        <f>'01_Preço'!$B$47</f>
        <v/>
      </c>
      <c r="D84" s="167" t="inlineStr">
        <is>
          <t>Desmontagem e montagem eletromecânica completa</t>
        </is>
      </c>
      <c r="E84" s="453" t="n">
        <v>55</v>
      </c>
      <c r="F84" s="1343">
        <f>VLOOKUP(E84,'Tabela de mês'!$A$1:$B$70,2,TRUE)</f>
        <v/>
      </c>
      <c r="G84" s="510" t="inlineStr">
        <is>
          <t>036-SER B</t>
        </is>
      </c>
      <c r="H84" s="161" t="inlineStr">
        <is>
          <t>INSIGHT</t>
        </is>
      </c>
      <c r="I84" s="161" t="inlineStr">
        <is>
          <t>INSIGHT</t>
        </is>
      </c>
      <c r="J84" s="161" t="inlineStr">
        <is>
          <t>7.02</t>
        </is>
      </c>
      <c r="K84" s="161" t="n"/>
      <c r="L84" s="164" t="inlineStr">
        <is>
          <t>Conclusão da Montagem de todos equipamentos e componentes do Sistema de Proteção da 3ª UF, integrado aos demais equipamentos e sistemas</t>
        </is>
      </c>
      <c r="M84" s="416">
        <f>O84/$O$81</f>
        <v/>
      </c>
      <c r="N84" s="1344" t="n"/>
      <c r="O84" s="1355" t="n">
        <v>316894.58</v>
      </c>
      <c r="P84" s="553" t="n"/>
      <c r="Q84" s="1338" t="n"/>
    </row>
    <row r="85" outlineLevel="1" ht="27.6" customFormat="1" customHeight="1" s="166">
      <c r="A85" s="228">
        <f>'01_Preço'!$A$42</f>
        <v/>
      </c>
      <c r="B85" s="163">
        <f>'01_Preço'!$A$47</f>
        <v/>
      </c>
      <c r="C85" s="163">
        <f>'01_Preço'!$B$47</f>
        <v/>
      </c>
      <c r="D85" s="167" t="inlineStr">
        <is>
          <t>Desmontagem e montagem eletromecânica completa</t>
        </is>
      </c>
      <c r="E85" s="453" t="n">
        <v>66</v>
      </c>
      <c r="F85" s="1343">
        <f>VLOOKUP(E85,'Tabela de mês'!$A$1:$B$70,2,TRUE)</f>
        <v/>
      </c>
      <c r="G85" s="510" t="inlineStr">
        <is>
          <t>037-SER B</t>
        </is>
      </c>
      <c r="H85" s="161" t="inlineStr">
        <is>
          <t>INSIGHT</t>
        </is>
      </c>
      <c r="I85" s="161" t="inlineStr">
        <is>
          <t>INSIGHT</t>
        </is>
      </c>
      <c r="J85" s="161" t="inlineStr">
        <is>
          <t>7.02</t>
        </is>
      </c>
      <c r="K85" s="161" t="n"/>
      <c r="L85" s="164" t="inlineStr">
        <is>
          <t>Conclusão da Montagem de todos equipamentos e componentes do Sistema de Proteção da 4ª UF, integrado aos demais equipamentos e sistemas</t>
        </is>
      </c>
      <c r="M85" s="416">
        <f>O85/$O$81</f>
        <v/>
      </c>
      <c r="N85" s="1344" t="n"/>
      <c r="O85" s="1355" t="n">
        <v>316894.58</v>
      </c>
      <c r="P85" s="553" t="n"/>
      <c r="Q85" s="1338" t="n"/>
    </row>
    <row r="86" outlineLevel="1" ht="14.4" customHeight="1">
      <c r="A86" s="461">
        <f>'01_Preço'!$A$42</f>
        <v/>
      </c>
      <c r="B86" s="436">
        <f>'01_Preço'!$A$49</f>
        <v/>
      </c>
      <c r="C86" s="441">
        <f>'01_Preço'!B$49</f>
        <v/>
      </c>
      <c r="D86" s="437" t="inlineStr">
        <is>
          <t>Equipamentos e materiais</t>
        </is>
      </c>
      <c r="E86" s="449" t="n"/>
      <c r="F86" s="449" t="n"/>
      <c r="G86" s="441" t="n"/>
      <c r="H86" s="436" t="n"/>
      <c r="I86" s="436" t="n"/>
      <c r="J86" s="436" t="n"/>
      <c r="K86" s="436" t="n"/>
      <c r="L86" s="437">
        <f>'01_Preço'!E49</f>
        <v/>
      </c>
      <c r="M86" s="439">
        <f>O86/$N$66</f>
        <v/>
      </c>
      <c r="N86" s="1333" t="n"/>
      <c r="O86" s="1349">
        <f>SUM(O87:O94)</f>
        <v/>
      </c>
      <c r="P86" s="552" t="n"/>
      <c r="Q86" s="1334" t="n"/>
    </row>
    <row r="87" outlineLevel="1" ht="27.6" customFormat="1" customHeight="1" s="166">
      <c r="A87" s="228">
        <f>'01_Preço'!$A$42</f>
        <v/>
      </c>
      <c r="B87" s="163">
        <f>'01_Preço'!$A$49</f>
        <v/>
      </c>
      <c r="C87" s="163">
        <f>'01_Preço'!$B$49</f>
        <v/>
      </c>
      <c r="D87" s="167" t="inlineStr">
        <is>
          <t>Equipamentos e materiais</t>
        </is>
      </c>
      <c r="E87" s="453" t="n">
        <v>32</v>
      </c>
      <c r="F87" s="1343">
        <f>VLOOKUP(E87,'Tabela de mês'!$A$1:$B$70,2,TRUE)</f>
        <v/>
      </c>
      <c r="G87" s="510" t="inlineStr">
        <is>
          <t>038-SER A</t>
        </is>
      </c>
      <c r="H87" s="163" t="inlineStr">
        <is>
          <t>INSIGHT</t>
        </is>
      </c>
      <c r="I87" s="163" t="inlineStr">
        <is>
          <t>INSIGHT</t>
        </is>
      </c>
      <c r="J87" s="161" t="inlineStr">
        <is>
          <t>7.02</t>
        </is>
      </c>
      <c r="K87" s="161" t="n"/>
      <c r="L87" s="423" t="inlineStr">
        <is>
          <t>Conclusão do Comissionamento estático do Sistema de Proteção e RDP da 1ª UF</t>
        </is>
      </c>
      <c r="M87" s="416">
        <f>O87/$O$86</f>
        <v/>
      </c>
      <c r="N87" s="1344" t="n"/>
      <c r="O87" s="1355" t="n">
        <v>26720.495</v>
      </c>
      <c r="P87" s="553" t="n"/>
      <c r="Q87" s="1338" t="n"/>
    </row>
    <row r="88" outlineLevel="1" ht="27.6" customFormat="1" customHeight="1" s="166">
      <c r="A88" s="228">
        <f>'01_Preço'!$A$42</f>
        <v/>
      </c>
      <c r="B88" s="163">
        <f>'01_Preço'!$A$49</f>
        <v/>
      </c>
      <c r="C88" s="163">
        <f>'01_Preço'!$B$49</f>
        <v/>
      </c>
      <c r="D88" s="167" t="inlineStr">
        <is>
          <t>Equipamentos e materiais</t>
        </is>
      </c>
      <c r="E88" s="453" t="n">
        <v>44</v>
      </c>
      <c r="F88" s="1343">
        <f>VLOOKUP(E88,'Tabela de mês'!$A$1:$B$70,2,TRUE)</f>
        <v/>
      </c>
      <c r="G88" s="510" t="inlineStr">
        <is>
          <t>039-SER A</t>
        </is>
      </c>
      <c r="H88" s="163" t="inlineStr">
        <is>
          <t>INSIGHT</t>
        </is>
      </c>
      <c r="I88" s="163" t="inlineStr">
        <is>
          <t>INSIGHT</t>
        </is>
      </c>
      <c r="J88" s="161" t="inlineStr">
        <is>
          <t>7.02</t>
        </is>
      </c>
      <c r="K88" s="161" t="n"/>
      <c r="L88" s="423" t="inlineStr">
        <is>
          <t>Conclusão do Comissionamento estático do Sistema de Proteção e RDP da 2ª UF</t>
        </is>
      </c>
      <c r="M88" s="416">
        <f>O88/$O$86</f>
        <v/>
      </c>
      <c r="N88" s="1344" t="n"/>
      <c r="O88" s="1355" t="n">
        <v>26720.495</v>
      </c>
      <c r="P88" s="553" t="n"/>
      <c r="Q88" s="1338" t="n"/>
    </row>
    <row r="89" outlineLevel="1" ht="27.6" customFormat="1" customHeight="1" s="166">
      <c r="A89" s="228">
        <f>'01_Preço'!$A$42</f>
        <v/>
      </c>
      <c r="B89" s="163">
        <f>'01_Preço'!$A$49</f>
        <v/>
      </c>
      <c r="C89" s="163">
        <f>'01_Preço'!$B$49</f>
        <v/>
      </c>
      <c r="D89" s="167" t="inlineStr">
        <is>
          <t>Equipamentos e materiais</t>
        </is>
      </c>
      <c r="E89" s="453" t="n">
        <v>55</v>
      </c>
      <c r="F89" s="1343">
        <f>VLOOKUP(E89,'Tabela de mês'!$A$1:$B$70,2,TRUE)</f>
        <v/>
      </c>
      <c r="G89" s="510" t="inlineStr">
        <is>
          <t>040-SER A</t>
        </is>
      </c>
      <c r="H89" s="163" t="inlineStr">
        <is>
          <t>INSIGHT</t>
        </is>
      </c>
      <c r="I89" s="163" t="inlineStr">
        <is>
          <t>INSIGHT</t>
        </is>
      </c>
      <c r="J89" s="161" t="inlineStr">
        <is>
          <t>7.02</t>
        </is>
      </c>
      <c r="K89" s="161" t="n"/>
      <c r="L89" s="423" t="inlineStr">
        <is>
          <t>Conclusão do Comissionamento estático do Sistema de Proteção e RDP da 3ª UF</t>
        </is>
      </c>
      <c r="M89" s="416">
        <f>O89/$O$86</f>
        <v/>
      </c>
      <c r="N89" s="1344" t="n"/>
      <c r="O89" s="1355" t="n">
        <v>26720.495</v>
      </c>
      <c r="P89" s="553" t="n"/>
      <c r="Q89" s="1338" t="n"/>
    </row>
    <row r="90" outlineLevel="1" ht="27.6" customFormat="1" customHeight="1" s="166">
      <c r="A90" s="228">
        <f>'01_Preço'!$A$42</f>
        <v/>
      </c>
      <c r="B90" s="163">
        <f>'01_Preço'!$A$49</f>
        <v/>
      </c>
      <c r="C90" s="163">
        <f>'01_Preço'!$B$49</f>
        <v/>
      </c>
      <c r="D90" s="167" t="inlineStr">
        <is>
          <t>Equipamentos e materiais</t>
        </is>
      </c>
      <c r="E90" s="453" t="n">
        <v>67</v>
      </c>
      <c r="F90" s="1343">
        <f>VLOOKUP(E90,'Tabela de mês'!$A$1:$B$70,2,TRUE)</f>
        <v/>
      </c>
      <c r="G90" s="510" t="inlineStr">
        <is>
          <t>041-SER A</t>
        </is>
      </c>
      <c r="H90" s="163" t="inlineStr">
        <is>
          <t>INSIGHT</t>
        </is>
      </c>
      <c r="I90" s="163" t="inlineStr">
        <is>
          <t>INSIGHT</t>
        </is>
      </c>
      <c r="J90" s="161" t="inlineStr">
        <is>
          <t>7.02</t>
        </is>
      </c>
      <c r="K90" s="161" t="n"/>
      <c r="L90" s="423" t="inlineStr">
        <is>
          <t>Conclusão do Comissionamento estático do Sistema de Proteção e RDP da 4ª UF</t>
        </is>
      </c>
      <c r="M90" s="416">
        <f>O90/$O$86</f>
        <v/>
      </c>
      <c r="N90" s="1344" t="n"/>
      <c r="O90" s="1355" t="n">
        <v>26720.495</v>
      </c>
      <c r="P90" s="553" t="n"/>
      <c r="Q90" s="1338" t="n"/>
    </row>
    <row r="91" outlineLevel="1" ht="27.6" customFormat="1" customHeight="1" s="166">
      <c r="A91" s="228">
        <f>'01_Preço'!$A$42</f>
        <v/>
      </c>
      <c r="B91" s="163">
        <f>'01_Preço'!$A$49</f>
        <v/>
      </c>
      <c r="C91" s="163">
        <f>'01_Preço'!$B$49</f>
        <v/>
      </c>
      <c r="D91" s="167" t="inlineStr">
        <is>
          <t>Equipamentos e materiais</t>
        </is>
      </c>
      <c r="E91" s="453" t="n">
        <v>33</v>
      </c>
      <c r="F91" s="1343">
        <f>VLOOKUP(E91,'Tabela de mês'!$A$1:$B$70,2,TRUE)</f>
        <v/>
      </c>
      <c r="G91" s="510" t="inlineStr">
        <is>
          <t>038-SER B</t>
        </is>
      </c>
      <c r="H91" s="163" t="inlineStr">
        <is>
          <t>INSIGHT</t>
        </is>
      </c>
      <c r="I91" s="163" t="inlineStr">
        <is>
          <t>INSIGHT</t>
        </is>
      </c>
      <c r="J91" s="161" t="inlineStr">
        <is>
          <t>7.02</t>
        </is>
      </c>
      <c r="K91" s="161" t="n"/>
      <c r="L91" s="423" t="inlineStr">
        <is>
          <t>Conclusão do Comissionamento dinâmico do Sistema de Proteção e RDP da 1ª UF</t>
        </is>
      </c>
      <c r="M91" s="416">
        <f>O91/$O$86</f>
        <v/>
      </c>
      <c r="N91" s="1344" t="n"/>
      <c r="O91" s="1355" t="n">
        <v>26720.495</v>
      </c>
      <c r="P91" s="553" t="n"/>
      <c r="Q91" s="1338" t="n"/>
    </row>
    <row r="92" outlineLevel="1" ht="27.6" customFormat="1" customHeight="1" s="166">
      <c r="A92" s="228">
        <f>'01_Preço'!$A$42</f>
        <v/>
      </c>
      <c r="B92" s="163">
        <f>'01_Preço'!$A$49</f>
        <v/>
      </c>
      <c r="C92" s="163">
        <f>'01_Preço'!$B$49</f>
        <v/>
      </c>
      <c r="D92" s="167" t="inlineStr">
        <is>
          <t>Equipamentos e materiais</t>
        </is>
      </c>
      <c r="E92" s="453" t="n">
        <v>45</v>
      </c>
      <c r="F92" s="1343">
        <f>VLOOKUP(E92,'Tabela de mês'!$A$1:$B$70,2,TRUE)</f>
        <v/>
      </c>
      <c r="G92" s="510" t="inlineStr">
        <is>
          <t>039-SER B</t>
        </is>
      </c>
      <c r="H92" s="163" t="inlineStr">
        <is>
          <t>INSIGHT</t>
        </is>
      </c>
      <c r="I92" s="163" t="inlineStr">
        <is>
          <t>INSIGHT</t>
        </is>
      </c>
      <c r="J92" s="161" t="inlineStr">
        <is>
          <t>7.02</t>
        </is>
      </c>
      <c r="K92" s="161" t="n"/>
      <c r="L92" s="423" t="inlineStr">
        <is>
          <t>Conclusão do Comissionamento dinâmico do Sistema de Proteção e RDP da 2ª UF</t>
        </is>
      </c>
      <c r="M92" s="416">
        <f>O92/$O$86</f>
        <v/>
      </c>
      <c r="N92" s="1344" t="n"/>
      <c r="O92" s="1355" t="n">
        <v>26720.495</v>
      </c>
      <c r="P92" s="553" t="n"/>
      <c r="Q92" s="1338" t="n"/>
    </row>
    <row r="93" outlineLevel="1" ht="27.6" customFormat="1" customHeight="1" s="166">
      <c r="A93" s="228">
        <f>'01_Preço'!$A$42</f>
        <v/>
      </c>
      <c r="B93" s="163">
        <f>'01_Preço'!$A$49</f>
        <v/>
      </c>
      <c r="C93" s="163">
        <f>'01_Preço'!$B$49</f>
        <v/>
      </c>
      <c r="D93" s="167" t="inlineStr">
        <is>
          <t>Equipamentos e materiais</t>
        </is>
      </c>
      <c r="E93" s="453" t="n">
        <v>56</v>
      </c>
      <c r="F93" s="1343">
        <f>VLOOKUP(E93,'Tabela de mês'!$A$1:$B$70,2,TRUE)</f>
        <v/>
      </c>
      <c r="G93" s="510" t="inlineStr">
        <is>
          <t>040-SER B</t>
        </is>
      </c>
      <c r="H93" s="163" t="inlineStr">
        <is>
          <t>INSIGHT</t>
        </is>
      </c>
      <c r="I93" s="163" t="inlineStr">
        <is>
          <t>INSIGHT</t>
        </is>
      </c>
      <c r="J93" s="161" t="inlineStr">
        <is>
          <t>7.02</t>
        </is>
      </c>
      <c r="K93" s="161" t="n"/>
      <c r="L93" s="423" t="inlineStr">
        <is>
          <t>Conclusão do Comissionamento dinâmico do Sistema de Proteção e RDP da 3ª UF</t>
        </is>
      </c>
      <c r="M93" s="416">
        <f>O93/$O$86</f>
        <v/>
      </c>
      <c r="N93" s="1344" t="n"/>
      <c r="O93" s="1355" t="n">
        <v>26720.495</v>
      </c>
      <c r="P93" s="553" t="n"/>
      <c r="Q93" s="1338" t="n"/>
    </row>
    <row r="94" outlineLevel="1" ht="27.6" customFormat="1" customHeight="1" s="166">
      <c r="A94" s="228">
        <f>'01_Preço'!$A$42</f>
        <v/>
      </c>
      <c r="B94" s="163">
        <f>'01_Preço'!$A$49</f>
        <v/>
      </c>
      <c r="C94" s="163">
        <f>'01_Preço'!$B$49</f>
        <v/>
      </c>
      <c r="D94" s="167" t="inlineStr">
        <is>
          <t>Equipamentos e materiais</t>
        </is>
      </c>
      <c r="E94" s="453" t="n">
        <v>68</v>
      </c>
      <c r="F94" s="1343">
        <f>VLOOKUP(E94,'Tabela de mês'!$A$1:$B$70,2,TRUE)</f>
        <v/>
      </c>
      <c r="G94" s="510" t="inlineStr">
        <is>
          <t>041-SER B</t>
        </is>
      </c>
      <c r="H94" s="163" t="inlineStr">
        <is>
          <t>INSIGHT</t>
        </is>
      </c>
      <c r="I94" s="163" t="inlineStr">
        <is>
          <t>INSIGHT</t>
        </is>
      </c>
      <c r="J94" s="161" t="inlineStr">
        <is>
          <t>7.02</t>
        </is>
      </c>
      <c r="K94" s="161" t="n"/>
      <c r="L94" s="423" t="inlineStr">
        <is>
          <t>Conclusão do Comissionamento dinâmico do Sistema de Proteção e RDP da 4ª UF</t>
        </is>
      </c>
      <c r="M94" s="416">
        <f>O94/$O$86</f>
        <v/>
      </c>
      <c r="N94" s="1344" t="n"/>
      <c r="O94" s="1355" t="n">
        <v>26720.495</v>
      </c>
      <c r="P94" s="553" t="n"/>
      <c r="Q94" s="1338" t="n"/>
    </row>
    <row r="95" outlineLevel="1" ht="27.6" customHeight="1">
      <c r="A95" s="461">
        <f>'01_Preço'!$A$42</f>
        <v/>
      </c>
      <c r="B95" s="469">
        <f>CONCATENATE('01_Preço'!$A$51," e ",'01_Preço'!$A$53)</f>
        <v/>
      </c>
      <c r="C95" s="441">
        <f>'01_Preço'!B$51</f>
        <v/>
      </c>
      <c r="D95" s="437" t="inlineStr">
        <is>
          <t>Equipamentos e materiais</t>
        </is>
      </c>
      <c r="E95" s="449" t="n"/>
      <c r="F95" s="449" t="n"/>
      <c r="G95" s="441" t="n"/>
      <c r="H95" s="436" t="n"/>
      <c r="I95" s="436" t="n"/>
      <c r="J95" s="436" t="n"/>
      <c r="K95" s="436" t="n"/>
      <c r="L95" s="469">
        <f>CONCATENATE('01_Preço'!$E$51," e ",'01_Preço'!$E$53)</f>
        <v/>
      </c>
      <c r="M95" s="439">
        <f>O95/$N$66</f>
        <v/>
      </c>
      <c r="N95" s="1333" t="n"/>
      <c r="O95" s="1349">
        <f>SUM(O96:O99)</f>
        <v/>
      </c>
      <c r="P95" s="552" t="n"/>
      <c r="Q95" s="1334" t="n"/>
    </row>
    <row r="96" outlineLevel="1" ht="27.6" customFormat="1" customHeight="1" s="166">
      <c r="A96" s="228">
        <f>'01_Preço'!$A$42</f>
        <v/>
      </c>
      <c r="B96" s="413">
        <f>CONCATENATE('01_Preço'!$A$51," e ",'01_Preço'!$A$53)</f>
        <v/>
      </c>
      <c r="C96" s="168">
        <f>'01_Preço'!$B$51</f>
        <v/>
      </c>
      <c r="D96" s="162" t="inlineStr">
        <is>
          <t>Equipamentos e materiais</t>
        </is>
      </c>
      <c r="E96" s="453" t="n">
        <v>30</v>
      </c>
      <c r="F96" s="1343">
        <f>VLOOKUP(E96,'Tabela de mês'!$A$1:$B$70,2,TRUE)</f>
        <v/>
      </c>
      <c r="G96" s="510" t="inlineStr">
        <is>
          <t>028-MAT A</t>
        </is>
      </c>
      <c r="H96" s="163" t="inlineStr">
        <is>
          <t>ERZEG</t>
        </is>
      </c>
      <c r="I96" s="163" t="inlineStr">
        <is>
          <t>INSIGHT</t>
        </is>
      </c>
      <c r="J96" s="161" t="n"/>
      <c r="K96" s="161" t="n"/>
      <c r="L96" s="423" t="inlineStr">
        <is>
          <t>Entrega completa na obra dos equipamentos e materiais do Sistemas de Proteção da 1ª UF</t>
        </is>
      </c>
      <c r="M96" s="416">
        <f>O96/$O$95</f>
        <v/>
      </c>
      <c r="N96" s="1344" t="n"/>
      <c r="O96" s="1342" t="n">
        <v>1024536</v>
      </c>
      <c r="P96" s="553" t="n">
        <v>21</v>
      </c>
      <c r="Q96" s="1347" t="n">
        <v>900000</v>
      </c>
    </row>
    <row r="97" outlineLevel="1" ht="27.6" customFormat="1" customHeight="1" s="166">
      <c r="A97" s="228">
        <f>'01_Preço'!$A$42</f>
        <v/>
      </c>
      <c r="B97" s="413">
        <f>CONCATENATE('01_Preço'!$A$51," e ",'01_Preço'!$A$53)</f>
        <v/>
      </c>
      <c r="C97" s="168">
        <f>'01_Preço'!$B$51</f>
        <v/>
      </c>
      <c r="D97" s="162" t="inlineStr">
        <is>
          <t>Equipamentos e materiais</t>
        </is>
      </c>
      <c r="E97" s="453" t="n">
        <v>40</v>
      </c>
      <c r="F97" s="1343">
        <f>VLOOKUP(E97,'Tabela de mês'!$A$1:$B$70,2,TRUE)</f>
        <v/>
      </c>
      <c r="G97" s="510" t="inlineStr">
        <is>
          <t>031-MAT A</t>
        </is>
      </c>
      <c r="H97" s="163" t="inlineStr">
        <is>
          <t>ERZEG</t>
        </is>
      </c>
      <c r="I97" s="163" t="inlineStr">
        <is>
          <t>INSIGHT</t>
        </is>
      </c>
      <c r="J97" s="161" t="n"/>
      <c r="K97" s="161" t="n"/>
      <c r="L97" s="167" t="inlineStr">
        <is>
          <t>Entrega completa na obra dos equipamentos e materiais do Sistemas de Proteção da 2ª UF</t>
        </is>
      </c>
      <c r="M97" s="416">
        <f>O97/$O$95</f>
        <v/>
      </c>
      <c r="N97" s="1344" t="n"/>
      <c r="O97" s="1342" t="n">
        <v>1024536</v>
      </c>
      <c r="P97" s="553" t="n">
        <v>30</v>
      </c>
      <c r="Q97" s="1347" t="n">
        <v>900000</v>
      </c>
    </row>
    <row r="98" outlineLevel="1" ht="27.6" customFormat="1" customHeight="1" s="166">
      <c r="A98" s="228">
        <f>'01_Preço'!$A$42</f>
        <v/>
      </c>
      <c r="B98" s="413">
        <f>CONCATENATE('01_Preço'!$A$51," e ",'01_Preço'!$A$53)</f>
        <v/>
      </c>
      <c r="C98" s="168">
        <f>'01_Preço'!$B$51</f>
        <v/>
      </c>
      <c r="D98" s="162" t="inlineStr">
        <is>
          <t>Equipamentos e materiais</t>
        </is>
      </c>
      <c r="E98" s="453" t="n">
        <v>52</v>
      </c>
      <c r="F98" s="1343">
        <f>VLOOKUP(E98,'Tabela de mês'!$A$1:$B$70,2,TRUE)</f>
        <v/>
      </c>
      <c r="G98" s="510" t="inlineStr">
        <is>
          <t>032-MAT A</t>
        </is>
      </c>
      <c r="H98" s="163" t="inlineStr">
        <is>
          <t>ERZEG</t>
        </is>
      </c>
      <c r="I98" s="163" t="inlineStr">
        <is>
          <t>INSIGHT</t>
        </is>
      </c>
      <c r="J98" s="161" t="n"/>
      <c r="K98" s="161" t="n"/>
      <c r="L98" s="167" t="inlineStr">
        <is>
          <t>Entrega completa na obra dos equipamentos e materiais do Sistemas de Proteção da 3ª UF</t>
        </is>
      </c>
      <c r="M98" s="416">
        <f>O98/$O$95</f>
        <v/>
      </c>
      <c r="N98" s="1344" t="n"/>
      <c r="O98" s="1342" t="n">
        <v>1024536</v>
      </c>
      <c r="P98" s="553" t="n">
        <v>40</v>
      </c>
      <c r="Q98" s="1347" t="n">
        <v>900000</v>
      </c>
    </row>
    <row r="99" outlineLevel="1" ht="27.6" customFormat="1" customHeight="1" s="166">
      <c r="A99" s="228">
        <f>'01_Preço'!$A$42</f>
        <v/>
      </c>
      <c r="B99" s="413">
        <f>CONCATENATE('01_Preço'!$A$51," e ",'01_Preço'!$A$53)</f>
        <v/>
      </c>
      <c r="C99" s="168">
        <f>'01_Preço'!$B$51</f>
        <v/>
      </c>
      <c r="D99" s="162" t="inlineStr">
        <is>
          <t>Equipamentos e materiais</t>
        </is>
      </c>
      <c r="E99" s="453" t="n">
        <v>62</v>
      </c>
      <c r="F99" s="1343">
        <f>VLOOKUP(E99,'Tabela de mês'!$A$1:$B$70,2,TRUE)</f>
        <v/>
      </c>
      <c r="G99" s="510" t="inlineStr">
        <is>
          <t>033-MAT A</t>
        </is>
      </c>
      <c r="H99" s="163" t="inlineStr">
        <is>
          <t>ERZEG</t>
        </is>
      </c>
      <c r="I99" s="163" t="inlineStr">
        <is>
          <t>INSIGHT</t>
        </is>
      </c>
      <c r="J99" s="161" t="n"/>
      <c r="K99" s="161" t="n"/>
      <c r="L99" s="167" t="inlineStr">
        <is>
          <t>Entrega completa na obra dos equipamentos e materiais do Sistemas de Proteção da 4ª UF</t>
        </is>
      </c>
      <c r="M99" s="416">
        <f>O99/$O$95</f>
        <v/>
      </c>
      <c r="N99" s="1344" t="n"/>
      <c r="O99" s="1342" t="n">
        <v>1024536</v>
      </c>
      <c r="P99" s="553" t="n">
        <v>50</v>
      </c>
      <c r="Q99" s="1347" t="n">
        <v>900000</v>
      </c>
    </row>
    <row r="100" outlineLevel="1" ht="27.6" customHeight="1">
      <c r="A100" s="461">
        <f>'01_Preço'!$A$42</f>
        <v/>
      </c>
      <c r="B100" s="436">
        <f>'01_Preço'!$A$55</f>
        <v/>
      </c>
      <c r="C100" s="441">
        <f>'01_Preço'!B$55</f>
        <v/>
      </c>
      <c r="D100" s="437" t="inlineStr">
        <is>
          <t>Equipamentos e materiais</t>
        </is>
      </c>
      <c r="E100" s="449" t="n">
        <v>30</v>
      </c>
      <c r="F100" s="1348">
        <f>VLOOKUP(E100,'Tabela de mês'!$A$1:$B$70,2,TRUE)</f>
        <v/>
      </c>
      <c r="G100" s="510" t="inlineStr">
        <is>
          <t>029-MAT</t>
        </is>
      </c>
      <c r="H100" s="436" t="inlineStr">
        <is>
          <t>ERZEG</t>
        </is>
      </c>
      <c r="I100" s="436" t="inlineStr">
        <is>
          <t>INSIGHT</t>
        </is>
      </c>
      <c r="J100" s="436" t="n"/>
      <c r="K100" s="436" t="n"/>
      <c r="L100" s="437" t="inlineStr">
        <is>
          <t>Entrega em campo de painel completo contendo o Registrador Digital de Perturbações (RDP)</t>
        </is>
      </c>
      <c r="M100" s="439">
        <f>O100/$N$66</f>
        <v/>
      </c>
      <c r="N100" s="1356" t="n"/>
      <c r="O100" s="1349" t="n">
        <v>1185036.9</v>
      </c>
      <c r="P100" s="556" t="n">
        <v>21</v>
      </c>
      <c r="Q100" s="1357" t="n">
        <v>800000</v>
      </c>
    </row>
    <row r="101" outlineLevel="1" ht="27.6" customFormat="1" customHeight="1" s="166">
      <c r="A101" s="461">
        <f>'01_Preço'!$A$42</f>
        <v/>
      </c>
      <c r="B101" s="436">
        <f>'01_Preço'!$A$57</f>
        <v/>
      </c>
      <c r="C101" s="441">
        <f>'01_Preço'!B57</f>
        <v/>
      </c>
      <c r="D101" s="437" t="inlineStr">
        <is>
          <t>Equipamentos e materiais</t>
        </is>
      </c>
      <c r="E101" s="449" t="n"/>
      <c r="F101" s="449" t="n"/>
      <c r="G101" s="441" t="n"/>
      <c r="H101" s="436" t="n"/>
      <c r="I101" s="436" t="n"/>
      <c r="J101" s="436" t="n"/>
      <c r="K101" s="436" t="n"/>
      <c r="L101" s="437">
        <f>'01_Preço'!E57</f>
        <v/>
      </c>
      <c r="M101" s="439">
        <f>O101/$N$66</f>
        <v/>
      </c>
      <c r="N101" s="1333" t="n"/>
      <c r="O101" s="1349">
        <f>SUM(O102:O105)</f>
        <v/>
      </c>
      <c r="P101" s="552" t="n">
        <v>14</v>
      </c>
      <c r="Q101" s="1334" t="n"/>
    </row>
    <row r="102" outlineLevel="1" ht="41.4" customFormat="1" customHeight="1" s="166">
      <c r="A102" s="228">
        <f>'01_Preço'!$A$42</f>
        <v/>
      </c>
      <c r="B102" s="163">
        <f>'01_Preço'!$A$57</f>
        <v/>
      </c>
      <c r="C102" s="163">
        <f>'01_Preço'!$B$57</f>
        <v/>
      </c>
      <c r="D102" s="162" t="inlineStr">
        <is>
          <t>Equipamentos e materiais</t>
        </is>
      </c>
      <c r="E102" s="453" t="n">
        <v>30</v>
      </c>
      <c r="F102" s="1343">
        <f>VLOOKUP(E102,'Tabela de mês'!$A$1:$B$70,2,TRUE)</f>
        <v/>
      </c>
      <c r="G102" s="510" t="inlineStr">
        <is>
          <t>028-MAT B</t>
        </is>
      </c>
      <c r="H102" s="163" t="inlineStr">
        <is>
          <t>ERZEG</t>
        </is>
      </c>
      <c r="I102" s="163" t="inlineStr">
        <is>
          <t>INSIGHT</t>
        </is>
      </c>
      <c r="J102" s="163" t="n"/>
      <c r="K102" s="163" t="n"/>
      <c r="L102" s="423" t="inlineStr">
        <is>
          <t>Entrega completa na obra da rede de dados para aquisição de oscilografia e parametrização de relés para comunicação entre os relés de proteção e SDSC do Sistemas de Proteção da 1ª UF</t>
        </is>
      </c>
      <c r="M102" s="416">
        <f>O102/$O$101</f>
        <v/>
      </c>
      <c r="N102" s="1356" t="n"/>
      <c r="O102" s="1340" t="n">
        <v>50848.09</v>
      </c>
      <c r="P102" s="553" t="n">
        <v>30</v>
      </c>
      <c r="Q102" s="1340" t="n">
        <v>10000</v>
      </c>
    </row>
    <row r="103" outlineLevel="1" ht="41.4" customFormat="1" customHeight="1" s="166">
      <c r="A103" s="228">
        <f>'01_Preço'!$A$42</f>
        <v/>
      </c>
      <c r="B103" s="163">
        <f>'01_Preço'!$A$57</f>
        <v/>
      </c>
      <c r="C103" s="163">
        <f>'01_Preço'!$B$57</f>
        <v/>
      </c>
      <c r="D103" s="162" t="inlineStr">
        <is>
          <t>Equipamentos e materiais</t>
        </is>
      </c>
      <c r="E103" s="453" t="n">
        <v>40</v>
      </c>
      <c r="F103" s="1343">
        <f>VLOOKUP(E103,'Tabela de mês'!$A$1:$B$70,2,TRUE)</f>
        <v/>
      </c>
      <c r="G103" s="510" t="inlineStr">
        <is>
          <t>031-MAT B</t>
        </is>
      </c>
      <c r="H103" s="163" t="inlineStr">
        <is>
          <t>ERZEG</t>
        </is>
      </c>
      <c r="I103" s="163" t="inlineStr">
        <is>
          <t>INSIGHT</t>
        </is>
      </c>
      <c r="J103" s="163" t="n"/>
      <c r="K103" s="163" t="n"/>
      <c r="L103" s="167" t="inlineStr">
        <is>
          <t>Entrega completa na obra da rede de dados para aquisição de oscilografia e parametrização de relés para comunicação entre os relés de proteção e SDSC do Sistemas de Proteção da 2ª UF</t>
        </is>
      </c>
      <c r="M103" s="416">
        <f>O103/$O$101</f>
        <v/>
      </c>
      <c r="N103" s="1356" t="n"/>
      <c r="O103" s="1340" t="n">
        <v>50848.09</v>
      </c>
      <c r="P103" s="553" t="n">
        <v>39</v>
      </c>
      <c r="Q103" s="1340" t="n">
        <v>10000</v>
      </c>
    </row>
    <row r="104" outlineLevel="1" ht="41.4" customFormat="1" customHeight="1" s="166">
      <c r="A104" s="228">
        <f>'01_Preço'!$A$42</f>
        <v/>
      </c>
      <c r="B104" s="163">
        <f>'01_Preço'!$A$57</f>
        <v/>
      </c>
      <c r="C104" s="163">
        <f>'01_Preço'!$B$57</f>
        <v/>
      </c>
      <c r="D104" s="162" t="inlineStr">
        <is>
          <t>Equipamentos e materiais</t>
        </is>
      </c>
      <c r="E104" s="453" t="n">
        <v>52</v>
      </c>
      <c r="F104" s="1343">
        <f>VLOOKUP(E104,'Tabela de mês'!$A$1:$B$70,2,TRUE)</f>
        <v/>
      </c>
      <c r="G104" s="510" t="inlineStr">
        <is>
          <t>032-MAT B</t>
        </is>
      </c>
      <c r="H104" s="163" t="inlineStr">
        <is>
          <t>ERZEG</t>
        </is>
      </c>
      <c r="I104" s="163" t="inlineStr">
        <is>
          <t>INSIGHT</t>
        </is>
      </c>
      <c r="J104" s="163" t="n"/>
      <c r="K104" s="163" t="n"/>
      <c r="L104" s="167" t="inlineStr">
        <is>
          <t>Entrega completa na obra da rede de dados para aquisição de oscilografia e parametrização de relés para comunicação entre os relés de proteção e SDSC do Sistemas de Proteção da 3ª UF</t>
        </is>
      </c>
      <c r="M104" s="416">
        <f>O104/$O$101</f>
        <v/>
      </c>
      <c r="N104" s="1356" t="n"/>
      <c r="O104" s="1340" t="n">
        <v>50848.09</v>
      </c>
      <c r="P104" s="553" t="n">
        <v>49</v>
      </c>
      <c r="Q104" s="1340" t="n">
        <v>10000</v>
      </c>
    </row>
    <row r="105" outlineLevel="1" ht="41.4" customFormat="1" customHeight="1" s="166">
      <c r="A105" s="228">
        <f>'01_Preço'!$A$42</f>
        <v/>
      </c>
      <c r="B105" s="163">
        <f>'01_Preço'!$A$57</f>
        <v/>
      </c>
      <c r="C105" s="163">
        <f>'01_Preço'!$B$57</f>
        <v/>
      </c>
      <c r="D105" s="162" t="inlineStr">
        <is>
          <t>Equipamentos e materiais</t>
        </is>
      </c>
      <c r="E105" s="453" t="n">
        <v>62</v>
      </c>
      <c r="F105" s="1343">
        <f>VLOOKUP(E105,'Tabela de mês'!$A$1:$B$70,2,TRUE)</f>
        <v/>
      </c>
      <c r="G105" s="510" t="inlineStr">
        <is>
          <t>033-MAT B</t>
        </is>
      </c>
      <c r="H105" s="163" t="inlineStr">
        <is>
          <t>ERZEG</t>
        </is>
      </c>
      <c r="I105" s="163" t="inlineStr">
        <is>
          <t>INSIGHT</t>
        </is>
      </c>
      <c r="J105" s="163" t="n"/>
      <c r="K105" s="163" t="n"/>
      <c r="L105" s="167" t="inlineStr">
        <is>
          <t>Entrega completa na obra da rede de dados para aquisição de oscilografia e parametrização de relés para comunicação entre os relés de proteção e SDSC do Sistemas de Proteção da 4ª UF</t>
        </is>
      </c>
      <c r="M105" s="416">
        <f>O105/$O$101</f>
        <v/>
      </c>
      <c r="N105" s="1356" t="n"/>
      <c r="O105" s="1340" t="n">
        <v>50848.09</v>
      </c>
      <c r="P105" s="553" t="n">
        <v>59</v>
      </c>
      <c r="Q105" s="1340" t="n">
        <v>10000</v>
      </c>
    </row>
    <row r="106" outlineLevel="1" ht="27.6" customFormat="1" customHeight="1" s="166">
      <c r="A106" s="461">
        <f>'01_Preço'!$A$42</f>
        <v/>
      </c>
      <c r="B106" s="436">
        <f>'01_Preço'!$A$59</f>
        <v/>
      </c>
      <c r="C106" s="441">
        <f>'01_Preço'!B59</f>
        <v/>
      </c>
      <c r="D106" s="437" t="inlineStr">
        <is>
          <t>Equipamentos e materiais</t>
        </is>
      </c>
      <c r="E106" s="449" t="n">
        <v>30</v>
      </c>
      <c r="F106" s="1348">
        <f>VLOOKUP(E106,'Tabela de mês'!$A$1:$B$70,2,TRUE)</f>
        <v/>
      </c>
      <c r="G106" s="520" t="inlineStr">
        <is>
          <t>030-MAT A</t>
        </is>
      </c>
      <c r="H106" s="660" t="inlineStr">
        <is>
          <t>INSIGHT</t>
        </is>
      </c>
      <c r="I106" s="436" t="inlineStr">
        <is>
          <t>INSIGHT</t>
        </is>
      </c>
      <c r="J106" s="436" t="n"/>
      <c r="K106" s="436" t="n"/>
      <c r="L106" s="437" t="inlineStr">
        <is>
          <t>Entrega em campo da estações de configuração portáteis, incluindo cabos de comunicação entre relés e computadores</t>
        </is>
      </c>
      <c r="M106" s="439">
        <f>O106/$N$66</f>
        <v/>
      </c>
      <c r="N106" s="1358" t="n"/>
      <c r="O106" s="1349" t="n">
        <v>19400.38</v>
      </c>
      <c r="P106" s="552" t="n">
        <v>30</v>
      </c>
      <c r="Q106" s="1334" t="n">
        <v>20000</v>
      </c>
    </row>
    <row r="107" outlineLevel="1" ht="27.6" customFormat="1" customHeight="1" s="166">
      <c r="A107" s="461">
        <f>'01_Preço'!$A$42</f>
        <v/>
      </c>
      <c r="B107" s="436">
        <f>'01_Preço'!$A$61</f>
        <v/>
      </c>
      <c r="C107" s="441">
        <f>'01_Preço'!B61</f>
        <v/>
      </c>
      <c r="D107" s="437" t="inlineStr">
        <is>
          <t>Equipamentos e materiais</t>
        </is>
      </c>
      <c r="E107" s="449" t="n">
        <v>30</v>
      </c>
      <c r="F107" s="1348">
        <f>VLOOKUP(E107,'Tabela de mês'!$A$1:$B$70,2,TRUE)</f>
        <v/>
      </c>
      <c r="G107" s="520" t="inlineStr">
        <is>
          <t>030-MAT B</t>
        </is>
      </c>
      <c r="H107" s="660" t="inlineStr">
        <is>
          <t>INSIGHT</t>
        </is>
      </c>
      <c r="I107" s="436" t="inlineStr">
        <is>
          <t>INSIGHT</t>
        </is>
      </c>
      <c r="J107" s="436" t="n"/>
      <c r="K107" s="436" t="n"/>
      <c r="L107" s="437" t="inlineStr">
        <is>
          <t>Fornecimento de Softwares com suas respectivas licenças para as estações de operação</t>
        </is>
      </c>
      <c r="M107" s="439">
        <f>O107/$N$66</f>
        <v/>
      </c>
      <c r="N107" s="1358" t="n"/>
      <c r="O107" s="1349" t="n">
        <v>79400.38</v>
      </c>
      <c r="P107" s="552" t="n">
        <v>30</v>
      </c>
      <c r="Q107" s="1334" t="n">
        <v>110000</v>
      </c>
    </row>
    <row r="108" outlineLevel="1" ht="27.6" customFormat="1" customHeight="1" s="166">
      <c r="A108" s="461">
        <f>'01_Preço'!$A$42</f>
        <v/>
      </c>
      <c r="B108" s="436">
        <f>'01_Preço'!$A$63</f>
        <v/>
      </c>
      <c r="C108" s="441">
        <f>'01_Preço'!B63</f>
        <v/>
      </c>
      <c r="D108" s="437" t="inlineStr">
        <is>
          <t>Equipamentos e materiais</t>
        </is>
      </c>
      <c r="E108" s="449" t="n"/>
      <c r="F108" s="449" t="n"/>
      <c r="G108" s="436" t="n"/>
      <c r="H108" s="436" t="n"/>
      <c r="I108" s="436" t="n"/>
      <c r="J108" s="436" t="n"/>
      <c r="K108" s="436" t="n"/>
      <c r="L108" s="437">
        <f>'01_Preço'!E63</f>
        <v/>
      </c>
      <c r="M108" s="439">
        <f>O108/$N$66</f>
        <v/>
      </c>
      <c r="N108" s="1356" t="n"/>
      <c r="O108" s="1349">
        <f>SUM(O109:O112)</f>
        <v/>
      </c>
      <c r="P108" s="552" t="n">
        <v>14</v>
      </c>
      <c r="Q108" s="1334" t="n"/>
    </row>
    <row r="109" outlineLevel="1" ht="27.6" customFormat="1" customHeight="1" s="166">
      <c r="A109" s="228">
        <f>'01_Preço'!$A$42</f>
        <v/>
      </c>
      <c r="B109" s="163">
        <f>'01_Preço'!$A$63</f>
        <v/>
      </c>
      <c r="C109" s="163">
        <f>'01_Preço'!$B$63</f>
        <v/>
      </c>
      <c r="D109" s="162" t="inlineStr">
        <is>
          <t>Equipamentos e materiais</t>
        </is>
      </c>
      <c r="E109" s="453" t="n">
        <v>30</v>
      </c>
      <c r="F109" s="1343">
        <f>VLOOKUP(E109,'Tabela de mês'!$A$1:$B$70,2,TRUE)</f>
        <v/>
      </c>
      <c r="G109" s="510" t="inlineStr">
        <is>
          <t>028-MAT C</t>
        </is>
      </c>
      <c r="H109" s="163" t="inlineStr">
        <is>
          <t>INSIGHT</t>
        </is>
      </c>
      <c r="I109" s="163" t="inlineStr">
        <is>
          <t>INSIGHT</t>
        </is>
      </c>
      <c r="J109" s="163" t="n"/>
      <c r="K109" s="163" t="n"/>
      <c r="L109" s="423" t="inlineStr">
        <is>
          <t>Entrega completa na obra dos cabos de controle e de força para interligação do Sistemas de Proteção da 1ª UF</t>
        </is>
      </c>
      <c r="M109" s="416">
        <f>O109/$O$108</f>
        <v/>
      </c>
      <c r="N109" s="1356" t="n"/>
      <c r="O109" s="1340" t="n">
        <v>104925.05</v>
      </c>
      <c r="P109" s="453" t="n">
        <v>30</v>
      </c>
      <c r="Q109" s="1340" t="n">
        <v>10000</v>
      </c>
    </row>
    <row r="110" outlineLevel="1" ht="27.6" customFormat="1" customHeight="1" s="166">
      <c r="A110" s="228">
        <f>'01_Preço'!$A$42</f>
        <v/>
      </c>
      <c r="B110" s="163">
        <f>'01_Preço'!$A$63</f>
        <v/>
      </c>
      <c r="C110" s="163">
        <f>'01_Preço'!$B$63</f>
        <v/>
      </c>
      <c r="D110" s="162" t="inlineStr">
        <is>
          <t>Equipamentos e materiais</t>
        </is>
      </c>
      <c r="E110" s="453" t="n">
        <v>40</v>
      </c>
      <c r="F110" s="1343">
        <f>VLOOKUP(E110,'Tabela de mês'!$A$1:$B$70,2,TRUE)</f>
        <v/>
      </c>
      <c r="G110" s="510" t="inlineStr">
        <is>
          <t>031-MAT C</t>
        </is>
      </c>
      <c r="H110" s="163" t="inlineStr">
        <is>
          <t>INSIGHT</t>
        </is>
      </c>
      <c r="I110" s="163" t="inlineStr">
        <is>
          <t>INSIGHT</t>
        </is>
      </c>
      <c r="J110" s="163" t="n"/>
      <c r="K110" s="163" t="n"/>
      <c r="L110" s="167" t="inlineStr">
        <is>
          <t>Entrega completa na obra dos dos cabos de controle e de força para interligação do Sistemas de Proteção da 2ª UF</t>
        </is>
      </c>
      <c r="M110" s="416">
        <f>O110/$O$108</f>
        <v/>
      </c>
      <c r="N110" s="1356" t="n"/>
      <c r="O110" s="1340" t="n">
        <v>104925.05</v>
      </c>
      <c r="P110" s="453" t="n">
        <v>39</v>
      </c>
      <c r="Q110" s="1340" t="n">
        <v>10000</v>
      </c>
    </row>
    <row r="111" outlineLevel="1" ht="27.6" customFormat="1" customHeight="1" s="166">
      <c r="A111" s="228">
        <f>'01_Preço'!$A$42</f>
        <v/>
      </c>
      <c r="B111" s="163">
        <f>'01_Preço'!$A$63</f>
        <v/>
      </c>
      <c r="C111" s="163">
        <f>'01_Preço'!$B$63</f>
        <v/>
      </c>
      <c r="D111" s="162" t="inlineStr">
        <is>
          <t>Equipamentos e materiais</t>
        </is>
      </c>
      <c r="E111" s="453" t="n">
        <v>52</v>
      </c>
      <c r="F111" s="1343">
        <f>VLOOKUP(E111,'Tabela de mês'!$A$1:$B$70,2,TRUE)</f>
        <v/>
      </c>
      <c r="G111" s="510" t="inlineStr">
        <is>
          <t>032-MAT C</t>
        </is>
      </c>
      <c r="H111" s="163" t="inlineStr">
        <is>
          <t>INSIGHT</t>
        </is>
      </c>
      <c r="I111" s="163" t="inlineStr">
        <is>
          <t>INSIGHT</t>
        </is>
      </c>
      <c r="J111" s="163" t="n"/>
      <c r="K111" s="163" t="n"/>
      <c r="L111" s="167" t="inlineStr">
        <is>
          <t>Entrega completa na obra dos cabos de controle e de força para interligação do Sistemas de Proteção da 3ª UF</t>
        </is>
      </c>
      <c r="M111" s="416">
        <f>O111/$O$108</f>
        <v/>
      </c>
      <c r="N111" s="1356" t="n"/>
      <c r="O111" s="1340" t="n">
        <v>104925.05</v>
      </c>
      <c r="P111" s="453" t="n">
        <v>49</v>
      </c>
      <c r="Q111" s="1340" t="n">
        <v>10000</v>
      </c>
    </row>
    <row r="112" outlineLevel="1" ht="28.2" customFormat="1" customHeight="1" s="166" thickBot="1">
      <c r="A112" s="231">
        <f>'01_Preço'!$A$42</f>
        <v/>
      </c>
      <c r="B112" s="163">
        <f>'01_Preço'!$A$63</f>
        <v/>
      </c>
      <c r="C112" s="163">
        <f>'01_Preço'!$B$63</f>
        <v/>
      </c>
      <c r="D112" s="178" t="inlineStr">
        <is>
          <t>Equipamentos e materiais</t>
        </is>
      </c>
      <c r="E112" s="453" t="n">
        <v>62</v>
      </c>
      <c r="F112" s="1343">
        <f>VLOOKUP(E112,'Tabela de mês'!$A$1:$B$70,2,TRUE)</f>
        <v/>
      </c>
      <c r="G112" s="510" t="inlineStr">
        <is>
          <t>033-MAT C</t>
        </is>
      </c>
      <c r="H112" s="179" t="inlineStr">
        <is>
          <t>INSIGHT</t>
        </is>
      </c>
      <c r="I112" s="179" t="inlineStr">
        <is>
          <t>INSIGHT</t>
        </is>
      </c>
      <c r="J112" s="179" t="n"/>
      <c r="K112" s="179" t="n"/>
      <c r="L112" s="180" t="inlineStr">
        <is>
          <t>Entrega completa na obra dos cabos de controle e de força para interligação do Sistemas de Proteção da 4ª UF</t>
        </is>
      </c>
      <c r="M112" s="421">
        <f>O112/$O$108</f>
        <v/>
      </c>
      <c r="N112" s="1359" t="n"/>
      <c r="O112" s="1340" t="n">
        <v>104925.05</v>
      </c>
      <c r="P112" s="453" t="n">
        <v>59</v>
      </c>
      <c r="Q112" s="1340" t="n">
        <v>10000</v>
      </c>
    </row>
    <row r="113" ht="15" customFormat="1" customHeight="1" s="166" thickBot="1">
      <c r="A113" s="1360" t="inlineStr">
        <is>
          <t>2.03 - Sistema Regulação de Velocidade e 2.06 sistema de excitação</t>
        </is>
      </c>
      <c r="B113" s="1139" t="n"/>
      <c r="C113" s="1139" t="n"/>
      <c r="D113" s="1139" t="n"/>
      <c r="E113" s="1139" t="n"/>
      <c r="F113" s="1139" t="n"/>
      <c r="G113" s="1139" t="n"/>
      <c r="H113" s="1139" t="n"/>
      <c r="I113" s="1139" t="n"/>
      <c r="J113" s="1139" t="n"/>
      <c r="K113" s="1139" t="n"/>
      <c r="L113" s="1139" t="n"/>
      <c r="M113" s="1140" t="n"/>
      <c r="N113" s="1332">
        <f>SUM(O114,O127,O132,O137,O142,O149,O154,O159,O160,O165,O170,O175,O147,O148)</f>
        <v/>
      </c>
      <c r="O113" s="1351" t="n"/>
      <c r="P113" s="1352" t="n"/>
      <c r="Q113" s="1332" t="n"/>
    </row>
    <row r="114" outlineLevel="1" ht="41.4" customFormat="1" customHeight="1" s="166">
      <c r="A114" s="682">
        <f>'01_Preço'!$A$65</f>
        <v/>
      </c>
      <c r="B114" s="486">
        <f>'01_Preço'!$A$66</f>
        <v/>
      </c>
      <c r="C114" s="486">
        <f>'01_Preço'!$B$66</f>
        <v/>
      </c>
      <c r="D114" s="713" t="inlineStr">
        <is>
          <t>Equipamentos e materiais</t>
        </is>
      </c>
      <c r="E114" s="714" t="n"/>
      <c r="F114" s="714" t="n"/>
      <c r="G114" s="715" t="n"/>
      <c r="H114" s="715" t="n"/>
      <c r="I114" s="715" t="n"/>
      <c r="J114" s="487" t="n"/>
      <c r="K114" s="487" t="n"/>
      <c r="L114" s="475">
        <f>'01_Preço'!E66</f>
        <v/>
      </c>
      <c r="M114" s="716">
        <f>O114/$N$113</f>
        <v/>
      </c>
      <c r="N114" s="1361" t="n"/>
      <c r="O114" s="1362">
        <f>SUM(O115:O126)</f>
        <v/>
      </c>
      <c r="P114" s="558" t="n"/>
      <c r="Q114" s="1363" t="n"/>
    </row>
    <row r="115" outlineLevel="1" ht="40.5" customHeight="1">
      <c r="A115" s="393">
        <f>'01_Preço'!$A$65</f>
        <v/>
      </c>
      <c r="B115" s="413">
        <f>CONCATENATE('01_Preço'!$A$66)</f>
        <v/>
      </c>
      <c r="C115" s="413">
        <f>'01_Preço'!$B$66</f>
        <v/>
      </c>
      <c r="D115" s="423">
        <f>'01_Preço'!E66</f>
        <v/>
      </c>
      <c r="E115" s="450" t="n">
        <v>16</v>
      </c>
      <c r="F115" s="1339">
        <f>VLOOKUP(E115,'Tabela de mês'!$A$1:$B$70,2,TRUE)</f>
        <v/>
      </c>
      <c r="G115" s="511" t="inlineStr">
        <is>
          <t>042-SER</t>
        </is>
      </c>
      <c r="H115" s="389" t="inlineStr">
        <is>
          <t>INSIGHT</t>
        </is>
      </c>
      <c r="I115" s="389" t="inlineStr">
        <is>
          <t>INSIGHT</t>
        </is>
      </c>
      <c r="J115" s="389" t="n"/>
      <c r="K115" s="389" t="n"/>
      <c r="L115" s="423" t="inlineStr">
        <is>
          <t>Aprovação do Plano de Emissão de Documentos do Sistema de Regulação de Velocidade</t>
        </is>
      </c>
      <c r="M115" s="391">
        <f>O115/$O$114</f>
        <v/>
      </c>
      <c r="N115" s="1340" t="n"/>
      <c r="O115" s="1340" t="n">
        <v>12982.51</v>
      </c>
      <c r="P115" s="553" t="n"/>
      <c r="Q115" s="1338" t="n"/>
      <c r="S115" s="662" t="inlineStr">
        <is>
          <t>SIM</t>
        </is>
      </c>
    </row>
    <row r="116" outlineLevel="1" ht="40.5" customHeight="1">
      <c r="A116" s="393">
        <f>'01_Preço'!$A$65</f>
        <v/>
      </c>
      <c r="B116" s="413">
        <f>CONCATENATE('01_Preço'!$A$66)</f>
        <v/>
      </c>
      <c r="C116" s="413">
        <f>'01_Preço'!$B$66</f>
        <v/>
      </c>
      <c r="D116" s="423">
        <f>'01_Preço'!E66</f>
        <v/>
      </c>
      <c r="E116" s="450" t="n">
        <v>16</v>
      </c>
      <c r="F116" s="1339">
        <f>VLOOKUP(E116,'Tabela de mês'!$A$1:$B$70,2,TRUE)</f>
        <v/>
      </c>
      <c r="G116" s="511" t="inlineStr">
        <is>
          <t>091-SER</t>
        </is>
      </c>
      <c r="H116" s="389" t="inlineStr">
        <is>
          <t>INSIGHT</t>
        </is>
      </c>
      <c r="I116" s="389" t="inlineStr">
        <is>
          <t>INSIGHT</t>
        </is>
      </c>
      <c r="J116" s="389" t="n"/>
      <c r="K116" s="389" t="n"/>
      <c r="L116" s="423" t="inlineStr">
        <is>
          <t>Aprovação do Plano de Emissão de Documentos do Sistema de Excitação</t>
        </is>
      </c>
      <c r="M116" s="391">
        <f>O116/$O$114</f>
        <v/>
      </c>
      <c r="N116" s="1340" t="n"/>
      <c r="O116" s="1340" t="n">
        <v>29184.33</v>
      </c>
      <c r="P116" s="553" t="n"/>
      <c r="Q116" s="1338" t="n"/>
      <c r="S116" s="662" t="inlineStr">
        <is>
          <t>SIM</t>
        </is>
      </c>
    </row>
    <row r="117" outlineLevel="1" ht="41.4" customHeight="1">
      <c r="A117" s="414">
        <f>'01_Preço'!$A$65</f>
        <v/>
      </c>
      <c r="B117" s="413">
        <f>CONCATENATE('01_Preço'!$A$66)</f>
        <v/>
      </c>
      <c r="C117" s="413">
        <f>'01_Preço'!$B$66</f>
        <v/>
      </c>
      <c r="D117" s="414">
        <f>'01_Preço'!E66</f>
        <v/>
      </c>
      <c r="E117" s="730" t="n">
        <v>22</v>
      </c>
      <c r="F117" s="1339">
        <f>VLOOKUP(E117,'Tabela de mês'!$A$1:$B$70,2,TRUE)</f>
        <v/>
      </c>
      <c r="G117" s="510" t="inlineStr">
        <is>
          <t>043-SER A</t>
        </is>
      </c>
      <c r="H117" s="389" t="inlineStr">
        <is>
          <t>REIVAX</t>
        </is>
      </c>
      <c r="I117" s="497" t="inlineStr">
        <is>
          <t>FAT. DIRETO</t>
        </is>
      </c>
      <c r="J117" s="389" t="n"/>
      <c r="K117" s="389" t="n"/>
      <c r="L117" s="342" t="inlineStr">
        <is>
          <t>Aprovação completa dos Documentos do Projeto Executivo e de Fabricação do Sistema de Regulação de Velocidade e excitação1ª UF</t>
        </is>
      </c>
      <c r="M117" s="391">
        <f>O117/$O$114</f>
        <v/>
      </c>
      <c r="N117" s="1340" t="n"/>
      <c r="O117" s="1340" t="n">
        <v>165376.65</v>
      </c>
      <c r="P117" s="553" t="n"/>
      <c r="Q117" s="1347" t="n"/>
    </row>
    <row r="118" outlineLevel="1" ht="41.4" customHeight="1">
      <c r="A118" s="414">
        <f>'01_Preço'!$A$65</f>
        <v/>
      </c>
      <c r="B118" s="413">
        <f>CONCATENATE('01_Preço'!$A$66)</f>
        <v/>
      </c>
      <c r="C118" s="413">
        <f>'01_Preço'!$B$66</f>
        <v/>
      </c>
      <c r="D118" s="414">
        <f>'01_Preço'!E66</f>
        <v/>
      </c>
      <c r="E118" s="730" t="n">
        <v>21</v>
      </c>
      <c r="F118" s="1339">
        <f>VLOOKUP(E118,'Tabela de mês'!$A$1:$B$70,2,TRUE)</f>
        <v/>
      </c>
      <c r="G118" s="510" t="inlineStr">
        <is>
          <t>092-SER A</t>
        </is>
      </c>
      <c r="H118" s="163" t="inlineStr">
        <is>
          <t>INSIGHT</t>
        </is>
      </c>
      <c r="I118" s="163" t="inlineStr">
        <is>
          <t>INSIGHT</t>
        </is>
      </c>
      <c r="J118" s="389" t="n"/>
      <c r="K118" s="389" t="n"/>
      <c r="L118" s="342" t="inlineStr">
        <is>
          <t>Aprovação completa dos Documentos do Projeto Executivo e de Fabricação da unidade hidráulica e servomotor da 1ª UF</t>
        </is>
      </c>
      <c r="M118" s="391">
        <f>O118/$O$114</f>
        <v/>
      </c>
      <c r="N118" s="1340" t="n"/>
      <c r="O118" s="1340" t="n">
        <v>103537.42</v>
      </c>
      <c r="P118" s="553" t="n"/>
      <c r="Q118" s="1347" t="n"/>
    </row>
    <row r="119" outlineLevel="1" ht="41.4" customHeight="1">
      <c r="A119" s="414">
        <f>'01_Preço'!$A$65</f>
        <v/>
      </c>
      <c r="B119" s="413">
        <f>CONCATENATE('01_Preço'!$A$66)</f>
        <v/>
      </c>
      <c r="C119" s="413">
        <f>'01_Preço'!$B$66</f>
        <v/>
      </c>
      <c r="D119" s="414">
        <f>'01_Preço'!E66</f>
        <v/>
      </c>
      <c r="E119" s="730" t="n">
        <v>22</v>
      </c>
      <c r="F119" s="1339">
        <f>VLOOKUP(E119,'Tabela de mês'!$A$1:$B$70,2,TRUE)</f>
        <v/>
      </c>
      <c r="G119" s="510" t="inlineStr">
        <is>
          <t>043-SER B</t>
        </is>
      </c>
      <c r="H119" s="389" t="inlineStr">
        <is>
          <t>REIVAX</t>
        </is>
      </c>
      <c r="I119" s="497" t="inlineStr">
        <is>
          <t>FAT. DIRETO</t>
        </is>
      </c>
      <c r="J119" s="389" t="n"/>
      <c r="K119" s="389" t="n"/>
      <c r="L119" s="342" t="inlineStr">
        <is>
          <t>Aprovação completa dos Documentos do Projeto Executivo e de Fabricação do Sistema de Regulação de Velocidade e excitação 2ª UF</t>
        </is>
      </c>
      <c r="M119" s="391">
        <f>O119/$O$114</f>
        <v/>
      </c>
      <c r="N119" s="1340" t="n"/>
      <c r="O119" s="1340" t="n">
        <v>165376.65</v>
      </c>
      <c r="P119" s="553" t="n"/>
      <c r="Q119" s="1347" t="n"/>
      <c r="R119" s="1327">
        <f>SUM(O114,O127,O132,O137)-524000</f>
        <v/>
      </c>
      <c r="S119" s="542">
        <f>R119/N113</f>
        <v/>
      </c>
    </row>
    <row r="120" outlineLevel="1" ht="41.4" customHeight="1">
      <c r="A120" s="414">
        <f>'01_Preço'!$A$65</f>
        <v/>
      </c>
      <c r="B120" s="413">
        <f>CONCATENATE('01_Preço'!$A$66)</f>
        <v/>
      </c>
      <c r="C120" s="413">
        <f>'01_Preço'!$B$66</f>
        <v/>
      </c>
      <c r="D120" s="414">
        <f>'01_Preço'!E66</f>
        <v/>
      </c>
      <c r="E120" s="730" t="n">
        <v>23</v>
      </c>
      <c r="F120" s="1339">
        <f>VLOOKUP(E120,'Tabela de mês'!$A$1:$B$70,2,TRUE)</f>
        <v/>
      </c>
      <c r="G120" s="510" t="inlineStr">
        <is>
          <t>092-SER B</t>
        </is>
      </c>
      <c r="H120" s="163" t="inlineStr">
        <is>
          <t>INSIGHT</t>
        </is>
      </c>
      <c r="I120" s="163" t="inlineStr">
        <is>
          <t>INSIGHT</t>
        </is>
      </c>
      <c r="J120" s="389" t="n"/>
      <c r="K120" s="389" t="n"/>
      <c r="L120" s="342" t="inlineStr">
        <is>
          <t>Aprovação completa dos Documentos do Projeto Executivo e de Fabricação da unidade hidráulica e servomotor da 2ª UF</t>
        </is>
      </c>
      <c r="M120" s="391">
        <f>O120/$O$114</f>
        <v/>
      </c>
      <c r="N120" s="1340" t="n"/>
      <c r="O120" s="1340" t="n">
        <v>103537.42</v>
      </c>
      <c r="P120" s="553" t="n"/>
      <c r="Q120" s="1347" t="n"/>
      <c r="R120" s="1327">
        <f>SUM(O142,O147:O149,O154,O159:O160,O165,O170,O175)+524000</f>
        <v/>
      </c>
      <c r="S120" s="542">
        <f>R120/N113</f>
        <v/>
      </c>
    </row>
    <row r="121" outlineLevel="1" ht="41.4" customHeight="1">
      <c r="A121" s="414">
        <f>'01_Preço'!$A$65</f>
        <v/>
      </c>
      <c r="B121" s="413">
        <f>CONCATENATE('01_Preço'!$A$66)</f>
        <v/>
      </c>
      <c r="C121" s="413">
        <f>'01_Preço'!$B$66</f>
        <v/>
      </c>
      <c r="D121" s="414">
        <f>'01_Preço'!E66</f>
        <v/>
      </c>
      <c r="E121" s="730" t="n">
        <v>24</v>
      </c>
      <c r="F121" s="1339">
        <f>VLOOKUP(E121,'Tabela de mês'!$A$1:$B$70,2,TRUE)</f>
        <v/>
      </c>
      <c r="G121" s="510" t="inlineStr">
        <is>
          <t>044-SER A</t>
        </is>
      </c>
      <c r="H121" s="389" t="inlineStr">
        <is>
          <t>REIVAX</t>
        </is>
      </c>
      <c r="I121" s="497" t="inlineStr">
        <is>
          <t>FAT. DIRETO</t>
        </is>
      </c>
      <c r="J121" s="389" t="n"/>
      <c r="K121" s="389" t="n"/>
      <c r="L121" s="342" t="inlineStr">
        <is>
          <t>Aprovação completa dos Documentos do Projeto Executivo e de Fabricação do Sistema de Regulação de Velocidade e excitação 3ª UF</t>
        </is>
      </c>
      <c r="M121" s="391">
        <f>O121/$O$114</f>
        <v/>
      </c>
      <c r="N121" s="1340" t="n"/>
      <c r="O121" s="1340" t="n">
        <v>165376.65</v>
      </c>
      <c r="P121" s="553" t="n"/>
      <c r="Q121" s="1347" t="n"/>
    </row>
    <row r="122" outlineLevel="1" ht="41.4" customHeight="1">
      <c r="A122" s="414">
        <f>'01_Preço'!$A$65</f>
        <v/>
      </c>
      <c r="B122" s="413">
        <f>CONCATENATE('01_Preço'!$A$66)</f>
        <v/>
      </c>
      <c r="C122" s="413">
        <f>'01_Preço'!$B$66</f>
        <v/>
      </c>
      <c r="D122" s="414">
        <f>'01_Preço'!E66</f>
        <v/>
      </c>
      <c r="E122" s="730" t="n">
        <v>25</v>
      </c>
      <c r="F122" s="1339">
        <f>VLOOKUP(E122,'Tabela de mês'!$A$1:$B$70,2,TRUE)</f>
        <v/>
      </c>
      <c r="G122" s="510" t="inlineStr">
        <is>
          <t>093-SER A</t>
        </is>
      </c>
      <c r="H122" s="163" t="inlineStr">
        <is>
          <t>INSIGHT</t>
        </is>
      </c>
      <c r="I122" s="163" t="inlineStr">
        <is>
          <t>INSIGHT</t>
        </is>
      </c>
      <c r="J122" s="389" t="n"/>
      <c r="K122" s="389" t="n"/>
      <c r="L122" s="342" t="inlineStr">
        <is>
          <t>Aprovação completa dos Documentos do Projeto Executivo e de Fabricação da unidade hidráulica e servomotor da 3ª UF</t>
        </is>
      </c>
      <c r="M122" s="391">
        <f>O122/$O$114</f>
        <v/>
      </c>
      <c r="N122" s="1340" t="n"/>
      <c r="O122" s="1340" t="n">
        <v>103537.42</v>
      </c>
      <c r="P122" s="553" t="n"/>
      <c r="Q122" s="1347" t="n"/>
    </row>
    <row r="123" outlineLevel="1" ht="41.4" customHeight="1">
      <c r="A123" s="414">
        <f>'01_Preço'!$A$65</f>
        <v/>
      </c>
      <c r="B123" s="413">
        <f>CONCATENATE('01_Preço'!$A$66)</f>
        <v/>
      </c>
      <c r="C123" s="413">
        <f>'01_Preço'!$B$66</f>
        <v/>
      </c>
      <c r="D123" s="414">
        <f>'01_Preço'!E66</f>
        <v/>
      </c>
      <c r="E123" s="730" t="n">
        <v>26</v>
      </c>
      <c r="F123" s="1339">
        <f>VLOOKUP(E123,'Tabela de mês'!$A$1:$B$70,2,TRUE)</f>
        <v/>
      </c>
      <c r="G123" s="510" t="inlineStr">
        <is>
          <t>044-SER B</t>
        </is>
      </c>
      <c r="H123" s="389" t="inlineStr">
        <is>
          <t>REIVAX</t>
        </is>
      </c>
      <c r="I123" s="497" t="inlineStr">
        <is>
          <t>FAT. DIRETO</t>
        </is>
      </c>
      <c r="J123" s="389" t="n"/>
      <c r="K123" s="389" t="n"/>
      <c r="L123" s="342" t="inlineStr">
        <is>
          <t>Aprovação completa dos Documentos do Projeto Executivo e de Fabricação do Sistema de Regulação de Velocidade e excitação 4ª UF</t>
        </is>
      </c>
      <c r="M123" s="391">
        <f>O123/$O$114</f>
        <v/>
      </c>
      <c r="N123" s="1340" t="n"/>
      <c r="O123" s="1340" t="n">
        <v>165376.65</v>
      </c>
      <c r="P123" s="553" t="n"/>
      <c r="Q123" s="1347" t="n"/>
    </row>
    <row r="124" outlineLevel="1" ht="41.4" customHeight="1">
      <c r="A124" s="414">
        <f>'01_Preço'!$A$65</f>
        <v/>
      </c>
      <c r="B124" s="413">
        <f>CONCATENATE('01_Preço'!$A$66)</f>
        <v/>
      </c>
      <c r="C124" s="413">
        <f>'01_Preço'!$B$66</f>
        <v/>
      </c>
      <c r="D124" s="169">
        <f>'01_Preço'!E66</f>
        <v/>
      </c>
      <c r="E124" s="730" t="n">
        <v>27</v>
      </c>
      <c r="F124" s="1339">
        <f>VLOOKUP(E124,'Tabela de mês'!$A$1:$B$70,2,TRUE)</f>
        <v/>
      </c>
      <c r="G124" s="510" t="inlineStr">
        <is>
          <t>093-SER B</t>
        </is>
      </c>
      <c r="H124" s="163" t="inlineStr">
        <is>
          <t>INSIGHT</t>
        </is>
      </c>
      <c r="I124" s="163" t="inlineStr">
        <is>
          <t>INSIGHT</t>
        </is>
      </c>
      <c r="J124" s="389" t="n"/>
      <c r="K124" s="389" t="n"/>
      <c r="L124" s="342" t="inlineStr">
        <is>
          <t>Aprovação completa dos Documentos do Projeto Executivo e de Fabricação da unidade hidráulica e servomotor da 4ª UF</t>
        </is>
      </c>
      <c r="M124" s="391">
        <f>O124/$O$114</f>
        <v/>
      </c>
      <c r="N124" s="1342" t="n"/>
      <c r="O124" s="1342" t="n">
        <v>103537.42</v>
      </c>
      <c r="P124" s="559" t="n"/>
      <c r="Q124" s="1347" t="n"/>
    </row>
    <row r="125" outlineLevel="1" ht="41.4" customHeight="1">
      <c r="A125" s="414">
        <f>'01_Preço'!$A$65</f>
        <v/>
      </c>
      <c r="B125" s="413">
        <f>CONCATENATE('01_Preço'!$A$66)</f>
        <v/>
      </c>
      <c r="C125" s="413">
        <f>'01_Preço'!$B$66</f>
        <v/>
      </c>
      <c r="D125" s="167">
        <f>'01_Preço'!E66</f>
        <v/>
      </c>
      <c r="E125" s="730" t="n">
        <v>65</v>
      </c>
      <c r="F125" s="1339">
        <f>VLOOKUP(E125,'Tabela de mês'!$A$1:$B$70,2,TRUE)</f>
        <v/>
      </c>
      <c r="G125" s="510" t="inlineStr">
        <is>
          <t>045-SER</t>
        </is>
      </c>
      <c r="H125" s="389" t="inlineStr">
        <is>
          <t>REIVAX</t>
        </is>
      </c>
      <c r="I125" s="497" t="inlineStr">
        <is>
          <t>FAT. DIRETO</t>
        </is>
      </c>
      <c r="J125" s="389" t="n"/>
      <c r="K125" s="389" t="n"/>
      <c r="L125" s="342" t="inlineStr">
        <is>
          <t>Aprovação da versão conforme construído do Projeto do Sistema de Regulação de Velocidade e excitação</t>
        </is>
      </c>
      <c r="M125" s="391">
        <f>O125/$O$114</f>
        <v/>
      </c>
      <c r="N125" s="1342" t="n"/>
      <c r="O125" s="1342" t="n">
        <v>60000</v>
      </c>
      <c r="P125" s="560" t="n"/>
      <c r="Q125" s="1347" t="n"/>
    </row>
    <row r="126" outlineLevel="1" ht="41.4" customHeight="1">
      <c r="A126" s="393">
        <f>'01_Preço'!$A$65</f>
        <v/>
      </c>
      <c r="B126" s="426">
        <f>CONCATENATE('01_Preço'!$A$66)</f>
        <v/>
      </c>
      <c r="C126" s="426">
        <f>'01_Preço'!$B$66</f>
        <v/>
      </c>
      <c r="D126" s="162">
        <f>'01_Preço'!E66</f>
        <v/>
      </c>
      <c r="E126" s="453" t="n">
        <v>65</v>
      </c>
      <c r="F126" s="1343">
        <f>VLOOKUP(E126,'Tabela de mês'!$A$1:$B$70,2,TRUE)</f>
        <v/>
      </c>
      <c r="G126" s="510" t="inlineStr">
        <is>
          <t>094-SER</t>
        </is>
      </c>
      <c r="H126" s="163" t="inlineStr">
        <is>
          <t>INSIGHT</t>
        </is>
      </c>
      <c r="I126" s="417" t="inlineStr">
        <is>
          <t>INSIGHT</t>
        </is>
      </c>
      <c r="J126" s="417" t="n"/>
      <c r="K126" s="417" t="n"/>
      <c r="L126" s="422" t="inlineStr">
        <is>
          <t>Aprovação da versão conforme construído do Projeto da unidade hidráulica e servomotor</t>
        </is>
      </c>
      <c r="M126" s="416">
        <f>O126/$O$114</f>
        <v/>
      </c>
      <c r="N126" s="1364" t="n"/>
      <c r="O126" s="1340" t="n">
        <v>45965.02</v>
      </c>
      <c r="P126" s="560" t="n"/>
      <c r="Q126" s="1347" t="n"/>
    </row>
    <row r="127" outlineLevel="1" ht="41.4" customFormat="1" customHeight="1" s="166">
      <c r="A127" s="466">
        <f>'01_Preço'!$A$65</f>
        <v/>
      </c>
      <c r="B127" s="467">
        <f>'01_Preço'!$A$68</f>
        <v/>
      </c>
      <c r="C127" s="467">
        <f>'01_Preço'!$B$68</f>
        <v/>
      </c>
      <c r="D127" s="470" t="inlineStr">
        <is>
          <t>Desmontagem  eletromecânica completa</t>
        </is>
      </c>
      <c r="E127" s="449" t="n"/>
      <c r="F127" s="449" t="n"/>
      <c r="G127" s="436" t="n"/>
      <c r="H127" s="436" t="n"/>
      <c r="I127" s="436" t="n"/>
      <c r="J127" s="436" t="n"/>
      <c r="K127" s="436" t="n"/>
      <c r="L127" s="437">
        <f>'01_Preço'!E68</f>
        <v/>
      </c>
      <c r="M127" s="446">
        <f>O127/$N$113</f>
        <v/>
      </c>
      <c r="N127" s="1365" t="n"/>
      <c r="O127" s="1349">
        <f>SUM(O128:O131)</f>
        <v/>
      </c>
      <c r="P127" s="556" t="n"/>
      <c r="Q127" s="1349" t="n"/>
    </row>
    <row r="128" outlineLevel="1" ht="41.4" customHeight="1">
      <c r="A128" s="393">
        <f>'01_Preço'!$A$65</f>
        <v/>
      </c>
      <c r="B128" s="170">
        <f>'01_Preço'!$A$68</f>
        <v/>
      </c>
      <c r="C128" s="168">
        <f>'01_Preço'!$B$70</f>
        <v/>
      </c>
      <c r="D128" s="171" t="inlineStr">
        <is>
          <t>Desmontagem e montagem eletromecânica completa</t>
        </is>
      </c>
      <c r="E128" s="453" t="n">
        <v>27</v>
      </c>
      <c r="F128" s="1343">
        <f>VLOOKUP(E128,'Tabela de mês'!$A$1:$B$70,2,TRUE)</f>
        <v/>
      </c>
      <c r="G128" s="510" t="inlineStr">
        <is>
          <t>051-SER</t>
        </is>
      </c>
      <c r="H128" s="417" t="inlineStr">
        <is>
          <t>INSIGHT</t>
        </is>
      </c>
      <c r="I128" s="417" t="inlineStr">
        <is>
          <t>INSIGHT</t>
        </is>
      </c>
      <c r="J128" s="417" t="n"/>
      <c r="K128" s="417" t="n"/>
      <c r="L128" s="422" t="inlineStr">
        <is>
          <t>Conclusão da Desmontagem de todos equipamentos e componentes do Sistema de Excitação e velocidade da 1ª UF</t>
        </is>
      </c>
      <c r="M128" s="416">
        <f>O128/$O$127</f>
        <v/>
      </c>
      <c r="N128" s="1364" t="n"/>
      <c r="O128" s="1340" t="n">
        <v>353969.07</v>
      </c>
      <c r="P128" s="553" t="n"/>
      <c r="Q128" s="1347" t="n"/>
    </row>
    <row r="129" outlineLevel="1" ht="41.4" customHeight="1">
      <c r="A129" s="393">
        <f>'01_Preço'!$A$65</f>
        <v/>
      </c>
      <c r="B129" s="170">
        <f>'01_Preço'!$A$68</f>
        <v/>
      </c>
      <c r="C129" s="168">
        <f>'01_Preço'!$B$70</f>
        <v/>
      </c>
      <c r="D129" s="171" t="inlineStr">
        <is>
          <t>Desmontagem e montagem eletromecânica completa</t>
        </is>
      </c>
      <c r="E129" s="453" t="n">
        <v>39</v>
      </c>
      <c r="F129" s="1343">
        <f>VLOOKUP(E129,'Tabela de mês'!$A$1:$B$70,2,TRUE)</f>
        <v/>
      </c>
      <c r="G129" s="510" t="inlineStr">
        <is>
          <t>052-SER</t>
        </is>
      </c>
      <c r="H129" s="417" t="inlineStr">
        <is>
          <t>INSIGHT</t>
        </is>
      </c>
      <c r="I129" s="417" t="inlineStr">
        <is>
          <t>INSIGHT</t>
        </is>
      </c>
      <c r="J129" s="417" t="n"/>
      <c r="K129" s="417" t="n"/>
      <c r="L129" s="422" t="inlineStr">
        <is>
          <t>Conclusão da Desmontagem de todos equipamentos e componentes do Sistema de Excitação e velocidade da 2ª UF</t>
        </is>
      </c>
      <c r="M129" s="416">
        <f>O129/$O$127</f>
        <v/>
      </c>
      <c r="N129" s="1364" t="n"/>
      <c r="O129" s="1340" t="n">
        <v>353969.07</v>
      </c>
      <c r="P129" s="553" t="n"/>
      <c r="Q129" s="1347" t="n"/>
    </row>
    <row r="130" outlineLevel="1" ht="41.4" customHeight="1">
      <c r="A130" s="393">
        <f>'01_Preço'!$A$65</f>
        <v/>
      </c>
      <c r="B130" s="170">
        <f>'01_Preço'!$A$68</f>
        <v/>
      </c>
      <c r="C130" s="168">
        <f>'01_Preço'!$B$70</f>
        <v/>
      </c>
      <c r="D130" s="171" t="inlineStr">
        <is>
          <t>Desmontagem e montagem eletromecânica completa</t>
        </is>
      </c>
      <c r="E130" s="453" t="n">
        <v>51</v>
      </c>
      <c r="F130" s="1343">
        <f>VLOOKUP(E130,'Tabela de mês'!$A$1:$B$70,2,TRUE)</f>
        <v/>
      </c>
      <c r="G130" s="510" t="inlineStr">
        <is>
          <t>053-SER</t>
        </is>
      </c>
      <c r="H130" s="417" t="inlineStr">
        <is>
          <t>INSIGHT</t>
        </is>
      </c>
      <c r="I130" s="417" t="inlineStr">
        <is>
          <t>INSIGHT</t>
        </is>
      </c>
      <c r="J130" s="417" t="n"/>
      <c r="K130" s="417" t="n"/>
      <c r="L130" s="422" t="inlineStr">
        <is>
          <t>Conclusão da Desmontagem de todos equipamentos e componentes do Sistema de Excitação e velocidade da 3ª UF</t>
        </is>
      </c>
      <c r="M130" s="416">
        <f>O130/$O$127</f>
        <v/>
      </c>
      <c r="N130" s="1364" t="n"/>
      <c r="O130" s="1340" t="n">
        <v>353969.07</v>
      </c>
      <c r="P130" s="553" t="n"/>
      <c r="Q130" s="1347" t="n"/>
    </row>
    <row r="131" outlineLevel="1" ht="41.4" customHeight="1">
      <c r="A131" s="393">
        <f>'01_Preço'!$A$65</f>
        <v/>
      </c>
      <c r="B131" s="170">
        <f>'01_Preço'!$A$68</f>
        <v/>
      </c>
      <c r="C131" s="168">
        <f>'01_Preço'!$B$70</f>
        <v/>
      </c>
      <c r="D131" s="171" t="inlineStr">
        <is>
          <t>Desmontagem e montagem eletromecânica completa</t>
        </is>
      </c>
      <c r="E131" s="453" t="n">
        <v>61</v>
      </c>
      <c r="F131" s="1343">
        <f>VLOOKUP(E131,'Tabela de mês'!$A$1:$B$70,2,TRUE)</f>
        <v/>
      </c>
      <c r="G131" s="510" t="inlineStr">
        <is>
          <t>054-SER</t>
        </is>
      </c>
      <c r="H131" s="417" t="inlineStr">
        <is>
          <t>INSIGHT</t>
        </is>
      </c>
      <c r="I131" s="417" t="inlineStr">
        <is>
          <t>INSIGHT</t>
        </is>
      </c>
      <c r="J131" s="417" t="n"/>
      <c r="K131" s="417" t="n"/>
      <c r="L131" s="422" t="inlineStr">
        <is>
          <t>Conclusão da Desmontagem de todos equipamentos e componentes do Sistema de Excitação e velocidade da 4ª UF</t>
        </is>
      </c>
      <c r="M131" s="416">
        <f>O131/$O$127</f>
        <v/>
      </c>
      <c r="N131" s="1364" t="n"/>
      <c r="O131" s="1340" t="n">
        <v>353969.07</v>
      </c>
      <c r="P131" s="560" t="n"/>
      <c r="Q131" s="1347" t="n"/>
    </row>
    <row r="132" outlineLevel="1" ht="41.4" customFormat="1" customHeight="1" s="166">
      <c r="A132" s="466">
        <f>'01_Preço'!$A$65</f>
        <v/>
      </c>
      <c r="B132" s="467">
        <f>'01_Preço'!$A$70</f>
        <v/>
      </c>
      <c r="C132" s="467">
        <f>'01_Preço'!$B$70</f>
        <v/>
      </c>
      <c r="D132" s="470" t="inlineStr">
        <is>
          <t>Montagem eletromecânica completa</t>
        </is>
      </c>
      <c r="E132" s="449" t="n"/>
      <c r="F132" s="449" t="n"/>
      <c r="G132" s="436" t="n"/>
      <c r="H132" s="436" t="n"/>
      <c r="I132" s="436" t="n"/>
      <c r="J132" s="436" t="n"/>
      <c r="K132" s="436" t="n"/>
      <c r="L132" s="437">
        <f>'01_Preço'!E70</f>
        <v/>
      </c>
      <c r="M132" s="446">
        <f>O132/$N$113</f>
        <v/>
      </c>
      <c r="N132" s="1365" t="n"/>
      <c r="O132" s="1349">
        <f>SUM(O133:O136)</f>
        <v/>
      </c>
      <c r="P132" s="556" t="n"/>
      <c r="Q132" s="1349" t="n"/>
    </row>
    <row r="133" outlineLevel="1" ht="41.4" customHeight="1">
      <c r="A133" s="393">
        <f>'01_Preço'!$A$65</f>
        <v/>
      </c>
      <c r="B133" s="170">
        <f>'01_Preço'!$A$70</f>
        <v/>
      </c>
      <c r="C133" s="168">
        <f>'01_Preço'!$B$70</f>
        <v/>
      </c>
      <c r="D133" s="171" t="inlineStr">
        <is>
          <t>Montagem e montagem eletromecânica completa</t>
        </is>
      </c>
      <c r="E133" s="453" t="n">
        <v>31</v>
      </c>
      <c r="F133" s="1343">
        <f>VLOOKUP(E133,'Tabela de mês'!$A$1:$B$70,2,TRUE)</f>
        <v/>
      </c>
      <c r="G133" s="510" t="inlineStr">
        <is>
          <t>100-SER</t>
        </is>
      </c>
      <c r="H133" s="417" t="inlineStr">
        <is>
          <t>INSIGHT</t>
        </is>
      </c>
      <c r="I133" s="417" t="inlineStr">
        <is>
          <t>INSIGHT</t>
        </is>
      </c>
      <c r="J133" s="417" t="n"/>
      <c r="K133" s="417" t="n"/>
      <c r="L133" s="422" t="inlineStr">
        <is>
          <t>Conclusão da Montagem de todos equipamentos e componentes do Sistema de Excitação e velocidade +#RVT da 1ª UF</t>
        </is>
      </c>
      <c r="M133" s="416">
        <f>O133/$O$132</f>
        <v/>
      </c>
      <c r="N133" s="1364" t="n"/>
      <c r="O133" s="1340" t="n">
        <v>353969.07</v>
      </c>
      <c r="P133" s="553" t="n"/>
      <c r="Q133" s="1347" t="n"/>
    </row>
    <row r="134" outlineLevel="1" ht="41.4" customHeight="1">
      <c r="A134" s="393">
        <f>'01_Preço'!$A$65</f>
        <v/>
      </c>
      <c r="B134" s="170">
        <f>'01_Preço'!$A$70</f>
        <v/>
      </c>
      <c r="C134" s="168">
        <f>'01_Preço'!$B$70</f>
        <v/>
      </c>
      <c r="D134" s="171" t="inlineStr">
        <is>
          <t>Montagem e montagem eletromecânica completa</t>
        </is>
      </c>
      <c r="E134" s="453" t="n">
        <v>42</v>
      </c>
      <c r="F134" s="1343">
        <f>VLOOKUP(E134,'Tabela de mês'!$A$1:$B$70,2,TRUE)</f>
        <v/>
      </c>
      <c r="G134" s="510" t="inlineStr">
        <is>
          <t>101-SER</t>
        </is>
      </c>
      <c r="H134" s="417" t="inlineStr">
        <is>
          <t>INSIGHT</t>
        </is>
      </c>
      <c r="I134" s="417" t="inlineStr">
        <is>
          <t>INSIGHT</t>
        </is>
      </c>
      <c r="J134" s="417" t="n"/>
      <c r="K134" s="417" t="n"/>
      <c r="L134" s="422" t="inlineStr">
        <is>
          <t>Conclusão da Montagem de todos equipamentos e componentes do Sistema de Excitação e velocidade +#RVT da 2ª UF</t>
        </is>
      </c>
      <c r="M134" s="416">
        <f>O134/$O$132</f>
        <v/>
      </c>
      <c r="N134" s="1364" t="n"/>
      <c r="O134" s="1340" t="n">
        <v>353969.07</v>
      </c>
      <c r="P134" s="553" t="n"/>
      <c r="Q134" s="1347" t="n"/>
    </row>
    <row r="135" outlineLevel="1" ht="41.4" customHeight="1">
      <c r="A135" s="393">
        <f>'01_Preço'!$A$65</f>
        <v/>
      </c>
      <c r="B135" s="170">
        <f>'01_Preço'!$A$70</f>
        <v/>
      </c>
      <c r="C135" s="168">
        <f>'01_Preço'!$B$70</f>
        <v/>
      </c>
      <c r="D135" s="171" t="inlineStr">
        <is>
          <t>Montagem e montagem eletromecânica completa</t>
        </is>
      </c>
      <c r="E135" s="453" t="n">
        <v>53</v>
      </c>
      <c r="F135" s="1343">
        <f>VLOOKUP(E135,'Tabela de mês'!$A$1:$B$70,2,TRUE)</f>
        <v/>
      </c>
      <c r="G135" s="510" t="inlineStr">
        <is>
          <t>102-SER</t>
        </is>
      </c>
      <c r="H135" s="417" t="inlineStr">
        <is>
          <t>INSIGHT</t>
        </is>
      </c>
      <c r="I135" s="417" t="inlineStr">
        <is>
          <t>INSIGHT</t>
        </is>
      </c>
      <c r="J135" s="417" t="n"/>
      <c r="K135" s="417" t="n"/>
      <c r="L135" s="422" t="inlineStr">
        <is>
          <t>Conclusão da Montagem de todos equipamentos e componentes do Sistema de Excitação e velocidade +#RVT da 3ª UF</t>
        </is>
      </c>
      <c r="M135" s="416">
        <f>O135/$O$132</f>
        <v/>
      </c>
      <c r="N135" s="1364" t="n"/>
      <c r="O135" s="1340" t="n">
        <v>353969.07</v>
      </c>
      <c r="P135" s="553" t="n"/>
      <c r="Q135" s="1347" t="n"/>
    </row>
    <row r="136" outlineLevel="1" ht="41.4" customHeight="1">
      <c r="A136" s="393">
        <f>'01_Preço'!$A$65</f>
        <v/>
      </c>
      <c r="B136" s="170">
        <f>'01_Preço'!$A$70</f>
        <v/>
      </c>
      <c r="C136" s="168">
        <f>'01_Preço'!$B$70</f>
        <v/>
      </c>
      <c r="D136" s="171" t="inlineStr">
        <is>
          <t>Montagem e montagem eletromecânica completa</t>
        </is>
      </c>
      <c r="E136" s="453" t="n">
        <v>63</v>
      </c>
      <c r="F136" s="1343">
        <f>VLOOKUP(E136,'Tabela de mês'!$A$1:$B$70,2,TRUE)</f>
        <v/>
      </c>
      <c r="G136" s="510" t="inlineStr">
        <is>
          <t>101-SER</t>
        </is>
      </c>
      <c r="H136" s="417" t="inlineStr">
        <is>
          <t>INSIGHT</t>
        </is>
      </c>
      <c r="I136" s="417" t="inlineStr">
        <is>
          <t>INSIGHT</t>
        </is>
      </c>
      <c r="J136" s="417" t="n"/>
      <c r="K136" s="417" t="n"/>
      <c r="L136" s="422" t="inlineStr">
        <is>
          <t>Conclusão da Montagem de todos equipamentos e componentes do Sistema de Excitação e velocidade +#RVT da 4ª UF</t>
        </is>
      </c>
      <c r="M136" s="416">
        <f>O136/$O$132</f>
        <v/>
      </c>
      <c r="N136" s="1364" t="n"/>
      <c r="O136" s="1340" t="n">
        <v>353969.07</v>
      </c>
      <c r="P136" s="560" t="n"/>
      <c r="Q136" s="1347" t="n"/>
    </row>
    <row r="137" outlineLevel="1" ht="41.4" customFormat="1" customHeight="1" s="166">
      <c r="A137" s="466">
        <f>'01_Preço'!$A$65</f>
        <v/>
      </c>
      <c r="B137" s="469">
        <f>CONCATENATE('01_Preço'!$A$72)</f>
        <v/>
      </c>
      <c r="C137" s="467">
        <f>'01_Preço'!$B$72</f>
        <v/>
      </c>
      <c r="D137" s="470" t="inlineStr">
        <is>
          <t>Montagem e montagem eletromecânica completa</t>
        </is>
      </c>
      <c r="E137" s="449" t="n"/>
      <c r="F137" s="449" t="n"/>
      <c r="G137" s="436" t="n"/>
      <c r="H137" s="436" t="n"/>
      <c r="I137" s="436" t="n"/>
      <c r="J137" s="436" t="n"/>
      <c r="K137" s="436" t="n"/>
      <c r="L137" s="437">
        <f>'01_Preço'!E72</f>
        <v/>
      </c>
      <c r="M137" s="446">
        <f>O137/$N$113</f>
        <v/>
      </c>
      <c r="N137" s="1365" t="n"/>
      <c r="O137" s="1349">
        <f>SUM(O138:O141)</f>
        <v/>
      </c>
      <c r="P137" s="556" t="n"/>
      <c r="Q137" s="1349" t="n"/>
    </row>
    <row r="138" outlineLevel="1" ht="41.4" customHeight="1">
      <c r="A138" s="228">
        <f>'01_Preço'!$A$65</f>
        <v/>
      </c>
      <c r="B138" s="168">
        <f>CONCATENATE('01_Preço'!$A$72)</f>
        <v/>
      </c>
      <c r="C138" s="168">
        <f>'01_Preço'!$B$72</f>
        <v/>
      </c>
      <c r="D138" s="171">
        <f>'01_Preço'!E$72</f>
        <v/>
      </c>
      <c r="E138" s="453" t="n">
        <v>33</v>
      </c>
      <c r="F138" s="1343">
        <f>VLOOKUP(E138,'Tabela de mês'!$A$1:$B$70,2,TRUE)</f>
        <v/>
      </c>
      <c r="G138" s="510" t="inlineStr">
        <is>
          <t>055-SER</t>
        </is>
      </c>
      <c r="H138" s="417" t="inlineStr">
        <is>
          <t>REIVAX</t>
        </is>
      </c>
      <c r="I138" s="496" t="inlineStr">
        <is>
          <t>FAT. DIRETO</t>
        </is>
      </c>
      <c r="J138" s="417" t="n"/>
      <c r="K138" s="417" t="n"/>
      <c r="L138" s="422" t="inlineStr">
        <is>
          <t>Conclusão do Comissionamento do Sistema de Regulação de Velocidade e Excitação da 1ª UF e treinamento</t>
        </is>
      </c>
      <c r="M138" s="416">
        <f>O138/$O$137</f>
        <v/>
      </c>
      <c r="N138" s="1364" t="n"/>
      <c r="O138" s="1342" t="n">
        <v>149594.25</v>
      </c>
      <c r="P138" s="553" t="n"/>
      <c r="Q138" s="1347" t="n"/>
    </row>
    <row r="139" outlineLevel="1" ht="41.4" customHeight="1">
      <c r="A139" s="228">
        <f>'01_Preço'!$A$65</f>
        <v/>
      </c>
      <c r="B139" s="168">
        <f>CONCATENATE('01_Preço'!$A$72)</f>
        <v/>
      </c>
      <c r="C139" s="168">
        <f>'01_Preço'!$B$72</f>
        <v/>
      </c>
      <c r="D139" s="171">
        <f>'01_Preço'!E$72</f>
        <v/>
      </c>
      <c r="E139" s="453" t="n">
        <v>44</v>
      </c>
      <c r="F139" s="1343">
        <f>VLOOKUP(E139,'Tabela de mês'!$A$1:$B$70,2,TRUE)</f>
        <v/>
      </c>
      <c r="G139" s="510" t="inlineStr">
        <is>
          <t>056-SER</t>
        </is>
      </c>
      <c r="H139" s="417" t="inlineStr">
        <is>
          <t>REIVAX</t>
        </is>
      </c>
      <c r="I139" s="496" t="inlineStr">
        <is>
          <t>FAT. DIRETO</t>
        </is>
      </c>
      <c r="J139" s="417" t="n"/>
      <c r="K139" s="417" t="n"/>
      <c r="L139" s="422" t="inlineStr">
        <is>
          <t>Conclusão do Comissionamento do Sistema de Regulação de Velocidade e Excitação da 2ª UF</t>
        </is>
      </c>
      <c r="M139" s="416">
        <f>O139/$O$137</f>
        <v/>
      </c>
      <c r="N139" s="1364" t="n"/>
      <c r="O139" s="1342" t="n">
        <v>81174.25</v>
      </c>
      <c r="P139" s="561" t="n"/>
      <c r="Q139" s="1347" t="n"/>
    </row>
    <row r="140" outlineLevel="1" ht="41.4" customHeight="1">
      <c r="A140" s="228">
        <f>'01_Preço'!$A$65</f>
        <v/>
      </c>
      <c r="B140" s="168">
        <f>CONCATENATE('01_Preço'!$A$72)</f>
        <v/>
      </c>
      <c r="C140" s="168">
        <f>'01_Preço'!$B$72</f>
        <v/>
      </c>
      <c r="D140" s="171">
        <f>'01_Preço'!E$72</f>
        <v/>
      </c>
      <c r="E140" s="453" t="n">
        <v>55</v>
      </c>
      <c r="F140" s="1343">
        <f>VLOOKUP(E140,'Tabela de mês'!$A$1:$B$70,2,TRUE)</f>
        <v/>
      </c>
      <c r="G140" s="510" t="inlineStr">
        <is>
          <t>057-SER</t>
        </is>
      </c>
      <c r="H140" s="417" t="inlineStr">
        <is>
          <t>REIVAX</t>
        </is>
      </c>
      <c r="I140" s="496" t="inlineStr">
        <is>
          <t>FAT. DIRETO</t>
        </is>
      </c>
      <c r="J140" s="417" t="n"/>
      <c r="K140" s="417" t="n"/>
      <c r="L140" s="422" t="inlineStr">
        <is>
          <t>Conclusão do Comissionamento do Sistema de Regulação de Velocidade e Excitação da 3ª UF</t>
        </is>
      </c>
      <c r="M140" s="416">
        <f>O140/$O$137</f>
        <v/>
      </c>
      <c r="N140" s="1364" t="n"/>
      <c r="O140" s="1342" t="n">
        <v>81174.25</v>
      </c>
      <c r="P140" s="560" t="n"/>
      <c r="Q140" s="1347" t="n"/>
    </row>
    <row r="141" outlineLevel="1" ht="41.4" customHeight="1">
      <c r="A141" s="231">
        <f>'01_Preço'!$A$65</f>
        <v/>
      </c>
      <c r="B141" s="168">
        <f>CONCATENATE('01_Preço'!$A$72)</f>
        <v/>
      </c>
      <c r="C141" s="176">
        <f>'01_Preço'!$B$72</f>
        <v/>
      </c>
      <c r="D141" s="171">
        <f>'01_Preço'!E$72</f>
        <v/>
      </c>
      <c r="E141" s="453" t="n">
        <v>65</v>
      </c>
      <c r="F141" s="1343">
        <f>VLOOKUP(E141,'Tabela de mês'!$A$1:$B$70,2,TRUE)</f>
        <v/>
      </c>
      <c r="G141" s="518" t="inlineStr">
        <is>
          <t>058-SER</t>
        </is>
      </c>
      <c r="H141" s="417" t="inlineStr">
        <is>
          <t>REIVAX</t>
        </is>
      </c>
      <c r="I141" s="497" t="inlineStr">
        <is>
          <t>FAT. DIRETO</t>
        </is>
      </c>
      <c r="J141" s="389" t="n"/>
      <c r="K141" s="389" t="n"/>
      <c r="L141" s="342" t="inlineStr">
        <is>
          <t>Conclusão do Comissionamento do Sistema de Regulação de Velocidade e Excitação da 4ª UF</t>
        </is>
      </c>
      <c r="M141" s="391">
        <f>O141/$O$137</f>
        <v/>
      </c>
      <c r="N141" s="1342" t="n"/>
      <c r="O141" s="1342" t="n">
        <v>81174.25</v>
      </c>
      <c r="P141" s="560" t="n"/>
      <c r="Q141" s="1347" t="n"/>
    </row>
    <row r="142" outlineLevel="1" ht="124.2" customFormat="1" customHeight="1" s="166">
      <c r="A142" s="466">
        <f>'01_Preço'!$A$65</f>
        <v/>
      </c>
      <c r="B142" s="469">
        <f>CONCATENATE('01_Preço'!$A$74," e ",'01_Preço'!$A$76," e ",'01_Preço'!$A$78," e ",'01_Preço'!$A$82)</f>
        <v/>
      </c>
      <c r="C142" s="469">
        <f>'01_Preço'!$B$74</f>
        <v/>
      </c>
      <c r="D142" s="437" t="inlineStr">
        <is>
          <t>Equipamentos e materiais</t>
        </is>
      </c>
      <c r="E142" s="449" t="n"/>
      <c r="F142" s="462" t="n"/>
      <c r="G142" s="441" t="n"/>
      <c r="H142" s="441" t="n"/>
      <c r="I142" s="441" t="n"/>
      <c r="J142" s="441" t="n"/>
      <c r="K142" s="441" t="n"/>
      <c r="L142" s="469">
        <f>CONCATENATE('01_Preço'!$E$74," e ",'01_Preço'!$E$76," e ",'01_Preço'!$E$78," e ",'01_Preço'!$E$82)</f>
        <v/>
      </c>
      <c r="M142" s="443">
        <f>O142/$N$113</f>
        <v/>
      </c>
      <c r="N142" s="1357" t="n"/>
      <c r="O142" s="1349">
        <f>SUM(O143:O146)</f>
        <v/>
      </c>
      <c r="P142" s="556" t="n"/>
      <c r="Q142" s="1349" t="n"/>
    </row>
    <row r="143" outlineLevel="1" ht="55.2" customHeight="1">
      <c r="A143" s="228">
        <f>'01_Preço'!$A$65</f>
        <v/>
      </c>
      <c r="B143" s="168">
        <f>CONCATENATE('01_Preço'!$A$74," e ",'01_Preço'!$A$76," e ",'01_Preço'!$A$78," e ",'01_Preço'!$A$82)</f>
        <v/>
      </c>
      <c r="C143" s="168">
        <f>'01_Preço'!$B$74</f>
        <v/>
      </c>
      <c r="D143" s="162" t="inlineStr">
        <is>
          <t>Equipamentos e materiais</t>
        </is>
      </c>
      <c r="E143" s="453" t="n">
        <v>30</v>
      </c>
      <c r="F143" s="1343">
        <f>VLOOKUP(E143,'Tabela de mês'!$A$1:$B$70,2,TRUE)</f>
        <v/>
      </c>
      <c r="G143" s="518" t="inlineStr">
        <is>
          <t>046-MAT A</t>
        </is>
      </c>
      <c r="H143" s="417" t="inlineStr">
        <is>
          <t>REIVAX</t>
        </is>
      </c>
      <c r="I143" s="496" t="inlineStr">
        <is>
          <t>FAT. DIRETO</t>
        </is>
      </c>
      <c r="J143" s="161" t="n"/>
      <c r="K143" s="161" t="n"/>
      <c r="L143" s="422" t="inlineStr">
        <is>
          <t>Entrega em campo contendo o Regulador de Velocidade e excitação digital da Unidade Geradora +#RVTda 1ª UF</t>
        </is>
      </c>
      <c r="M143" s="416">
        <f>O143/$O$142</f>
        <v/>
      </c>
      <c r="N143" s="1364" t="n"/>
      <c r="O143" s="1342" t="n">
        <v>855686.3999999999</v>
      </c>
      <c r="P143" s="553" t="n"/>
      <c r="Q143" s="1347" t="n"/>
    </row>
    <row r="144" outlineLevel="1" ht="55.2" customHeight="1">
      <c r="A144" s="228">
        <f>'01_Preço'!$A$65</f>
        <v/>
      </c>
      <c r="B144" s="168">
        <f>CONCATENATE('01_Preço'!$A$74," e ",'01_Preço'!$A$76," e ",'01_Preço'!$A$78," e ",'01_Preço'!$A$82)</f>
        <v/>
      </c>
      <c r="C144" s="168">
        <f>'01_Preço'!$B$74</f>
        <v/>
      </c>
      <c r="D144" s="162" t="inlineStr">
        <is>
          <t>Equipamentos e materiais</t>
        </is>
      </c>
      <c r="E144" s="453" t="n">
        <v>39</v>
      </c>
      <c r="F144" s="1343">
        <f>VLOOKUP(E144,'Tabela de mês'!$A$1:$B$70,2,TRUE)</f>
        <v/>
      </c>
      <c r="G144" s="518" t="inlineStr">
        <is>
          <t>048-MAT A</t>
        </is>
      </c>
      <c r="H144" s="417" t="inlineStr">
        <is>
          <t>REIVAX</t>
        </is>
      </c>
      <c r="I144" s="496" t="inlineStr">
        <is>
          <t>FAT. DIRETO</t>
        </is>
      </c>
      <c r="J144" s="161" t="n"/>
      <c r="K144" s="161" t="n"/>
      <c r="L144" s="422" t="inlineStr">
        <is>
          <t>Entrega em campo contendo o Regulador de Velocidade e excitação digital da Unidade Geradora +#RVTda 2ª UF</t>
        </is>
      </c>
      <c r="M144" s="416">
        <f>O144/$O$142</f>
        <v/>
      </c>
      <c r="N144" s="1364" t="n"/>
      <c r="O144" s="1342" t="n">
        <v>855686.3999999999</v>
      </c>
      <c r="P144" s="553" t="n"/>
      <c r="Q144" s="1347" t="n"/>
    </row>
    <row r="145" outlineLevel="1" ht="55.2" customHeight="1">
      <c r="A145" s="228">
        <f>'01_Preço'!$A$65</f>
        <v/>
      </c>
      <c r="B145" s="168">
        <f>CONCATENATE('01_Preço'!$A$74," e ",'01_Preço'!$A$76," e ",'01_Preço'!$A$78," e ",'01_Preço'!$A$82)</f>
        <v/>
      </c>
      <c r="C145" s="168">
        <f>'01_Preço'!$B$74</f>
        <v/>
      </c>
      <c r="D145" s="162" t="inlineStr">
        <is>
          <t>Equipamentos e materiais</t>
        </is>
      </c>
      <c r="E145" s="453" t="n">
        <v>52</v>
      </c>
      <c r="F145" s="1343">
        <f>VLOOKUP(E145,'Tabela de mês'!$A$1:$B$70,2,TRUE)</f>
        <v/>
      </c>
      <c r="G145" s="518" t="inlineStr">
        <is>
          <t>049-MAT A</t>
        </is>
      </c>
      <c r="H145" s="417" t="inlineStr">
        <is>
          <t>REIVAX</t>
        </is>
      </c>
      <c r="I145" s="496" t="inlineStr">
        <is>
          <t>FAT. DIRETO</t>
        </is>
      </c>
      <c r="J145" s="161" t="n"/>
      <c r="K145" s="161" t="n"/>
      <c r="L145" s="422" t="inlineStr">
        <is>
          <t>Entrega em campo contendo o Regulador de Velocidade e excitação digital da Unidade Geradora +#RVTda 3ª UF</t>
        </is>
      </c>
      <c r="M145" s="416">
        <f>O145/$O$142</f>
        <v/>
      </c>
      <c r="N145" s="1364" t="n"/>
      <c r="O145" s="1342" t="n">
        <v>855686.3999999999</v>
      </c>
      <c r="P145" s="553" t="n"/>
      <c r="Q145" s="1347" t="n"/>
    </row>
    <row r="146" outlineLevel="1" ht="55.2" customHeight="1">
      <c r="A146" s="228">
        <f>'01_Preço'!$A$65</f>
        <v/>
      </c>
      <c r="B146" s="168">
        <f>CONCATENATE('01_Preço'!$A$74," e ",'01_Preço'!$A$76," e ",'01_Preço'!$A$78," e ",'01_Preço'!$A$82)</f>
        <v/>
      </c>
      <c r="C146" s="168">
        <f>'01_Preço'!$B$74</f>
        <v/>
      </c>
      <c r="D146" s="162" t="inlineStr">
        <is>
          <t>Equipamentos e materiais</t>
        </is>
      </c>
      <c r="E146" s="453" t="n">
        <v>61</v>
      </c>
      <c r="F146" s="1343">
        <f>VLOOKUP(E146,'Tabela de mês'!$A$1:$B$70,2,TRUE)</f>
        <v/>
      </c>
      <c r="G146" s="518" t="inlineStr">
        <is>
          <t>050-MAT A</t>
        </is>
      </c>
      <c r="H146" s="417" t="inlineStr">
        <is>
          <t>REIVAX</t>
        </is>
      </c>
      <c r="I146" s="496" t="inlineStr">
        <is>
          <t>FAT. DIRETO</t>
        </is>
      </c>
      <c r="J146" s="161" t="n"/>
      <c r="K146" s="161" t="n"/>
      <c r="L146" s="422" t="inlineStr">
        <is>
          <t>Entrega em campo contendo o Regulador de Velocidade e excitação digital da Unidade Geradora +#RVTda 4ª UF</t>
        </is>
      </c>
      <c r="M146" s="416">
        <f>O146/$O$142</f>
        <v/>
      </c>
      <c r="N146" s="1364" t="n"/>
      <c r="O146" s="1342" t="n">
        <v>855686.3999999999</v>
      </c>
      <c r="P146" s="553" t="n"/>
      <c r="Q146" s="1347" t="n"/>
    </row>
    <row r="147" outlineLevel="1" ht="41.4" customFormat="1" customHeight="1" s="166">
      <c r="A147" s="466">
        <f>'01_Preço'!$A$65</f>
        <v/>
      </c>
      <c r="B147" s="469">
        <f>'01_Preço'!$A$84</f>
        <v/>
      </c>
      <c r="C147" s="469">
        <f>'01_Preço'!$B$88</f>
        <v/>
      </c>
      <c r="D147" s="437" t="inlineStr">
        <is>
          <t>Equipamentos e materiais</t>
        </is>
      </c>
      <c r="E147" s="449" t="n">
        <v>30</v>
      </c>
      <c r="F147" s="1348">
        <f>VLOOKUP(E147,'Tabela de mês'!$A$1:$B$70,2,TRUE)</f>
        <v/>
      </c>
      <c r="G147" s="510" t="inlineStr">
        <is>
          <t>096-MAT</t>
        </is>
      </c>
      <c r="H147" s="436" t="inlineStr">
        <is>
          <t>REIVAX</t>
        </is>
      </c>
      <c r="I147" s="496" t="inlineStr">
        <is>
          <t>FAT. DIRETO</t>
        </is>
      </c>
      <c r="J147" s="436" t="n"/>
      <c r="K147" s="436" t="n"/>
      <c r="L147" s="442" t="inlineStr">
        <is>
          <t>Entrega em campo de Micro computador do tipo notebook, com a configuração adequada aos programas e aplicativos dos equipamentos do SRT e do SRV</t>
        </is>
      </c>
      <c r="M147" s="446">
        <f>O147/$N$113</f>
        <v/>
      </c>
      <c r="N147" s="1365" t="n"/>
      <c r="O147" s="1349" t="n">
        <v>20232.38</v>
      </c>
      <c r="P147" s="553" t="n"/>
      <c r="Q147" s="1347" t="n"/>
    </row>
    <row r="148" outlineLevel="1" ht="55.2" customFormat="1" customHeight="1" s="166">
      <c r="A148" s="466">
        <f>'01_Preço'!$A$65</f>
        <v/>
      </c>
      <c r="B148" s="469">
        <f>'01_Preço'!$A$86</f>
        <v/>
      </c>
      <c r="C148" s="469">
        <f>'01_Preço'!$B$88</f>
        <v/>
      </c>
      <c r="D148" s="437" t="inlineStr">
        <is>
          <t>Equipamentos e materiais</t>
        </is>
      </c>
      <c r="E148" s="449" t="n">
        <v>30</v>
      </c>
      <c r="F148" s="1348">
        <f>VLOOKUP(E148,'Tabela de mês'!$A$1:$B$70,2,TRUE)</f>
        <v/>
      </c>
      <c r="G148" s="510" t="inlineStr">
        <is>
          <t>047-MAT</t>
        </is>
      </c>
      <c r="H148" s="436" t="inlineStr">
        <is>
          <t>REIVAX</t>
        </is>
      </c>
      <c r="I148" s="496" t="inlineStr">
        <is>
          <t>FAT. DIRETO</t>
        </is>
      </c>
      <c r="J148" s="436" t="n"/>
      <c r="K148" s="436" t="n"/>
      <c r="L148" s="442" t="inlineStr">
        <is>
          <t>Fornecimento de Licenças de softwares de todos os componentes que necessitem delas para uso completo tais como IHM, PLC e todos aqueles que dependam de software para alteração, bem como os hardlocks e licenças de uso irrestrito para todos os softwares e hardwares aplicados</t>
        </is>
      </c>
      <c r="M148" s="446">
        <f>O148/$N$113</f>
        <v/>
      </c>
      <c r="N148" s="1365" t="n"/>
      <c r="O148" s="1349" t="n">
        <v>50580.78</v>
      </c>
      <c r="P148" s="553" t="n"/>
      <c r="Q148" s="1347" t="n"/>
    </row>
    <row r="149" outlineLevel="1" ht="41.4" customFormat="1" customHeight="1" s="166">
      <c r="A149" s="466">
        <f>'01_Preço'!$A$65</f>
        <v/>
      </c>
      <c r="B149" s="469">
        <f>'01_Preço'!$A$88</f>
        <v/>
      </c>
      <c r="C149" s="469">
        <f>'01_Preço'!$B$88</f>
        <v/>
      </c>
      <c r="D149" s="437" t="inlineStr">
        <is>
          <t>Equipamentos e materiais</t>
        </is>
      </c>
      <c r="E149" s="449" t="n"/>
      <c r="F149" s="449" t="n"/>
      <c r="G149" s="441" t="n"/>
      <c r="H149" s="436" t="n"/>
      <c r="I149" s="436" t="n"/>
      <c r="J149" s="436" t="n"/>
      <c r="K149" s="436" t="n"/>
      <c r="L149" s="442">
        <f>'01_Preço'!E88</f>
        <v/>
      </c>
      <c r="M149" s="446">
        <f>O149/$N$113</f>
        <v/>
      </c>
      <c r="N149" s="1365" t="n"/>
      <c r="O149" s="1349">
        <f>SUM(O150:O153)</f>
        <v/>
      </c>
      <c r="P149" s="553" t="n"/>
      <c r="Q149" s="1347" t="n"/>
    </row>
    <row r="150" outlineLevel="1" ht="41.4" customHeight="1">
      <c r="A150" s="228">
        <f>'01_Preço'!$A$65</f>
        <v/>
      </c>
      <c r="B150" s="168">
        <f>'01_Preço'!$A$88</f>
        <v/>
      </c>
      <c r="C150" s="168">
        <f>'01_Preço'!$B$88</f>
        <v/>
      </c>
      <c r="D150" s="162" t="inlineStr">
        <is>
          <t>Equipamentos e materiais</t>
        </is>
      </c>
      <c r="E150" s="453" t="n">
        <v>30</v>
      </c>
      <c r="F150" s="1343">
        <f>VLOOKUP(E150,'Tabela de mês'!$A$1:$B$70,2,TRUE)</f>
        <v/>
      </c>
      <c r="G150" s="518" t="inlineStr">
        <is>
          <t>046-MAT B</t>
        </is>
      </c>
      <c r="H150" s="660" t="inlineStr">
        <is>
          <t>HINE</t>
        </is>
      </c>
      <c r="I150" s="496" t="inlineStr">
        <is>
          <t>FAT. DIRETO</t>
        </is>
      </c>
      <c r="J150" s="161" t="n"/>
      <c r="K150" s="161" t="n"/>
      <c r="L150" s="422" t="inlineStr">
        <is>
          <t>Entrega em campo dos Servomotores principais da turbina hidráulica e cilindro da trava da unidade geradora da 1ª UF</t>
        </is>
      </c>
      <c r="M150" s="416">
        <f>O150/$O$149</f>
        <v/>
      </c>
      <c r="N150" s="1366" t="n"/>
      <c r="O150" s="1340">
        <f>73692*2+64721.39*0.25</f>
        <v/>
      </c>
      <c r="P150" s="553" t="n"/>
      <c r="Q150" s="1347" t="n"/>
      <c r="R150" s="1327">
        <f>N150-O150</f>
        <v/>
      </c>
      <c r="S150" s="542">
        <f>N150/O150</f>
        <v/>
      </c>
      <c r="T150" s="1327">
        <f>T151*4</f>
        <v/>
      </c>
    </row>
    <row r="151" outlineLevel="1" ht="41.4" customHeight="1">
      <c r="A151" s="228">
        <f>'01_Preço'!$A$65</f>
        <v/>
      </c>
      <c r="B151" s="168">
        <f>'01_Preço'!$A$88</f>
        <v/>
      </c>
      <c r="C151" s="168">
        <f>'01_Preço'!$B$88</f>
        <v/>
      </c>
      <c r="D151" s="162" t="inlineStr">
        <is>
          <t>Equipamentos e materiais</t>
        </is>
      </c>
      <c r="E151" s="453" t="n">
        <v>39</v>
      </c>
      <c r="F151" s="1343">
        <f>VLOOKUP(E151,'Tabela de mês'!$A$1:$B$70,2,TRUE)</f>
        <v/>
      </c>
      <c r="G151" s="510" t="inlineStr">
        <is>
          <t>048-MAT B</t>
        </is>
      </c>
      <c r="H151" s="660" t="inlineStr">
        <is>
          <t>HINE</t>
        </is>
      </c>
      <c r="I151" s="496" t="inlineStr">
        <is>
          <t>FAT. DIRETO</t>
        </is>
      </c>
      <c r="J151" s="161" t="n"/>
      <c r="K151" s="161" t="n"/>
      <c r="L151" s="422" t="inlineStr">
        <is>
          <t>Entrega em campo dos Servomotores principais da turbina hidráulica e cilindro da trava da unidade geradora da 2ª UF</t>
        </is>
      </c>
      <c r="M151" s="416">
        <f>O151/$O$149</f>
        <v/>
      </c>
      <c r="N151" s="1366" t="n"/>
      <c r="O151" s="1340">
        <f>73692*2+64721.39*0.25</f>
        <v/>
      </c>
      <c r="P151" s="553" t="n"/>
      <c r="Q151" s="1347" t="n"/>
      <c r="R151" s="1327">
        <f>N151-O151</f>
        <v/>
      </c>
      <c r="S151" s="1327">
        <f>O150*1.17</f>
        <v/>
      </c>
      <c r="T151" s="1327">
        <f>N150-S151</f>
        <v/>
      </c>
    </row>
    <row r="152" outlineLevel="1" ht="41.4" customHeight="1">
      <c r="A152" s="228">
        <f>'01_Preço'!$A$65</f>
        <v/>
      </c>
      <c r="B152" s="168">
        <f>'01_Preço'!$A$88</f>
        <v/>
      </c>
      <c r="C152" s="168">
        <f>'01_Preço'!$B$88</f>
        <v/>
      </c>
      <c r="D152" s="162" t="inlineStr">
        <is>
          <t>Equipamentos e materiais</t>
        </is>
      </c>
      <c r="E152" s="453" t="n">
        <v>52</v>
      </c>
      <c r="F152" s="1343">
        <f>VLOOKUP(E152,'Tabela de mês'!$A$1:$B$70,2,TRUE)</f>
        <v/>
      </c>
      <c r="G152" s="510" t="inlineStr">
        <is>
          <t>049-MAT B</t>
        </is>
      </c>
      <c r="H152" s="660" t="inlineStr">
        <is>
          <t>HINE</t>
        </is>
      </c>
      <c r="I152" s="496" t="inlineStr">
        <is>
          <t>FAT. DIRETO</t>
        </is>
      </c>
      <c r="J152" s="161" t="n"/>
      <c r="K152" s="161" t="n"/>
      <c r="L152" s="422" t="inlineStr">
        <is>
          <t>Entrega em campo dos Servomotores principais da turbina hidráulica e cilindro da trava da unidade geradora da 3ª UF</t>
        </is>
      </c>
      <c r="M152" s="416">
        <f>O152/$O$149</f>
        <v/>
      </c>
      <c r="N152" s="1366" t="n"/>
      <c r="O152" s="1340">
        <f>73692*2+64721.39*0.25</f>
        <v/>
      </c>
      <c r="P152" s="553" t="n"/>
      <c r="Q152" s="1347" t="n"/>
      <c r="R152" s="1327">
        <f>N152-O152</f>
        <v/>
      </c>
      <c r="S152" s="1327" t="n"/>
      <c r="T152" s="1327" t="n"/>
    </row>
    <row r="153" outlineLevel="1" ht="41.4" customHeight="1">
      <c r="A153" s="228">
        <f>'01_Preço'!$A$65</f>
        <v/>
      </c>
      <c r="B153" s="168">
        <f>'01_Preço'!$A$88</f>
        <v/>
      </c>
      <c r="C153" s="168">
        <f>'01_Preço'!$B$88</f>
        <v/>
      </c>
      <c r="D153" s="162" t="inlineStr">
        <is>
          <t>Equipamentos e materiais</t>
        </is>
      </c>
      <c r="E153" s="453" t="n">
        <v>61</v>
      </c>
      <c r="F153" s="1343">
        <f>VLOOKUP(E153,'Tabela de mês'!$A$1:$B$70,2,TRUE)</f>
        <v/>
      </c>
      <c r="G153" s="510" t="inlineStr">
        <is>
          <t>050-MAT B</t>
        </is>
      </c>
      <c r="H153" s="660" t="inlineStr">
        <is>
          <t>HINE</t>
        </is>
      </c>
      <c r="I153" s="496" t="inlineStr">
        <is>
          <t>FAT. DIRETO</t>
        </is>
      </c>
      <c r="J153" s="161" t="n"/>
      <c r="K153" s="161" t="n"/>
      <c r="L153" s="422" t="inlineStr">
        <is>
          <t>Entrega em campo dos Servomotores principais da turbina hidráulica e cilindro da trava da unidade geradora da 4ª UF</t>
        </is>
      </c>
      <c r="M153" s="416">
        <f>O153/$O$149</f>
        <v/>
      </c>
      <c r="N153" s="1366" t="n"/>
      <c r="O153" s="1340">
        <f>73692*2+64721.39*0.25</f>
        <v/>
      </c>
      <c r="P153" s="553" t="n"/>
      <c r="Q153" s="1347" t="n"/>
      <c r="R153" s="1327">
        <f>N153-O153</f>
        <v/>
      </c>
      <c r="S153" s="1327" t="n"/>
      <c r="T153" s="1327" t="n"/>
    </row>
    <row r="154" outlineLevel="1" ht="55.2" customFormat="1" customHeight="1" s="166">
      <c r="A154" s="466">
        <f>'01_Preço'!$A$65</f>
        <v/>
      </c>
      <c r="B154" s="469">
        <f>'01_Preço'!$A$90</f>
        <v/>
      </c>
      <c r="C154" s="469">
        <f>'01_Preço'!$B$90</f>
        <v/>
      </c>
      <c r="D154" s="437" t="inlineStr">
        <is>
          <t>Equipamentos e materiais</t>
        </is>
      </c>
      <c r="E154" s="449" t="n"/>
      <c r="F154" s="449" t="n"/>
      <c r="G154" s="436" t="n"/>
      <c r="H154" s="436" t="n"/>
      <c r="I154" s="436" t="n"/>
      <c r="J154" s="436" t="n"/>
      <c r="K154" s="436" t="n"/>
      <c r="L154" s="442">
        <f>'01_Preço'!E90</f>
        <v/>
      </c>
      <c r="M154" s="446">
        <f>O154/$N$113</f>
        <v/>
      </c>
      <c r="N154" s="1365" t="n"/>
      <c r="O154" s="1349">
        <f>SUM(O155:O158)</f>
        <v/>
      </c>
      <c r="P154" s="556" t="n"/>
      <c r="Q154" s="1349" t="n"/>
    </row>
    <row r="155" outlineLevel="1" ht="69" customHeight="1">
      <c r="A155" s="228">
        <f>'01_Preço'!$A$65</f>
        <v/>
      </c>
      <c r="B155" s="168">
        <f>'01_Preço'!$A$90</f>
        <v/>
      </c>
      <c r="C155" s="168">
        <f>'01_Preço'!$B$90</f>
        <v/>
      </c>
      <c r="D155" s="162" t="inlineStr">
        <is>
          <t>Equipamentos e materiais</t>
        </is>
      </c>
      <c r="E155" s="453" t="n">
        <v>30</v>
      </c>
      <c r="F155" s="1343">
        <f>VLOOKUP(E155,'Tabela de mês'!$A$1:$B$70,2,TRUE)</f>
        <v/>
      </c>
      <c r="G155" s="518" t="inlineStr">
        <is>
          <t>046-MAT C</t>
        </is>
      </c>
      <c r="H155" s="660" t="inlineStr">
        <is>
          <t>HINE</t>
        </is>
      </c>
      <c r="I155" s="496" t="inlineStr">
        <is>
          <t>FAT. DIRETO</t>
        </is>
      </c>
      <c r="J155" s="161" t="n"/>
      <c r="K155" s="161" t="n"/>
      <c r="L155" s="422" t="inlineStr">
        <is>
          <t>Entrega em campo da unidade hidráulica de controle completa, contendo acumulador de pressão com nitrogênio-óleo, tanque de armazenamento de óleo, moto-bombas, eletroválvulas de controle, sensores, transdutores, sistemas de controle, trocadores de calor, filtros, painel local de comando e controle +#UHRT, etc. 1ª UF</t>
        </is>
      </c>
      <c r="M155" s="416">
        <f>O155/$O$154</f>
        <v/>
      </c>
      <c r="N155" s="1366" t="n"/>
      <c r="O155" s="1367" t="n">
        <v>718915.0699999999</v>
      </c>
      <c r="P155" s="553" t="n"/>
      <c r="Q155" s="1347" t="n"/>
      <c r="R155" s="1327">
        <f>N155-O155</f>
        <v/>
      </c>
      <c r="S155" s="542">
        <f>N155/O155</f>
        <v/>
      </c>
    </row>
    <row r="156" outlineLevel="1" ht="69" customHeight="1">
      <c r="A156" s="228">
        <f>'01_Preço'!$A$65</f>
        <v/>
      </c>
      <c r="B156" s="168">
        <f>'01_Preço'!$A$90</f>
        <v/>
      </c>
      <c r="C156" s="168">
        <f>'01_Preço'!$B$90</f>
        <v/>
      </c>
      <c r="D156" s="162" t="inlineStr">
        <is>
          <t>Equipamentos e materiais</t>
        </is>
      </c>
      <c r="E156" s="453" t="n">
        <v>39</v>
      </c>
      <c r="F156" s="1343">
        <f>VLOOKUP(E156,'Tabela de mês'!$A$1:$B$70,2,TRUE)</f>
        <v/>
      </c>
      <c r="G156" s="510" t="inlineStr">
        <is>
          <t>048-MAT C</t>
        </is>
      </c>
      <c r="H156" s="660" t="inlineStr">
        <is>
          <t>HINE</t>
        </is>
      </c>
      <c r="I156" s="496" t="inlineStr">
        <is>
          <t>FAT. DIRETO</t>
        </is>
      </c>
      <c r="J156" s="161" t="n"/>
      <c r="K156" s="161" t="n"/>
      <c r="L156" s="422" t="inlineStr">
        <is>
          <t>Entrega em campo da unidade hidráulica de controle completa, contendo acumulador de pressão com nitrogênio-óleo, tanque de armazenamento de óleo, moto-bombas, eletroválvulas de controle, sensores, transdutores, sistemas de controle, trocadores de calor, filtros, painel local de comando e controle +#UHRT, etc. 2ª UF</t>
        </is>
      </c>
      <c r="M156" s="416">
        <f>O156/$O$154</f>
        <v/>
      </c>
      <c r="N156" s="1366" t="n"/>
      <c r="O156" s="1367" t="n">
        <v>718915.0699999999</v>
      </c>
      <c r="P156" s="553" t="n"/>
      <c r="Q156" s="1347" t="n"/>
      <c r="R156" s="1327">
        <f>N156-O156</f>
        <v/>
      </c>
    </row>
    <row r="157" outlineLevel="1" ht="69" customHeight="1">
      <c r="A157" s="228">
        <f>'01_Preço'!$A$65</f>
        <v/>
      </c>
      <c r="B157" s="168">
        <f>'01_Preço'!$A$90</f>
        <v/>
      </c>
      <c r="C157" s="168">
        <f>'01_Preço'!$B$90</f>
        <v/>
      </c>
      <c r="D157" s="162" t="inlineStr">
        <is>
          <t>Equipamentos e materiais</t>
        </is>
      </c>
      <c r="E157" s="453" t="n">
        <v>52</v>
      </c>
      <c r="F157" s="1343">
        <f>VLOOKUP(E157,'Tabela de mês'!$A$1:$B$70,2,TRUE)</f>
        <v/>
      </c>
      <c r="G157" s="510" t="inlineStr">
        <is>
          <t>049-MAT C</t>
        </is>
      </c>
      <c r="H157" s="660" t="inlineStr">
        <is>
          <t>HINE</t>
        </is>
      </c>
      <c r="I157" s="496" t="inlineStr">
        <is>
          <t>FAT. DIRETO</t>
        </is>
      </c>
      <c r="J157" s="161" t="n"/>
      <c r="K157" s="161" t="n"/>
      <c r="L157" s="422" t="inlineStr">
        <is>
          <t>Entrega em campo da unidade hidráulica de controle completa, contendo acumulador de pressão com nitrogênio-óleo, tanque de armazenamento de óleo, moto-bombas, eletroválvulas de controle, sensores, transdutores, sistemas de controle, trocadores de calor, filtros, painel local de comando e controle +#UHRT, etc. 3ª UF</t>
        </is>
      </c>
      <c r="M157" s="416">
        <f>O157/$O$154</f>
        <v/>
      </c>
      <c r="N157" s="1366" t="n"/>
      <c r="O157" s="1367" t="n">
        <v>718915.0699999999</v>
      </c>
      <c r="P157" s="553" t="n"/>
      <c r="Q157" s="1347" t="n"/>
      <c r="R157" s="1327">
        <f>N157-O157</f>
        <v/>
      </c>
    </row>
    <row r="158" outlineLevel="1" ht="69" customHeight="1">
      <c r="A158" s="228">
        <f>'01_Preço'!$A$65</f>
        <v/>
      </c>
      <c r="B158" s="168">
        <f>'01_Preço'!$A$90</f>
        <v/>
      </c>
      <c r="C158" s="168">
        <f>'01_Preço'!$B$90</f>
        <v/>
      </c>
      <c r="D158" s="162" t="inlineStr">
        <is>
          <t>Equipamentos e materiais</t>
        </is>
      </c>
      <c r="E158" s="453" t="n">
        <v>61</v>
      </c>
      <c r="F158" s="1343">
        <f>VLOOKUP(E158,'Tabela de mês'!$A$1:$B$70,2,TRUE)</f>
        <v/>
      </c>
      <c r="G158" s="510" t="inlineStr">
        <is>
          <t>050-MAT C</t>
        </is>
      </c>
      <c r="H158" s="660" t="inlineStr">
        <is>
          <t>HINE</t>
        </is>
      </c>
      <c r="I158" s="496" t="inlineStr">
        <is>
          <t>FAT. DIRETO</t>
        </is>
      </c>
      <c r="J158" s="161" t="n"/>
      <c r="K158" s="161" t="n"/>
      <c r="L158" s="422" t="inlineStr">
        <is>
          <t>Entrega em campo da unidade hidráulica de controle completa, contendo acumulador de pressão com nitrogênio-óleo, tanque de armazenamento de óleo, moto-bombas, eletroválvulas de controle, sensores, transdutores, sistemas de controle, trocadores de calor, filtros, painel local de comando e controle +#UHRT, etc. 4ª UF</t>
        </is>
      </c>
      <c r="M158" s="416">
        <f>O158/$O$154</f>
        <v/>
      </c>
      <c r="N158" s="1366" t="n"/>
      <c r="O158" s="1367" t="n">
        <v>718915.0699999999</v>
      </c>
      <c r="P158" s="553" t="n"/>
      <c r="Q158" s="1347" t="n"/>
      <c r="R158" s="1327">
        <f>N158-O158</f>
        <v/>
      </c>
    </row>
    <row r="159" outlineLevel="1" ht="41.4" customFormat="1" customHeight="1" s="166">
      <c r="A159" s="466">
        <f>'01_Preço'!$A$65</f>
        <v/>
      </c>
      <c r="B159" s="469">
        <f>'01_Preço'!$A$92</f>
        <v/>
      </c>
      <c r="C159" s="469">
        <f>'01_Preço'!$B$92</f>
        <v/>
      </c>
      <c r="D159" s="437" t="inlineStr">
        <is>
          <t>Equipamentos e materiais</t>
        </is>
      </c>
      <c r="E159" s="449" t="n">
        <v>30</v>
      </c>
      <c r="F159" s="1348">
        <f>VLOOKUP(E159,'Tabela de mês'!$A$1:$B$70,2,TRUE)</f>
        <v/>
      </c>
      <c r="G159" s="510" t="inlineStr">
        <is>
          <t>046-MAT G</t>
        </is>
      </c>
      <c r="H159" s="660" t="inlineStr">
        <is>
          <t>HINE</t>
        </is>
      </c>
      <c r="I159" s="496" t="inlineStr">
        <is>
          <t>FAT. DIRETO</t>
        </is>
      </c>
      <c r="J159" s="436" t="n"/>
      <c r="K159" s="436" t="n"/>
      <c r="L159" s="442" t="inlineStr">
        <is>
          <t>Entrega em campo da motobomba portátil com filtro para esgotar as unidades hidráulicas e os servomotores em manutenção</t>
        </is>
      </c>
      <c r="M159" s="446">
        <f>O159/$N$113</f>
        <v/>
      </c>
      <c r="N159" s="1365" t="n"/>
      <c r="O159" s="1368" t="n">
        <v>11467.31</v>
      </c>
      <c r="P159" s="556" t="n"/>
      <c r="Q159" s="1349" t="n"/>
    </row>
    <row r="160" outlineLevel="1" ht="41.4" customFormat="1" customHeight="1" s="166">
      <c r="A160" s="466">
        <f>'01_Preço'!$A$65</f>
        <v/>
      </c>
      <c r="B160" s="469">
        <f>'01_Preço'!$A$94</f>
        <v/>
      </c>
      <c r="C160" s="469">
        <f>'01_Preço'!$B$94</f>
        <v/>
      </c>
      <c r="D160" s="437" t="inlineStr">
        <is>
          <t>Equipamentos e materiais</t>
        </is>
      </c>
      <c r="E160" s="449" t="n"/>
      <c r="F160" s="449" t="n"/>
      <c r="G160" s="436" t="n"/>
      <c r="H160" s="436" t="n"/>
      <c r="I160" s="436" t="n"/>
      <c r="J160" s="436" t="n"/>
      <c r="K160" s="436" t="n"/>
      <c r="L160" s="442">
        <f>'01_Preço'!E94</f>
        <v/>
      </c>
      <c r="M160" s="446">
        <f>O160/$N$113</f>
        <v/>
      </c>
      <c r="N160" s="1365" t="n"/>
      <c r="O160" s="1349">
        <f>SUM(O161:O164)</f>
        <v/>
      </c>
      <c r="P160" s="556" t="n"/>
      <c r="Q160" s="1349" t="n"/>
    </row>
    <row r="161" outlineLevel="1" ht="41.4" customHeight="1">
      <c r="A161" s="228">
        <f>'01_Preço'!$A$65</f>
        <v/>
      </c>
      <c r="B161" s="168">
        <f>'01_Preço'!$A$94</f>
        <v/>
      </c>
      <c r="C161" s="168">
        <f>'01_Preço'!$B$94</f>
        <v/>
      </c>
      <c r="D161" s="162" t="inlineStr">
        <is>
          <t>Equipamentos e materiais</t>
        </is>
      </c>
      <c r="E161" s="453" t="n">
        <v>30</v>
      </c>
      <c r="F161" s="1343">
        <f>VLOOKUP(E161,'Tabela de mês'!$A$1:$B$70,2,TRUE)</f>
        <v/>
      </c>
      <c r="G161" s="510" t="inlineStr">
        <is>
          <t>046-MAT D</t>
        </is>
      </c>
      <c r="H161" s="161" t="inlineStr">
        <is>
          <t>INSIGHT</t>
        </is>
      </c>
      <c r="I161" s="161" t="inlineStr">
        <is>
          <t>INSIGHT</t>
        </is>
      </c>
      <c r="J161" s="161" t="n"/>
      <c r="K161" s="161" t="n"/>
      <c r="L161" s="422" t="inlineStr">
        <is>
          <t>Entrega em campo do cabos de potência, força e de controle para interligação entre os cubículos de velocidade e excitação, trafo de excitação e gerador da 1ª UF</t>
        </is>
      </c>
      <c r="M161" s="416">
        <f>O161/$O$160</f>
        <v/>
      </c>
      <c r="N161" s="1364" t="n"/>
      <c r="O161" s="1342" t="n">
        <v>119119.13</v>
      </c>
      <c r="P161" s="553" t="n">
        <v>22</v>
      </c>
      <c r="Q161" s="1347" t="n">
        <v>80000</v>
      </c>
    </row>
    <row r="162" outlineLevel="1" ht="41.4" customHeight="1">
      <c r="A162" s="228">
        <f>'01_Preço'!$A$65</f>
        <v/>
      </c>
      <c r="B162" s="168">
        <f>'01_Preço'!$A$94</f>
        <v/>
      </c>
      <c r="C162" s="168">
        <f>'01_Preço'!$B$94</f>
        <v/>
      </c>
      <c r="D162" s="162" t="inlineStr">
        <is>
          <t>Equipamentos e materiais</t>
        </is>
      </c>
      <c r="E162" s="453" t="n">
        <v>39</v>
      </c>
      <c r="F162" s="1343">
        <f>VLOOKUP(E162,'Tabela de mês'!$A$1:$B$70,2,TRUE)</f>
        <v/>
      </c>
      <c r="G162" s="510" t="inlineStr">
        <is>
          <t>048-MAT D</t>
        </is>
      </c>
      <c r="H162" s="161" t="inlineStr">
        <is>
          <t>INSIGHT</t>
        </is>
      </c>
      <c r="I162" s="161" t="inlineStr">
        <is>
          <t>INSIGHT</t>
        </is>
      </c>
      <c r="J162" s="161" t="n"/>
      <c r="K162" s="161" t="n"/>
      <c r="L162" s="422" t="inlineStr">
        <is>
          <t>Entrega em campo do cabos de potência, força e de controle para interligação entre os cubículos de velocidade e excitação, trafo de excitação e gerador da 2ª UF</t>
        </is>
      </c>
      <c r="M162" s="416">
        <f>O162/$O$160</f>
        <v/>
      </c>
      <c r="N162" s="1364" t="n"/>
      <c r="O162" s="1342" t="n">
        <v>119119.13</v>
      </c>
      <c r="P162" s="553" t="n">
        <v>30</v>
      </c>
      <c r="Q162" s="1347" t="n">
        <v>80000</v>
      </c>
    </row>
    <row r="163" outlineLevel="1" ht="41.4" customHeight="1">
      <c r="A163" s="228">
        <f>'01_Preço'!$A$65</f>
        <v/>
      </c>
      <c r="B163" s="168">
        <f>'01_Preço'!$A$94</f>
        <v/>
      </c>
      <c r="C163" s="168">
        <f>'01_Preço'!$B$94</f>
        <v/>
      </c>
      <c r="D163" s="162" t="inlineStr">
        <is>
          <t>Equipamentos e materiais</t>
        </is>
      </c>
      <c r="E163" s="453" t="n">
        <v>52</v>
      </c>
      <c r="F163" s="1343">
        <f>VLOOKUP(E163,'Tabela de mês'!$A$1:$B$70,2,TRUE)</f>
        <v/>
      </c>
      <c r="G163" s="510" t="inlineStr">
        <is>
          <t>049-MAT D</t>
        </is>
      </c>
      <c r="H163" s="161" t="inlineStr">
        <is>
          <t>INSIGHT</t>
        </is>
      </c>
      <c r="I163" s="161" t="inlineStr">
        <is>
          <t>INSIGHT</t>
        </is>
      </c>
      <c r="J163" s="161" t="n"/>
      <c r="K163" s="161" t="n"/>
      <c r="L163" s="422" t="inlineStr">
        <is>
          <t>Entrega em campo do cabos de potência, força e de controle para interligação entre os cubículos de velocidade e excitação, trafo de excitação e gerador da 3ª UF</t>
        </is>
      </c>
      <c r="M163" s="416">
        <f>O163/$O$160</f>
        <v/>
      </c>
      <c r="N163" s="1364" t="n"/>
      <c r="O163" s="1342" t="n">
        <v>119119.13</v>
      </c>
      <c r="P163" s="553" t="n">
        <v>41</v>
      </c>
      <c r="Q163" s="1347" t="n">
        <v>80000</v>
      </c>
    </row>
    <row r="164" outlineLevel="1" ht="41.4" customHeight="1">
      <c r="A164" s="228">
        <f>'01_Preço'!$A$65</f>
        <v/>
      </c>
      <c r="B164" s="168">
        <f>'01_Preço'!$A$94</f>
        <v/>
      </c>
      <c r="C164" s="168">
        <f>'01_Preço'!$B$94</f>
        <v/>
      </c>
      <c r="D164" s="162" t="inlineStr">
        <is>
          <t>Equipamentos e materiais</t>
        </is>
      </c>
      <c r="E164" s="453" t="n">
        <v>61</v>
      </c>
      <c r="F164" s="1343">
        <f>VLOOKUP(E164,'Tabela de mês'!$A$1:$B$70,2,TRUE)</f>
        <v/>
      </c>
      <c r="G164" s="510" t="inlineStr">
        <is>
          <t>050-MAT D</t>
        </is>
      </c>
      <c r="H164" s="161" t="inlineStr">
        <is>
          <t>INSIGHT</t>
        </is>
      </c>
      <c r="I164" s="161" t="inlineStr">
        <is>
          <t>INSIGHT</t>
        </is>
      </c>
      <c r="J164" s="161" t="n"/>
      <c r="K164" s="161" t="n"/>
      <c r="L164" s="422" t="inlineStr">
        <is>
          <t>Entrega em campo do cabos de potência, força e de controle para interligação entre os cubículos de velocidade e excitação, trafo de excitação e gerador da 4ª UF</t>
        </is>
      </c>
      <c r="M164" s="416">
        <f>O164/$O$160</f>
        <v/>
      </c>
      <c r="N164" s="1364" t="n"/>
      <c r="O164" s="1342" t="n">
        <v>119119.14</v>
      </c>
      <c r="P164" s="553" t="n">
        <v>51</v>
      </c>
      <c r="Q164" s="1347" t="n">
        <v>80000</v>
      </c>
      <c r="R164" s="1327" t="n"/>
      <c r="S164" s="1327" t="n"/>
      <c r="T164" s="1327" t="n"/>
    </row>
    <row r="165" outlineLevel="1" ht="41.4" customFormat="1" customHeight="1" s="166">
      <c r="A165" s="466">
        <f>'01_Preço'!$A$65</f>
        <v/>
      </c>
      <c r="B165" s="469">
        <f>'01_Preço'!$A$96</f>
        <v/>
      </c>
      <c r="C165" s="469">
        <f>'01_Preço'!$B$96</f>
        <v/>
      </c>
      <c r="D165" s="437" t="inlineStr">
        <is>
          <t>Equipamentos e materiais</t>
        </is>
      </c>
      <c r="E165" s="449" t="n"/>
      <c r="F165" s="449" t="n"/>
      <c r="G165" s="436" t="n"/>
      <c r="H165" s="436" t="n"/>
      <c r="I165" s="436" t="n"/>
      <c r="J165" s="436" t="n"/>
      <c r="K165" s="436" t="n"/>
      <c r="L165" s="442">
        <f>'01_Preço'!E96</f>
        <v/>
      </c>
      <c r="M165" s="446">
        <f>O165/$N$113</f>
        <v/>
      </c>
      <c r="N165" s="1365" t="n"/>
      <c r="O165" s="1349">
        <f>SUM(O166:O169)</f>
        <v/>
      </c>
      <c r="P165" s="556" t="n"/>
      <c r="Q165" s="1349" t="n"/>
    </row>
    <row r="166" outlineLevel="1" ht="41.4" customHeight="1">
      <c r="A166" s="228">
        <f>'01_Preço'!$A$65</f>
        <v/>
      </c>
      <c r="B166" s="168">
        <f>'01_Preço'!$A$96</f>
        <v/>
      </c>
      <c r="C166" s="168">
        <f>'01_Preço'!$B$96</f>
        <v/>
      </c>
      <c r="D166" s="162" t="inlineStr">
        <is>
          <t>Equipamentos e materiais</t>
        </is>
      </c>
      <c r="E166" s="453" t="n">
        <v>30</v>
      </c>
      <c r="F166" s="1343">
        <f>VLOOKUP(E166,'Tabela de mês'!$A$1:$B$70,2,TRUE)</f>
        <v/>
      </c>
      <c r="G166" s="510" t="inlineStr">
        <is>
          <t>046-MAT E</t>
        </is>
      </c>
      <c r="H166" s="161" t="inlineStr">
        <is>
          <t>INSIGHT</t>
        </is>
      </c>
      <c r="I166" s="161" t="inlineStr">
        <is>
          <t>INSIGHT</t>
        </is>
      </c>
      <c r="J166" s="161" t="n"/>
      <c r="K166" s="161" t="n"/>
      <c r="L166" s="422" t="inlineStr">
        <is>
          <t>Entrega em campo da carga de óleo completa e graxas para o Sistema de Regulação de Velocidade da Unidade Geradora da 1ª UF</t>
        </is>
      </c>
      <c r="M166" s="416">
        <f>O166/$O$165</f>
        <v/>
      </c>
      <c r="N166" s="1364" t="n"/>
      <c r="O166" s="1340" t="n">
        <v>210526.54</v>
      </c>
      <c r="P166" s="553" t="n">
        <v>23</v>
      </c>
      <c r="Q166" s="1347" t="n">
        <v>200000</v>
      </c>
    </row>
    <row r="167" outlineLevel="1" ht="41.4" customHeight="1">
      <c r="A167" s="228">
        <f>'01_Preço'!$A$65</f>
        <v/>
      </c>
      <c r="B167" s="168">
        <f>'01_Preço'!$A$96</f>
        <v/>
      </c>
      <c r="C167" s="168">
        <f>'01_Preço'!$B$96</f>
        <v/>
      </c>
      <c r="D167" s="162" t="inlineStr">
        <is>
          <t>Equipamentos e materiais</t>
        </is>
      </c>
      <c r="E167" s="453" t="n">
        <v>39</v>
      </c>
      <c r="F167" s="1343">
        <f>VLOOKUP(E167,'Tabela de mês'!$A$1:$B$70,2,TRUE)</f>
        <v/>
      </c>
      <c r="G167" s="510" t="inlineStr">
        <is>
          <t>048-MAT E</t>
        </is>
      </c>
      <c r="H167" s="161" t="inlineStr">
        <is>
          <t>INSIGHT</t>
        </is>
      </c>
      <c r="I167" s="161" t="inlineStr">
        <is>
          <t>INSIGHT</t>
        </is>
      </c>
      <c r="J167" s="161" t="n"/>
      <c r="K167" s="161" t="n"/>
      <c r="L167" s="422" t="inlineStr">
        <is>
          <t>Entrega em campo da carga de óleo completa e graxas para o Sistema de Regulação de Velocidade da Unidade Geradora da 2ª UF</t>
        </is>
      </c>
      <c r="M167" s="416">
        <f>O167/$O$165</f>
        <v/>
      </c>
      <c r="N167" s="1364" t="n"/>
      <c r="O167" s="1340" t="n">
        <v>210526.54</v>
      </c>
      <c r="P167" s="553" t="n">
        <v>31</v>
      </c>
      <c r="Q167" s="1347" t="n">
        <v>200000</v>
      </c>
    </row>
    <row r="168" outlineLevel="1" ht="41.4" customHeight="1">
      <c r="A168" s="228">
        <f>'01_Preço'!$A$65</f>
        <v/>
      </c>
      <c r="B168" s="168">
        <f>'01_Preço'!$A$96</f>
        <v/>
      </c>
      <c r="C168" s="168">
        <f>'01_Preço'!$B$96</f>
        <v/>
      </c>
      <c r="D168" s="162" t="inlineStr">
        <is>
          <t>Equipamentos e materiais</t>
        </is>
      </c>
      <c r="E168" s="453" t="n">
        <v>52</v>
      </c>
      <c r="F168" s="1343">
        <f>VLOOKUP(E168,'Tabela de mês'!$A$1:$B$70,2,TRUE)</f>
        <v/>
      </c>
      <c r="G168" s="510" t="inlineStr">
        <is>
          <t>049-MAT E</t>
        </is>
      </c>
      <c r="H168" s="161" t="inlineStr">
        <is>
          <t>INSIGHT</t>
        </is>
      </c>
      <c r="I168" s="161" t="inlineStr">
        <is>
          <t>INSIGHT</t>
        </is>
      </c>
      <c r="J168" s="161" t="n"/>
      <c r="K168" s="161" t="n"/>
      <c r="L168" s="422" t="inlineStr">
        <is>
          <t>Entrega em campo da carga de óleo completa e graxas para o Sistema de Regulação de Velocidade da Unidade Geradora da 3ª UF</t>
        </is>
      </c>
      <c r="M168" s="416">
        <f>O168/$O$165</f>
        <v/>
      </c>
      <c r="N168" s="1364" t="n"/>
      <c r="O168" s="1340" t="n">
        <v>210526.54</v>
      </c>
      <c r="P168" s="553" t="n">
        <v>42</v>
      </c>
      <c r="Q168" s="1347" t="n">
        <v>200000</v>
      </c>
    </row>
    <row r="169" outlineLevel="1" ht="41.4" customHeight="1">
      <c r="A169" s="228">
        <f>'01_Preço'!$A$65</f>
        <v/>
      </c>
      <c r="B169" s="168">
        <f>'01_Preço'!$A$96</f>
        <v/>
      </c>
      <c r="C169" s="168">
        <f>'01_Preço'!$B$96</f>
        <v/>
      </c>
      <c r="D169" s="162" t="inlineStr">
        <is>
          <t>Equipamentos e materiais</t>
        </is>
      </c>
      <c r="E169" s="453" t="n">
        <v>61</v>
      </c>
      <c r="F169" s="1343">
        <f>VLOOKUP(E169,'Tabela de mês'!$A$1:$B$70,2,TRUE)</f>
        <v/>
      </c>
      <c r="G169" s="510" t="inlineStr">
        <is>
          <t>050-MAT E</t>
        </is>
      </c>
      <c r="H169" s="161" t="inlineStr">
        <is>
          <t>INSIGHT</t>
        </is>
      </c>
      <c r="I169" s="161" t="inlineStr">
        <is>
          <t>INSIGHT</t>
        </is>
      </c>
      <c r="J169" s="161" t="n"/>
      <c r="K169" s="161" t="n"/>
      <c r="L169" s="422" t="inlineStr">
        <is>
          <t>Entrega em campo da carga de óleo completa e graxas para o Sistema de Regulação de Velocidade da Unidade Geradora da 4ª UF</t>
        </is>
      </c>
      <c r="M169" s="416">
        <f>O169/$O$165</f>
        <v/>
      </c>
      <c r="N169" s="1364" t="n"/>
      <c r="O169" s="1340" t="n">
        <v>210526.54</v>
      </c>
      <c r="P169" s="553" t="n">
        <v>52</v>
      </c>
      <c r="Q169" s="1347" t="n">
        <v>200000</v>
      </c>
    </row>
    <row r="170" outlineLevel="1" ht="41.4" customFormat="1" customHeight="1" s="166">
      <c r="A170" s="466">
        <f>'01_Preço'!$A$65</f>
        <v/>
      </c>
      <c r="B170" s="469">
        <f>'01_Preço'!$A$98</f>
        <v/>
      </c>
      <c r="C170" s="469">
        <f>'01_Preço'!$B$98</f>
        <v/>
      </c>
      <c r="D170" s="437" t="inlineStr">
        <is>
          <t>Equipamentos e materiais</t>
        </is>
      </c>
      <c r="E170" s="449" t="n"/>
      <c r="F170" s="449" t="n"/>
      <c r="G170" s="436" t="n"/>
      <c r="H170" s="436" t="n"/>
      <c r="I170" s="436" t="n"/>
      <c r="J170" s="436" t="n"/>
      <c r="K170" s="436" t="n"/>
      <c r="L170" s="442">
        <f>'01_Preço'!E98</f>
        <v/>
      </c>
      <c r="M170" s="446">
        <f>O170/$N$113</f>
        <v/>
      </c>
      <c r="N170" s="1365" t="n"/>
      <c r="O170" s="1349">
        <f>SUM(O171:O174)</f>
        <v/>
      </c>
      <c r="P170" s="556" t="n"/>
      <c r="Q170" s="1349" t="n"/>
    </row>
    <row r="171" outlineLevel="1" ht="41.4" customHeight="1">
      <c r="A171" s="228">
        <f>'01_Preço'!$A$65</f>
        <v/>
      </c>
      <c r="B171" s="168">
        <f>'01_Preço'!$A$98</f>
        <v/>
      </c>
      <c r="C171" s="168">
        <f>'01_Preço'!$B$98</f>
        <v/>
      </c>
      <c r="D171" s="162" t="inlineStr">
        <is>
          <t>Equipamentos e materiais</t>
        </is>
      </c>
      <c r="E171" s="453" t="n">
        <v>30</v>
      </c>
      <c r="F171" s="1343">
        <f>VLOOKUP(E171,'Tabela de mês'!$A$1:$B$70,2,TRUE)</f>
        <v/>
      </c>
      <c r="G171" s="510" t="inlineStr">
        <is>
          <t>046-MAT F</t>
        </is>
      </c>
      <c r="H171" s="161" t="inlineStr">
        <is>
          <t>INSIGHT</t>
        </is>
      </c>
      <c r="I171" s="161" t="inlineStr">
        <is>
          <t>INSIGHT</t>
        </is>
      </c>
      <c r="J171" s="161" t="n"/>
      <c r="K171" s="161" t="n"/>
      <c r="L171" s="422" t="inlineStr">
        <is>
          <t>Entrega em campo das tubulações, suportes, adaptações e acessórios para o SRV da 1ª UF</t>
        </is>
      </c>
      <c r="M171" s="416">
        <f>O171/$O$170</f>
        <v/>
      </c>
      <c r="N171" s="1364" t="n"/>
      <c r="O171" s="1340" t="n">
        <v>49587.74</v>
      </c>
      <c r="P171" s="553" t="n">
        <v>23</v>
      </c>
      <c r="Q171" s="1347" t="n">
        <v>40000</v>
      </c>
    </row>
    <row r="172" outlineLevel="1" ht="41.4" customHeight="1">
      <c r="A172" s="228">
        <f>'01_Preço'!$A$65</f>
        <v/>
      </c>
      <c r="B172" s="168">
        <f>'01_Preço'!$A$98</f>
        <v/>
      </c>
      <c r="C172" s="168">
        <f>'01_Preço'!$B$98</f>
        <v/>
      </c>
      <c r="D172" s="162" t="inlineStr">
        <is>
          <t>Equipamentos e materiais</t>
        </is>
      </c>
      <c r="E172" s="453" t="n">
        <v>39</v>
      </c>
      <c r="F172" s="1343">
        <f>VLOOKUP(E172,'Tabela de mês'!$A$1:$B$70,2,TRUE)</f>
        <v/>
      </c>
      <c r="G172" s="510" t="inlineStr">
        <is>
          <t>048-MAT F</t>
        </is>
      </c>
      <c r="H172" s="161" t="inlineStr">
        <is>
          <t>INSIGHT</t>
        </is>
      </c>
      <c r="I172" s="161" t="inlineStr">
        <is>
          <t>INSIGHT</t>
        </is>
      </c>
      <c r="J172" s="161" t="n"/>
      <c r="K172" s="161" t="n"/>
      <c r="L172" s="422" t="inlineStr">
        <is>
          <t>Entrega em campo das tubulações, suportes, adaptações e acessórios para o SRV da 2ª UF</t>
        </is>
      </c>
      <c r="M172" s="416">
        <f>O172/$O$170</f>
        <v/>
      </c>
      <c r="N172" s="1364" t="n"/>
      <c r="O172" s="1340" t="n">
        <v>49587.74</v>
      </c>
      <c r="P172" s="553" t="n">
        <v>31</v>
      </c>
      <c r="Q172" s="1347" t="n">
        <v>40000</v>
      </c>
      <c r="R172" s="1327" t="n"/>
      <c r="S172" s="1327" t="n"/>
      <c r="T172" s="1327" t="n"/>
    </row>
    <row r="173" outlineLevel="1" ht="41.4" customHeight="1">
      <c r="A173" s="228">
        <f>'01_Preço'!$A$65</f>
        <v/>
      </c>
      <c r="B173" s="168">
        <f>'01_Preço'!$A$98</f>
        <v/>
      </c>
      <c r="C173" s="168">
        <f>'01_Preço'!$B$98</f>
        <v/>
      </c>
      <c r="D173" s="162" t="inlineStr">
        <is>
          <t>Equipamentos e materiais</t>
        </is>
      </c>
      <c r="E173" s="453" t="n">
        <v>52</v>
      </c>
      <c r="F173" s="1343">
        <f>VLOOKUP(E173,'Tabela de mês'!$A$1:$B$70,2,TRUE)</f>
        <v/>
      </c>
      <c r="G173" s="510" t="inlineStr">
        <is>
          <t>049-MAT F</t>
        </is>
      </c>
      <c r="H173" s="161" t="inlineStr">
        <is>
          <t>INSIGHT</t>
        </is>
      </c>
      <c r="I173" s="161" t="inlineStr">
        <is>
          <t>INSIGHT</t>
        </is>
      </c>
      <c r="J173" s="161" t="n"/>
      <c r="K173" s="161" t="n"/>
      <c r="L173" s="422" t="inlineStr">
        <is>
          <t>Entrega em campo das tubulações, suportes, adaptações e acessórios para o SRV da 3ª UF</t>
        </is>
      </c>
      <c r="M173" s="416">
        <f>O173/$O$170</f>
        <v/>
      </c>
      <c r="N173" s="1364" t="n"/>
      <c r="O173" s="1340" t="n">
        <v>49587.74</v>
      </c>
      <c r="P173" s="553" t="n">
        <v>42</v>
      </c>
      <c r="Q173" s="1347" t="n">
        <v>40000</v>
      </c>
      <c r="R173" s="1327" t="n"/>
      <c r="S173" s="1327" t="n"/>
      <c r="T173" s="1327" t="n"/>
    </row>
    <row r="174" outlineLevel="1" ht="41.4" customHeight="1">
      <c r="A174" s="228">
        <f>'01_Preço'!$A$65</f>
        <v/>
      </c>
      <c r="B174" s="168">
        <f>'01_Preço'!$A$98</f>
        <v/>
      </c>
      <c r="C174" s="168">
        <f>'01_Preço'!$B$98</f>
        <v/>
      </c>
      <c r="D174" s="162" t="inlineStr">
        <is>
          <t>Equipamentos e materiais</t>
        </is>
      </c>
      <c r="E174" s="453" t="n">
        <v>61</v>
      </c>
      <c r="F174" s="1343">
        <f>VLOOKUP(E174,'Tabela de mês'!$A$1:$B$70,2,TRUE)</f>
        <v/>
      </c>
      <c r="G174" s="510" t="inlineStr">
        <is>
          <t>050-MAT F</t>
        </is>
      </c>
      <c r="H174" s="161" t="inlineStr">
        <is>
          <t>INSIGHT</t>
        </is>
      </c>
      <c r="I174" s="161" t="inlineStr">
        <is>
          <t>INSIGHT</t>
        </is>
      </c>
      <c r="J174" s="161" t="n"/>
      <c r="K174" s="161" t="n"/>
      <c r="L174" s="422" t="inlineStr">
        <is>
          <t>Entrega em campo das tubulações, suportes, adaptações e acessórios para o SRV da 4ª UF</t>
        </is>
      </c>
      <c r="M174" s="416">
        <f>O174/$O$170</f>
        <v/>
      </c>
      <c r="N174" s="1364" t="n"/>
      <c r="O174" s="1340" t="n">
        <v>49587.74</v>
      </c>
      <c r="P174" s="553" t="n">
        <v>52</v>
      </c>
      <c r="Q174" s="1347" t="n">
        <v>40000</v>
      </c>
      <c r="R174" s="1327" t="n"/>
      <c r="S174" s="1327" t="n"/>
      <c r="T174" s="1327" t="n"/>
    </row>
    <row r="175" outlineLevel="1" ht="41.4" customFormat="1" customHeight="1" s="166">
      <c r="A175" s="463">
        <f>'01_Preço'!$A$65</f>
        <v/>
      </c>
      <c r="B175" s="436">
        <f>'01_Preço'!$A$80</f>
        <v/>
      </c>
      <c r="C175" s="436">
        <f>'01_Preço'!B80</f>
        <v/>
      </c>
      <c r="D175" s="437" t="inlineStr">
        <is>
          <t>Equipamentos e materiais</t>
        </is>
      </c>
      <c r="E175" s="449" t="n"/>
      <c r="F175" s="441" t="n"/>
      <c r="G175" s="441" t="n"/>
      <c r="H175" s="436" t="n"/>
      <c r="I175" s="436" t="n"/>
      <c r="J175" s="436" t="n"/>
      <c r="K175" s="436" t="n"/>
      <c r="L175" s="437">
        <f>'01_Preço'!E80</f>
        <v/>
      </c>
      <c r="M175" s="446">
        <f>O175/$N$113</f>
        <v/>
      </c>
      <c r="N175" s="1333" t="n"/>
      <c r="O175" s="1349">
        <f>SUM(O176:O179)</f>
        <v/>
      </c>
      <c r="P175" s="562" t="n"/>
      <c r="Q175" s="1349" t="n"/>
    </row>
    <row r="176" outlineLevel="1" ht="41.4" customHeight="1">
      <c r="A176" s="228">
        <f>'01_Preço'!$A$65</f>
        <v/>
      </c>
      <c r="B176" s="163">
        <f>'01_Preço'!$A$80</f>
        <v/>
      </c>
      <c r="C176" s="168">
        <f>'01_Preço'!$B$80</f>
        <v/>
      </c>
      <c r="D176" s="167" t="inlineStr">
        <is>
          <t>Equipamentos e materiais</t>
        </is>
      </c>
      <c r="E176" s="453" t="n">
        <v>28</v>
      </c>
      <c r="F176" s="1343">
        <f>VLOOKUP(E176,'Tabela de mês'!$A$1:$B$70,2,TRUE)</f>
        <v/>
      </c>
      <c r="G176" s="510" t="inlineStr">
        <is>
          <t>095-MAT</t>
        </is>
      </c>
      <c r="H176" s="417" t="inlineStr">
        <is>
          <t>INSIGHT</t>
        </is>
      </c>
      <c r="I176" s="417" t="inlineStr">
        <is>
          <t>INSIGHT</t>
        </is>
      </c>
      <c r="J176" s="161" t="n"/>
      <c r="K176" s="161" t="n"/>
      <c r="L176" s="422" t="inlineStr">
        <is>
          <t>Entrega em campo dos transformadores de excitação trifásicos a seco com enrolamento em cobre, proteções e acessórios 1ª UF</t>
        </is>
      </c>
      <c r="M176" s="416">
        <f>O176/$O$175</f>
        <v/>
      </c>
      <c r="N176" s="1364" t="n"/>
      <c r="O176" s="1340" t="n">
        <v>299120</v>
      </c>
      <c r="P176" s="553" t="n">
        <v>22</v>
      </c>
      <c r="Q176" s="1347" t="n">
        <v>239680</v>
      </c>
      <c r="R176" s="1327" t="n"/>
      <c r="S176" s="1327" t="n"/>
      <c r="T176" s="1327" t="n"/>
    </row>
    <row r="177" outlineLevel="1" ht="41.4" customHeight="1">
      <c r="A177" s="228">
        <f>'01_Preço'!$A$65</f>
        <v/>
      </c>
      <c r="B177" s="163">
        <f>'01_Preço'!$A$80</f>
        <v/>
      </c>
      <c r="C177" s="168">
        <f>'01_Preço'!$B$80</f>
        <v/>
      </c>
      <c r="D177" s="167" t="inlineStr">
        <is>
          <t>Equipamentos e materiais</t>
        </is>
      </c>
      <c r="E177" s="453" t="n">
        <v>28</v>
      </c>
      <c r="F177" s="1343">
        <f>VLOOKUP(E177,'Tabela de mês'!$A$1:$B$70,2,TRUE)</f>
        <v/>
      </c>
      <c r="G177" s="510" t="inlineStr">
        <is>
          <t>097-MAT</t>
        </is>
      </c>
      <c r="H177" s="417" t="inlineStr">
        <is>
          <t>INSIGHT</t>
        </is>
      </c>
      <c r="I177" s="417" t="inlineStr">
        <is>
          <t>INSIGHT</t>
        </is>
      </c>
      <c r="J177" s="161" t="n"/>
      <c r="K177" s="161" t="n"/>
      <c r="L177" s="422" t="inlineStr">
        <is>
          <t>Entrega em campo dos transformadores de excitação trifásicos a seco com enrolamento em cobre, proteções e acessórios 2ª UF</t>
        </is>
      </c>
      <c r="M177" s="416">
        <f>O177/$O$175</f>
        <v/>
      </c>
      <c r="N177" s="1364" t="n"/>
      <c r="O177" s="1340" t="n">
        <v>299120</v>
      </c>
      <c r="P177" s="553" t="n">
        <v>30</v>
      </c>
      <c r="Q177" s="1347" t="n">
        <v>239680</v>
      </c>
      <c r="R177" s="1327" t="n"/>
      <c r="S177" s="1327" t="n"/>
      <c r="T177" s="1327" t="n"/>
    </row>
    <row r="178" outlineLevel="1" ht="41.4" customHeight="1">
      <c r="A178" s="228">
        <f>'01_Preço'!$A$65</f>
        <v/>
      </c>
      <c r="B178" s="163">
        <f>'01_Preço'!$A$80</f>
        <v/>
      </c>
      <c r="C178" s="168">
        <f>'01_Preço'!$B$80</f>
        <v/>
      </c>
      <c r="D178" s="167" t="inlineStr">
        <is>
          <t>Equipamentos e materiais</t>
        </is>
      </c>
      <c r="E178" s="453" t="n">
        <v>28</v>
      </c>
      <c r="F178" s="1343">
        <f>VLOOKUP(E178,'Tabela de mês'!$A$1:$B$70,2,TRUE)</f>
        <v/>
      </c>
      <c r="G178" s="510" t="inlineStr">
        <is>
          <t>098-MAT</t>
        </is>
      </c>
      <c r="H178" s="417" t="inlineStr">
        <is>
          <t>INSIGHT</t>
        </is>
      </c>
      <c r="I178" s="417" t="inlineStr">
        <is>
          <t>INSIGHT</t>
        </is>
      </c>
      <c r="J178" s="161" t="n"/>
      <c r="K178" s="161" t="n"/>
      <c r="L178" s="422" t="inlineStr">
        <is>
          <t>Entrega em campo dos transformadores de excitação trifásicos a seco com enrolamento em cobre, proteções e acessórios 3ª UF</t>
        </is>
      </c>
      <c r="M178" s="416">
        <f>O178/$O$175</f>
        <v/>
      </c>
      <c r="N178" s="1364" t="n"/>
      <c r="O178" s="1340" t="n">
        <v>299120</v>
      </c>
      <c r="P178" s="553" t="n">
        <v>41</v>
      </c>
      <c r="Q178" s="1347" t="n">
        <v>239680</v>
      </c>
      <c r="R178" s="1327" t="n"/>
      <c r="S178" s="1327" t="n"/>
      <c r="T178" s="1327" t="n"/>
    </row>
    <row r="179" outlineLevel="1" ht="42" customHeight="1" thickBot="1">
      <c r="A179" s="228">
        <f>'01_Preço'!$A$65</f>
        <v/>
      </c>
      <c r="B179" s="163">
        <f>'01_Preço'!$A$80</f>
        <v/>
      </c>
      <c r="C179" s="168">
        <f>'01_Preço'!$B$80</f>
        <v/>
      </c>
      <c r="D179" s="167" t="inlineStr">
        <is>
          <t>Equipamentos e materiais</t>
        </is>
      </c>
      <c r="E179" s="453" t="n">
        <v>28</v>
      </c>
      <c r="F179" s="1343">
        <f>VLOOKUP(E179,'Tabela de mês'!$A$1:$B$70,2,TRUE)</f>
        <v/>
      </c>
      <c r="G179" s="510" t="inlineStr">
        <is>
          <t>099-MAT</t>
        </is>
      </c>
      <c r="H179" s="417" t="inlineStr">
        <is>
          <t>INSIGHT</t>
        </is>
      </c>
      <c r="I179" s="417" t="inlineStr">
        <is>
          <t>INSIGHT</t>
        </is>
      </c>
      <c r="J179" s="161" t="n"/>
      <c r="K179" s="161" t="n"/>
      <c r="L179" s="422" t="inlineStr">
        <is>
          <t>Entrega em campo dos transformadores de excitação trifásicos a seco com enrolamento em cobre, proteções e acessórios 4ª UF</t>
        </is>
      </c>
      <c r="M179" s="416">
        <f>O179/$O$175</f>
        <v/>
      </c>
      <c r="N179" s="1364" t="n"/>
      <c r="O179" s="1340" t="n">
        <v>299120</v>
      </c>
      <c r="P179" s="553" t="n">
        <v>51</v>
      </c>
      <c r="Q179" s="1347" t="n">
        <v>239680</v>
      </c>
      <c r="R179" s="1327" t="n"/>
      <c r="S179" s="1327" t="n"/>
      <c r="T179" s="1327" t="n"/>
    </row>
    <row r="180" ht="16.2" customHeight="1" thickBot="1">
      <c r="A180" s="1332" t="inlineStr">
        <is>
          <t>2.04 - Serviços Auxiliares CA</t>
        </is>
      </c>
      <c r="B180" s="1139" t="n"/>
      <c r="C180" s="1139" t="n"/>
      <c r="D180" s="1139" t="n"/>
      <c r="E180" s="1139" t="n"/>
      <c r="F180" s="1139" t="n"/>
      <c r="G180" s="1139" t="n"/>
      <c r="H180" s="1139" t="n"/>
      <c r="I180" s="1139" t="n"/>
      <c r="J180" s="1139" t="n"/>
      <c r="K180" s="1139" t="n"/>
      <c r="L180" s="1139" t="n"/>
      <c r="M180" s="1140" t="n"/>
      <c r="N180" s="1351">
        <f>SUM(O181,O187,O192,O197,O202,O204,O205,O208,O209,O210,O211,O203)</f>
        <v/>
      </c>
      <c r="O180" s="1351" t="n"/>
      <c r="P180" s="1352" t="n"/>
      <c r="Q180" s="1332" t="n"/>
    </row>
    <row r="181" outlineLevel="1" ht="43.95" customFormat="1" customHeight="1" s="166">
      <c r="A181" s="676">
        <f>'01_Preço'!$A$100</f>
        <v/>
      </c>
      <c r="B181" s="677">
        <f>'01_Preço'!$A$101</f>
        <v/>
      </c>
      <c r="C181" s="677">
        <f>'01_Preço'!$B$101</f>
        <v/>
      </c>
      <c r="D181" s="719">
        <f>'01_Preço'!E101</f>
        <v/>
      </c>
      <c r="E181" s="714" t="n"/>
      <c r="F181" s="479" t="n"/>
      <c r="G181" s="487" t="n"/>
      <c r="H181" s="487" t="n"/>
      <c r="I181" s="487" t="n"/>
      <c r="J181" s="487" t="n"/>
      <c r="K181" s="487" t="n"/>
      <c r="L181" s="475">
        <f>'01_Preço'!E101</f>
        <v/>
      </c>
      <c r="M181" s="679">
        <f>O181/$N$180</f>
        <v/>
      </c>
      <c r="N181" s="1369" t="n"/>
      <c r="O181" s="1354">
        <f>SUM(O182:O186)</f>
        <v/>
      </c>
      <c r="P181" s="558" t="n"/>
      <c r="Q181" s="1354" t="n"/>
    </row>
    <row r="182" outlineLevel="1" ht="36.75" customHeight="1">
      <c r="A182" s="393">
        <f>'01_Preço'!$A$100</f>
        <v/>
      </c>
      <c r="B182" s="465">
        <f>'01_Preço'!A101</f>
        <v/>
      </c>
      <c r="C182" s="465">
        <f>'01_Preço'!B101</f>
        <v/>
      </c>
      <c r="D182" s="724">
        <f>'01_Preço'!E101</f>
        <v/>
      </c>
      <c r="E182" s="450" t="n">
        <v>16</v>
      </c>
      <c r="F182" s="1339">
        <f>VLOOKUP(E182,'Tabela de mês'!$A$1:$B$70,2,TRUE)</f>
        <v/>
      </c>
      <c r="G182" s="725" t="inlineStr">
        <is>
          <t>059-SER</t>
        </is>
      </c>
      <c r="H182" s="163" t="inlineStr">
        <is>
          <t>ERZEG</t>
        </is>
      </c>
      <c r="I182" s="163" t="inlineStr">
        <is>
          <t>INSIGHT</t>
        </is>
      </c>
      <c r="J182" s="163" t="n"/>
      <c r="K182" s="163" t="n"/>
      <c r="L182" s="423" t="inlineStr">
        <is>
          <t>Aprovação do Plano de Emissão de Documentos dos Serviços Auxiliares Elétricos CA</t>
        </is>
      </c>
      <c r="M182" s="391">
        <f>O182/$O$181</f>
        <v/>
      </c>
      <c r="N182" s="1340" t="n"/>
      <c r="O182" s="1340" t="n">
        <v>1708.54</v>
      </c>
      <c r="P182" s="563" t="n"/>
      <c r="Q182" s="1370" t="n"/>
      <c r="S182" s="662" t="inlineStr">
        <is>
          <t>SIM</t>
        </is>
      </c>
    </row>
    <row r="183" outlineLevel="1" ht="14.4" customHeight="1">
      <c r="A183" s="414">
        <f>'01_Preço'!$A$100</f>
        <v/>
      </c>
      <c r="B183" s="465">
        <f>'01_Preço'!A101</f>
        <v/>
      </c>
      <c r="C183" s="389">
        <f>'01_Preço'!B101</f>
        <v/>
      </c>
      <c r="D183" s="423">
        <f>'01_Preço'!E101</f>
        <v/>
      </c>
      <c r="E183" s="730" t="n">
        <v>22</v>
      </c>
      <c r="F183" s="1339">
        <f>VLOOKUP(E183,'Tabela de mês'!$A$1:$B$70,2,TRUE)</f>
        <v/>
      </c>
      <c r="G183" s="732" t="inlineStr">
        <is>
          <t>060-SER</t>
        </is>
      </c>
      <c r="H183" s="163" t="inlineStr">
        <is>
          <t>ERZEG</t>
        </is>
      </c>
      <c r="I183" s="163" t="inlineStr">
        <is>
          <t>INSIGHT</t>
        </is>
      </c>
      <c r="J183" s="163" t="n"/>
      <c r="K183" s="163" t="n"/>
      <c r="L183" s="342" t="inlineStr">
        <is>
          <t>Aprovação do Diagrama Unifilar dos Serviços Auxiliares Elétricos CA</t>
        </is>
      </c>
      <c r="M183" s="391">
        <f>O183/$O$181</f>
        <v/>
      </c>
      <c r="N183" s="1340" t="n"/>
      <c r="O183" s="1340" t="n">
        <v>105253.38</v>
      </c>
      <c r="P183" s="561" t="n">
        <v>19</v>
      </c>
      <c r="Q183" s="1347" t="n">
        <v>81000</v>
      </c>
    </row>
    <row r="184" outlineLevel="1" ht="27.6" customHeight="1">
      <c r="A184" s="414">
        <f>'01_Preço'!$A$100</f>
        <v/>
      </c>
      <c r="B184" s="465">
        <f>'01_Preço'!A101</f>
        <v/>
      </c>
      <c r="C184" s="465">
        <f>'01_Preço'!B101</f>
        <v/>
      </c>
      <c r="D184" s="724">
        <f>'01_Preço'!E101</f>
        <v/>
      </c>
      <c r="E184" s="730" t="n">
        <v>22</v>
      </c>
      <c r="F184" s="1339">
        <f>VLOOKUP(E184,'Tabela de mês'!$A$1:$B$70,2,TRUE)</f>
        <v/>
      </c>
      <c r="G184" s="732" t="inlineStr">
        <is>
          <t>061-SER</t>
        </is>
      </c>
      <c r="H184" s="163" t="inlineStr">
        <is>
          <t>ERZEG</t>
        </is>
      </c>
      <c r="I184" s="163" t="inlineStr">
        <is>
          <t>INSIGHT</t>
        </is>
      </c>
      <c r="J184" s="163" t="n"/>
      <c r="K184" s="163" t="n"/>
      <c r="L184" s="423" t="inlineStr">
        <is>
          <t>Aprovação da Memória de Cálculo e Dimensionamento dos Serviços Auxiliares Elétricos CA</t>
        </is>
      </c>
      <c r="M184" s="391">
        <f>O184/$O$181</f>
        <v/>
      </c>
      <c r="N184" s="1340" t="n"/>
      <c r="O184" s="1340" t="n">
        <v>155253.38</v>
      </c>
      <c r="P184" s="561" t="n">
        <v>19</v>
      </c>
      <c r="Q184" s="1347" t="n">
        <v>81000</v>
      </c>
    </row>
    <row r="185" outlineLevel="1" ht="27.6" customHeight="1">
      <c r="A185" s="414">
        <f>'01_Preço'!$A$100</f>
        <v/>
      </c>
      <c r="B185" s="465">
        <f>'01_Preço'!A101</f>
        <v/>
      </c>
      <c r="C185" s="389">
        <f>'01_Preço'!B101</f>
        <v/>
      </c>
      <c r="D185" s="423">
        <f>'01_Preço'!E101</f>
        <v/>
      </c>
      <c r="E185" s="730" t="n">
        <v>23</v>
      </c>
      <c r="F185" s="1339">
        <f>VLOOKUP(E185,'Tabela de mês'!$A$1:$B$70,2,TRUE)</f>
        <v/>
      </c>
      <c r="G185" s="732" t="inlineStr">
        <is>
          <t>062-SER</t>
        </is>
      </c>
      <c r="H185" s="163" t="inlineStr">
        <is>
          <t>ERZEG</t>
        </is>
      </c>
      <c r="I185" s="163" t="inlineStr">
        <is>
          <t>INSIGHT</t>
        </is>
      </c>
      <c r="J185" s="163" t="n"/>
      <c r="K185" s="163" t="n"/>
      <c r="L185" s="423" t="inlineStr">
        <is>
          <t>Aprovação completa dos Documentos do Projeto Executivo e de Fabricação dos Serviços Auxiliares Elétricos CA</t>
        </is>
      </c>
      <c r="M185" s="391">
        <f>O185/$O$181</f>
        <v/>
      </c>
      <c r="N185" s="1340" t="n"/>
      <c r="O185" s="1340" t="n">
        <v>140253.38</v>
      </c>
      <c r="P185" s="561" t="n">
        <v>19</v>
      </c>
      <c r="Q185" s="1347" t="n">
        <v>81000</v>
      </c>
    </row>
    <row r="186" outlineLevel="1" ht="27.6" customHeight="1">
      <c r="A186" s="414" t="inlineStr">
        <is>
          <t>2.04 - Serviços Auxiliares CA</t>
        </is>
      </c>
      <c r="B186" s="173">
        <f>'01_Preço'!A101</f>
        <v/>
      </c>
      <c r="C186" s="163">
        <f>'01_Preço'!B101</f>
        <v/>
      </c>
      <c r="D186" s="167">
        <f>'01_Preço'!E101</f>
        <v/>
      </c>
      <c r="E186" s="730" t="n">
        <v>65</v>
      </c>
      <c r="F186" s="1339">
        <f>VLOOKUP(E186,'Tabela de mês'!$A$1:$B$70,2,TRUE)</f>
        <v/>
      </c>
      <c r="G186" s="732" t="inlineStr">
        <is>
          <t>063-SER</t>
        </is>
      </c>
      <c r="H186" s="163" t="inlineStr">
        <is>
          <t>ERZEG</t>
        </is>
      </c>
      <c r="I186" s="163" t="inlineStr">
        <is>
          <t>INSIGHT</t>
        </is>
      </c>
      <c r="J186" s="163" t="n"/>
      <c r="K186" s="163" t="n"/>
      <c r="L186" s="165" t="inlineStr">
        <is>
          <t>Aprovação da versão conforme construído do Projeto dos Serviços Auxiliares Elétricos CA</t>
        </is>
      </c>
      <c r="M186" s="391">
        <f>O186/$O$181</f>
        <v/>
      </c>
      <c r="N186" s="1342" t="n"/>
      <c r="O186" s="1342" t="n">
        <v>42000</v>
      </c>
      <c r="P186" s="561" t="n">
        <v>65</v>
      </c>
      <c r="Q186" s="1347" t="n">
        <v>27000</v>
      </c>
    </row>
    <row r="187" outlineLevel="1" ht="43.95" customFormat="1" customHeight="1" s="166">
      <c r="A187" s="471">
        <f>'01_Preço'!$A$100</f>
        <v/>
      </c>
      <c r="B187" s="469">
        <f>'01_Preço'!$A$103</f>
        <v/>
      </c>
      <c r="C187" s="469">
        <f>'01_Preço'!$B$103</f>
        <v/>
      </c>
      <c r="D187" s="471" t="inlineStr">
        <is>
          <t>Desmontagem e montagem eletromecânica completa</t>
        </is>
      </c>
      <c r="E187" s="733" t="n"/>
      <c r="F187" s="733" t="n"/>
      <c r="G187" s="441" t="n"/>
      <c r="H187" s="441" t="n"/>
      <c r="I187" s="441" t="n"/>
      <c r="J187" s="441" t="n"/>
      <c r="K187" s="441" t="n"/>
      <c r="L187" s="442">
        <f>'01_Preço'!E103</f>
        <v/>
      </c>
      <c r="M187" s="734">
        <f>O187/$N$180</f>
        <v/>
      </c>
      <c r="N187" s="1357" t="n"/>
      <c r="O187" s="1357">
        <f>SUM(O188:O191)</f>
        <v/>
      </c>
      <c r="P187" s="556" t="n"/>
      <c r="Q187" s="1354" t="n"/>
    </row>
    <row r="188" outlineLevel="1" ht="41.4" customHeight="1">
      <c r="A188" s="414">
        <f>'01_Preço'!$A$100</f>
        <v/>
      </c>
      <c r="B188" s="465">
        <f>'01_Preço'!$A$103</f>
        <v/>
      </c>
      <c r="C188" s="465">
        <f>'01_Preço'!$B$103</f>
        <v/>
      </c>
      <c r="D188" s="414" t="inlineStr">
        <is>
          <t>Desmontagem e montagem eletromecânica completa</t>
        </is>
      </c>
      <c r="E188" s="730" t="n">
        <v>26</v>
      </c>
      <c r="F188" s="1339">
        <f>VLOOKUP(E188,'Tabela de mês'!$A$1:$B$70,2,TRUE)</f>
        <v/>
      </c>
      <c r="G188" s="732" t="inlineStr">
        <is>
          <t>067-SER A</t>
        </is>
      </c>
      <c r="H188" s="163" t="inlineStr">
        <is>
          <t>INSIGHT</t>
        </is>
      </c>
      <c r="I188" s="163" t="inlineStr">
        <is>
          <t>INSIGHT</t>
        </is>
      </c>
      <c r="J188" s="163" t="n"/>
      <c r="K188" s="163" t="n"/>
      <c r="L188" s="342" t="inlineStr">
        <is>
          <t>Conclusão da desmontagem de todos equipamentos e componentes dos Serviços Auxiliares Elétricos CA da 1ª UF integrado aos demais equipamentos e sistemas</t>
        </is>
      </c>
      <c r="M188" s="391">
        <f>O188/$O$187</f>
        <v/>
      </c>
      <c r="N188" s="1340" t="n"/>
      <c r="O188" s="1340" t="n">
        <v>59939.88</v>
      </c>
      <c r="P188" s="553" t="n"/>
      <c r="Q188" s="1347" t="n"/>
    </row>
    <row r="189" outlineLevel="1" ht="41.4" customHeight="1">
      <c r="A189" s="414">
        <f>'01_Preço'!$A$100</f>
        <v/>
      </c>
      <c r="B189" s="173">
        <f>'01_Preço'!$A$103</f>
        <v/>
      </c>
      <c r="C189" s="173">
        <f>'01_Preço'!$B$103</f>
        <v/>
      </c>
      <c r="D189" s="169" t="inlineStr">
        <is>
          <t>Desmontagem e montagem eletromecânica completa</t>
        </is>
      </c>
      <c r="E189" s="730" t="n">
        <v>37</v>
      </c>
      <c r="F189" s="1339">
        <f>VLOOKUP(E189,'Tabela de mês'!$A$1:$B$70,2,TRUE)</f>
        <v/>
      </c>
      <c r="G189" s="732" t="inlineStr">
        <is>
          <t>068-SER A</t>
        </is>
      </c>
      <c r="H189" s="163" t="inlineStr">
        <is>
          <t>INSIGHT</t>
        </is>
      </c>
      <c r="I189" s="163" t="inlineStr">
        <is>
          <t>INSIGHT</t>
        </is>
      </c>
      <c r="J189" s="163" t="n"/>
      <c r="K189" s="163" t="n"/>
      <c r="L189" s="165" t="inlineStr">
        <is>
          <t>Conclusão da desmontagem de todos equipamentos e componentes dos Serviços Auxiliares Elétricos CA da 2ª UF, integrado aos demais equipamentos e sistemas</t>
        </is>
      </c>
      <c r="M189" s="391">
        <f>O189/$O$187</f>
        <v/>
      </c>
      <c r="N189" s="1342" t="n"/>
      <c r="O189" s="1342" t="n">
        <v>59939.88</v>
      </c>
      <c r="P189" s="553" t="n"/>
      <c r="Q189" s="1347" t="n"/>
    </row>
    <row r="190" outlineLevel="1" ht="41.4" customHeight="1">
      <c r="A190" s="414">
        <f>'01_Preço'!$A$100</f>
        <v/>
      </c>
      <c r="B190" s="173">
        <f>'01_Preço'!$A$103</f>
        <v/>
      </c>
      <c r="C190" s="173">
        <f>'01_Preço'!$B$103</f>
        <v/>
      </c>
      <c r="D190" s="169" t="inlineStr">
        <is>
          <t>Desmontagem e montagem eletromecânica completa</t>
        </is>
      </c>
      <c r="E190" s="730" t="n">
        <v>49</v>
      </c>
      <c r="F190" s="1339">
        <f>VLOOKUP(E190,'Tabela de mês'!$A$1:$B$70,2,TRUE)</f>
        <v/>
      </c>
      <c r="G190" s="732" t="inlineStr">
        <is>
          <t>069-SER A</t>
        </is>
      </c>
      <c r="H190" s="163" t="inlineStr">
        <is>
          <t>INSIGHT</t>
        </is>
      </c>
      <c r="I190" s="163" t="inlineStr">
        <is>
          <t>INSIGHT</t>
        </is>
      </c>
      <c r="J190" s="163" t="n"/>
      <c r="K190" s="163" t="n"/>
      <c r="L190" s="165" t="inlineStr">
        <is>
          <t>Conclusão da desmontagem de todos equipamentos e componentes dos Serviços Auxiliares Elétricos CA da 3ª UF, integrado aos demais equipamentos e sistemas</t>
        </is>
      </c>
      <c r="M190" s="391">
        <f>O190/$O$187</f>
        <v/>
      </c>
      <c r="N190" s="1342" t="n"/>
      <c r="O190" s="1342" t="n">
        <v>59939.88</v>
      </c>
      <c r="P190" s="553" t="n"/>
      <c r="Q190" s="1347" t="n"/>
    </row>
    <row r="191" outlineLevel="1" ht="41.4" customHeight="1">
      <c r="A191" s="414">
        <f>'01_Preço'!$A$100</f>
        <v/>
      </c>
      <c r="B191" s="173">
        <f>'01_Preço'!$A$103</f>
        <v/>
      </c>
      <c r="C191" s="173">
        <f>'01_Preço'!$B$103</f>
        <v/>
      </c>
      <c r="D191" s="169" t="inlineStr">
        <is>
          <t>Desmontagem e montagem eletromecânica completa</t>
        </is>
      </c>
      <c r="E191" s="730" t="n">
        <v>59</v>
      </c>
      <c r="F191" s="1339">
        <f>VLOOKUP(E191,'Tabela de mês'!$A$1:$B$70,2,TRUE)</f>
        <v/>
      </c>
      <c r="G191" s="732" t="inlineStr">
        <is>
          <t>070-SER A</t>
        </is>
      </c>
      <c r="H191" s="163" t="inlineStr">
        <is>
          <t>INSIGHT</t>
        </is>
      </c>
      <c r="I191" s="163" t="inlineStr">
        <is>
          <t>INSIGHT</t>
        </is>
      </c>
      <c r="J191" s="163" t="n"/>
      <c r="K191" s="163" t="n"/>
      <c r="L191" s="165" t="inlineStr">
        <is>
          <t>Conclusão da desmontagem de todos equipamentos e componentes dos Serviços Auxiliares Elétricos CA da 4ª UF, integrado aos demais equipamentos e sistemas</t>
        </is>
      </c>
      <c r="M191" s="391">
        <f>O191/$O$187</f>
        <v/>
      </c>
      <c r="N191" s="1342" t="n"/>
      <c r="O191" s="1342" t="n">
        <v>59939.88</v>
      </c>
      <c r="P191" s="553" t="n"/>
      <c r="Q191" s="1347" t="n"/>
    </row>
    <row r="192" outlineLevel="1" ht="43.95" customFormat="1" customHeight="1" s="166">
      <c r="A192" s="471">
        <f>'01_Preço'!$A$100</f>
        <v/>
      </c>
      <c r="B192" s="469">
        <f>'01_Preço'!$A$105</f>
        <v/>
      </c>
      <c r="C192" s="469">
        <f>'01_Preço'!$B$105</f>
        <v/>
      </c>
      <c r="D192" s="471" t="inlineStr">
        <is>
          <t>Desmontagem e montagem eletromecânica completa</t>
        </is>
      </c>
      <c r="E192" s="733" t="n"/>
      <c r="F192" s="733" t="n"/>
      <c r="G192" s="441" t="n"/>
      <c r="H192" s="441" t="n"/>
      <c r="I192" s="441" t="n"/>
      <c r="J192" s="441" t="n"/>
      <c r="K192" s="441" t="n"/>
      <c r="L192" s="442">
        <f>'01_Preço'!E105</f>
        <v/>
      </c>
      <c r="M192" s="734">
        <f>O192/$N$180</f>
        <v/>
      </c>
      <c r="N192" s="1357" t="n"/>
      <c r="O192" s="1357">
        <f>SUM(O193:O196)</f>
        <v/>
      </c>
      <c r="P192" s="556" t="n"/>
      <c r="Q192" s="1354" t="n"/>
    </row>
    <row r="193" outlineLevel="1" ht="27.6" customHeight="1">
      <c r="A193" s="228">
        <f>'01_Preço'!$A$100</f>
        <v/>
      </c>
      <c r="B193" s="173">
        <f>'01_Preço'!$A$105</f>
        <v/>
      </c>
      <c r="C193" s="173">
        <f>'01_Preço'!B101</f>
        <v/>
      </c>
      <c r="D193" s="171" t="inlineStr">
        <is>
          <t>Desmontagem e montagem eletromecânica completa</t>
        </is>
      </c>
      <c r="E193" s="453" t="n">
        <v>34</v>
      </c>
      <c r="F193" s="1343">
        <f>VLOOKUP(E193,'Tabela de mês'!$A$1:$B$70,2,TRUE)</f>
        <v/>
      </c>
      <c r="G193" s="516" t="inlineStr">
        <is>
          <t>067-SER B</t>
        </is>
      </c>
      <c r="H193" s="161" t="inlineStr">
        <is>
          <t>INSIGHT</t>
        </is>
      </c>
      <c r="I193" s="161" t="inlineStr">
        <is>
          <t>INSIGHT</t>
        </is>
      </c>
      <c r="J193" s="161" t="n"/>
      <c r="K193" s="161" t="n"/>
      <c r="L193" s="164" t="inlineStr">
        <is>
          <t>Conclusão da Montagem de todos equipamentos e componentes dos Serviços Auxiliares Elétricos CA da 1ª UF integrado aos demais equipamentos e sistemas</t>
        </is>
      </c>
      <c r="M193" s="416">
        <f>O193/$O$192</f>
        <v/>
      </c>
      <c r="N193" s="1364" t="n"/>
      <c r="O193" s="1342" t="n">
        <v>59939.88</v>
      </c>
      <c r="P193" s="553" t="n"/>
      <c r="Q193" s="1347" t="n"/>
    </row>
    <row r="194" outlineLevel="1" ht="41.4" customHeight="1">
      <c r="A194" s="228">
        <f>'01_Preço'!$A$100</f>
        <v/>
      </c>
      <c r="B194" s="173">
        <f>'01_Preço'!$A$105</f>
        <v/>
      </c>
      <c r="C194" s="163">
        <f>'01_Preço'!B101</f>
        <v/>
      </c>
      <c r="D194" s="171" t="inlineStr">
        <is>
          <t>Desmontagem e montagem eletromecânica completa</t>
        </is>
      </c>
      <c r="E194" s="453" t="n">
        <v>46</v>
      </c>
      <c r="F194" s="1343">
        <f>VLOOKUP(E194,'Tabela de mês'!$A$1:$B$70,2,TRUE)</f>
        <v/>
      </c>
      <c r="G194" s="516" t="inlineStr">
        <is>
          <t>068-SER B</t>
        </is>
      </c>
      <c r="H194" s="161" t="inlineStr">
        <is>
          <t>INSIGHT</t>
        </is>
      </c>
      <c r="I194" s="161" t="inlineStr">
        <is>
          <t>INSIGHT</t>
        </is>
      </c>
      <c r="J194" s="161" t="n"/>
      <c r="K194" s="161" t="n"/>
      <c r="L194" s="164" t="inlineStr">
        <is>
          <t>Conclusão da Montagem de todos equipamentos e componentes dos Serviços Auxiliares Elétricos CA da 2ª UF, integrado aos demais equipamentos e sistemas</t>
        </is>
      </c>
      <c r="M194" s="416">
        <f>O194/$O$192</f>
        <v/>
      </c>
      <c r="N194" s="1364" t="n"/>
      <c r="O194" s="1342" t="n">
        <v>59939.88</v>
      </c>
      <c r="P194" s="553" t="n"/>
      <c r="Q194" s="1347" t="n"/>
    </row>
    <row r="195" outlineLevel="1" ht="41.4" customHeight="1">
      <c r="A195" s="228">
        <f>'01_Preço'!$A$100</f>
        <v/>
      </c>
      <c r="B195" s="173">
        <f>'01_Preço'!$A$105</f>
        <v/>
      </c>
      <c r="C195" s="163">
        <f>'01_Preço'!B101</f>
        <v/>
      </c>
      <c r="D195" s="171" t="inlineStr">
        <is>
          <t>Desmontagem e montagem eletromecânica completa</t>
        </is>
      </c>
      <c r="E195" s="453" t="n">
        <v>55</v>
      </c>
      <c r="F195" s="1343">
        <f>VLOOKUP(E195,'Tabela de mês'!$A$1:$B$70,2,TRUE)</f>
        <v/>
      </c>
      <c r="G195" s="516" t="inlineStr">
        <is>
          <t>069-SER B</t>
        </is>
      </c>
      <c r="H195" s="161" t="inlineStr">
        <is>
          <t>INSIGHT</t>
        </is>
      </c>
      <c r="I195" s="161" t="inlineStr">
        <is>
          <t>INSIGHT</t>
        </is>
      </c>
      <c r="J195" s="161" t="n"/>
      <c r="K195" s="161" t="n"/>
      <c r="L195" s="164" t="inlineStr">
        <is>
          <t>Conclusão da Montagem de todos equipamentos e componentes dos Serviços Auxiliares Elétricos CA da 3ª UF, integrado aos demais equipamentos e sistemas</t>
        </is>
      </c>
      <c r="M195" s="416">
        <f>O195/$O$192</f>
        <v/>
      </c>
      <c r="N195" s="1364" t="n"/>
      <c r="O195" s="1342" t="n">
        <v>59939.88</v>
      </c>
      <c r="P195" s="553" t="n"/>
      <c r="Q195" s="1347" t="n"/>
    </row>
    <row r="196" outlineLevel="1" ht="41.4" customHeight="1">
      <c r="A196" s="228">
        <f>'01_Preço'!$A$100</f>
        <v/>
      </c>
      <c r="B196" s="173">
        <f>'01_Preço'!$A$105</f>
        <v/>
      </c>
      <c r="C196" s="163">
        <f>'01_Preço'!B101</f>
        <v/>
      </c>
      <c r="D196" s="171" t="inlineStr">
        <is>
          <t>Desmontagem e montagem eletromecânica completa</t>
        </is>
      </c>
      <c r="E196" s="453" t="n">
        <v>65</v>
      </c>
      <c r="F196" s="1343">
        <f>VLOOKUP(E196,'Tabela de mês'!$A$1:$B$70,2,TRUE)</f>
        <v/>
      </c>
      <c r="G196" s="516" t="inlineStr">
        <is>
          <t>070-SER B</t>
        </is>
      </c>
      <c r="H196" s="161" t="inlineStr">
        <is>
          <t>INSIGHT</t>
        </is>
      </c>
      <c r="I196" s="161" t="inlineStr">
        <is>
          <t>INSIGHT</t>
        </is>
      </c>
      <c r="J196" s="161" t="n"/>
      <c r="K196" s="161" t="n"/>
      <c r="L196" s="164" t="inlineStr">
        <is>
          <t>Conclusão da Montagem de todos equipamentos e componentes dos Serviços Auxiliares Elétricos CA da 4ª UF, integrado aos demais equipamentos e sistemas</t>
        </is>
      </c>
      <c r="M196" s="416">
        <f>O196/$O$192</f>
        <v/>
      </c>
      <c r="N196" s="1364" t="n"/>
      <c r="O196" s="1342" t="n">
        <v>59939.88</v>
      </c>
      <c r="P196" s="553" t="n"/>
      <c r="Q196" s="1347" t="n"/>
    </row>
    <row r="197" outlineLevel="1" ht="43.95" customFormat="1" customHeight="1" s="166">
      <c r="A197" s="461">
        <f>'01_Preço'!$A$100</f>
        <v/>
      </c>
      <c r="B197" s="469">
        <f>'01_Preço'!$A$107</f>
        <v/>
      </c>
      <c r="C197" s="469">
        <f>'01_Preço'!$B$107</f>
        <v/>
      </c>
      <c r="D197" s="470" t="inlineStr">
        <is>
          <t>Desmontagem e montagem eletromecânica completa</t>
        </is>
      </c>
      <c r="E197" s="449" t="n"/>
      <c r="F197" s="449" t="n"/>
      <c r="G197" s="436" t="n"/>
      <c r="H197" s="436" t="n"/>
      <c r="I197" s="436" t="n"/>
      <c r="J197" s="436" t="n"/>
      <c r="K197" s="436" t="n"/>
      <c r="L197" s="437">
        <f>'01_Preço'!E107</f>
        <v/>
      </c>
      <c r="M197" s="446">
        <f>O197/$N$180</f>
        <v/>
      </c>
      <c r="N197" s="1365" t="n"/>
      <c r="O197" s="1354">
        <f>SUM(O198:O201)</f>
        <v/>
      </c>
      <c r="P197" s="556" t="n"/>
      <c r="Q197" s="1354" t="n"/>
    </row>
    <row r="198" outlineLevel="1" ht="41.4" customHeight="1">
      <c r="A198" s="228">
        <f>'01_Preço'!$A$100</f>
        <v/>
      </c>
      <c r="B198" s="173">
        <f>'01_Preço'!A107</f>
        <v/>
      </c>
      <c r="C198" s="163">
        <f>'01_Preço'!B107</f>
        <v/>
      </c>
      <c r="D198" s="162">
        <f>'01_Preço'!E107</f>
        <v/>
      </c>
      <c r="E198" s="453" t="n">
        <v>35</v>
      </c>
      <c r="F198" s="1343">
        <f>VLOOKUP(E198,'Tabela de mês'!$A$1:$B$70,2,TRUE)</f>
        <v/>
      </c>
      <c r="G198" s="517" t="inlineStr">
        <is>
          <t>071-SER</t>
        </is>
      </c>
      <c r="H198" s="161" t="inlineStr">
        <is>
          <t>INSIGHT</t>
        </is>
      </c>
      <c r="I198" s="161" t="inlineStr">
        <is>
          <t>INSIGHT</t>
        </is>
      </c>
      <c r="J198" s="161" t="n"/>
      <c r="K198" s="161" t="n"/>
      <c r="L198" s="164" t="inlineStr">
        <is>
          <t>Conclusão da Comissionamento de todos equipamentos e componentes dos Serviços Auxiliares Elétricos CA da 1ª UF, integrado aos demais equipamentos e sistemas</t>
        </is>
      </c>
      <c r="M198" s="416">
        <f>O198/$O$197</f>
        <v/>
      </c>
      <c r="N198" s="1364" t="n"/>
      <c r="O198" s="1342" t="n">
        <v>19396.37714110689</v>
      </c>
      <c r="P198" s="561" t="n"/>
      <c r="Q198" s="1347" t="n"/>
    </row>
    <row r="199" outlineLevel="1" ht="41.4" customHeight="1">
      <c r="A199" s="228">
        <f>'01_Preço'!$A$100</f>
        <v/>
      </c>
      <c r="B199" s="173">
        <f>'01_Preço'!A107</f>
        <v/>
      </c>
      <c r="C199" s="163">
        <f>'01_Preço'!B107</f>
        <v/>
      </c>
      <c r="D199" s="162">
        <f>'01_Preço'!E107</f>
        <v/>
      </c>
      <c r="E199" s="453" t="n">
        <v>47</v>
      </c>
      <c r="F199" s="1343">
        <f>VLOOKUP(E199,'Tabela de mês'!$A$1:$B$70,2,TRUE)</f>
        <v/>
      </c>
      <c r="G199" s="517" t="inlineStr">
        <is>
          <t>072-SER</t>
        </is>
      </c>
      <c r="H199" s="161" t="inlineStr">
        <is>
          <t>INSIGHT</t>
        </is>
      </c>
      <c r="I199" s="161" t="inlineStr">
        <is>
          <t>INSIGHT</t>
        </is>
      </c>
      <c r="J199" s="161" t="n"/>
      <c r="K199" s="161" t="n"/>
      <c r="L199" s="164" t="inlineStr">
        <is>
          <t>Conclusão da Comissionamento de todos equipamentos e componentes dos Serviços Auxiliares Elétricos CA da 2ª UF, integrado aos demais equipamentos e sistemas</t>
        </is>
      </c>
      <c r="M199" s="416">
        <f>O199/$O$197</f>
        <v/>
      </c>
      <c r="N199" s="1364" t="n"/>
      <c r="O199" s="1342" t="n">
        <v>5730.747791690672</v>
      </c>
      <c r="P199" s="561" t="n"/>
      <c r="Q199" s="1347" t="n"/>
    </row>
    <row r="200" outlineLevel="1" ht="41.4" customHeight="1">
      <c r="A200" s="228">
        <f>'01_Preço'!$A$100</f>
        <v/>
      </c>
      <c r="B200" s="173">
        <f>'01_Preço'!A107</f>
        <v/>
      </c>
      <c r="C200" s="163">
        <f>'01_Preço'!B107</f>
        <v/>
      </c>
      <c r="D200" s="162">
        <f>'01_Preço'!E107</f>
        <v/>
      </c>
      <c r="E200" s="453" t="n">
        <v>56</v>
      </c>
      <c r="F200" s="1343">
        <f>VLOOKUP(E200,'Tabela de mês'!$A$1:$B$70,2,TRUE)</f>
        <v/>
      </c>
      <c r="G200" s="517" t="inlineStr">
        <is>
          <t>073-SER</t>
        </is>
      </c>
      <c r="H200" s="161" t="inlineStr">
        <is>
          <t>INSIGHT</t>
        </is>
      </c>
      <c r="I200" s="161" t="inlineStr">
        <is>
          <t>INSIGHT</t>
        </is>
      </c>
      <c r="J200" s="161" t="n"/>
      <c r="K200" s="161" t="n"/>
      <c r="L200" s="164" t="inlineStr">
        <is>
          <t>Conclusão da Comissionamento de todos equipamentos e componentes dos Serviços Auxiliares Elétricos CA da 3ª UF, integrado aos demais equipamentos e sistemas</t>
        </is>
      </c>
      <c r="M200" s="416">
        <f>O200/$O$197</f>
        <v/>
      </c>
      <c r="N200" s="1364" t="n"/>
      <c r="O200" s="1342" t="n">
        <v>13224.80259620924</v>
      </c>
      <c r="P200" s="561" t="n"/>
      <c r="Q200" s="1347" t="n"/>
    </row>
    <row r="201" outlineLevel="1" ht="41.4" customHeight="1">
      <c r="A201" s="228">
        <f>'01_Preço'!$A$100</f>
        <v/>
      </c>
      <c r="B201" s="173">
        <f>'01_Preço'!A107</f>
        <v/>
      </c>
      <c r="C201" s="163">
        <f>'01_Preço'!B107</f>
        <v/>
      </c>
      <c r="D201" s="162">
        <f>'01_Preço'!E107</f>
        <v/>
      </c>
      <c r="E201" s="453" t="n">
        <v>66</v>
      </c>
      <c r="F201" s="1343">
        <f>VLOOKUP(E201,'Tabela de mês'!$A$1:$B$70,2,TRUE)</f>
        <v/>
      </c>
      <c r="G201" s="517" t="inlineStr">
        <is>
          <t>074-SER</t>
        </is>
      </c>
      <c r="H201" s="161" t="inlineStr">
        <is>
          <t>INSIGHT</t>
        </is>
      </c>
      <c r="I201" s="161" t="inlineStr">
        <is>
          <t>INSIGHT</t>
        </is>
      </c>
      <c r="J201" s="161" t="n"/>
      <c r="K201" s="161" t="n"/>
      <c r="L201" s="164" t="inlineStr">
        <is>
          <t>Conclusão da Comissionamento de todos equipamentos e componentes dos Serviços Auxiliares Elétricos CA da 4ª UF, integrado aos demais equipamentos e sistemas</t>
        </is>
      </c>
      <c r="M201" s="416">
        <f>O201/$O$197</f>
        <v/>
      </c>
      <c r="N201" s="1364" t="n"/>
      <c r="O201" s="1342" t="n">
        <v>5730.747791690672</v>
      </c>
      <c r="P201" s="561" t="n"/>
      <c r="Q201" s="1347" t="n"/>
    </row>
    <row r="202" outlineLevel="1" ht="43.95" customFormat="1" customHeight="1" s="166">
      <c r="A202" s="461">
        <f>'01_Preço'!$A$100</f>
        <v/>
      </c>
      <c r="B202" s="469">
        <f>'01_Preço'!$A$109</f>
        <v/>
      </c>
      <c r="C202" s="469">
        <f>'01_Preço'!$B$109</f>
        <v/>
      </c>
      <c r="D202" s="437" t="inlineStr">
        <is>
          <t>Equipamentos e materiais</t>
        </is>
      </c>
      <c r="E202" s="449" t="n">
        <v>28</v>
      </c>
      <c r="F202" s="1348">
        <f>VLOOKUP(E202,'Tabela de mês'!$A$1:$B$54,2,TRUE)</f>
        <v/>
      </c>
      <c r="G202" s="516" t="inlineStr">
        <is>
          <t>064-MAT A</t>
        </is>
      </c>
      <c r="H202" s="436" t="inlineStr">
        <is>
          <t>INSIGHT</t>
        </is>
      </c>
      <c r="I202" s="436" t="inlineStr">
        <is>
          <t>INSIGHT</t>
        </is>
      </c>
      <c r="J202" s="436" t="n"/>
      <c r="K202" s="436" t="n"/>
      <c r="L202" s="437" t="inlineStr">
        <is>
          <t>Entrega em campo do transformador de Serviços Auxiliares +T101</t>
        </is>
      </c>
      <c r="M202" s="446">
        <f>O202/$N$180</f>
        <v/>
      </c>
      <c r="N202" s="1357" t="n"/>
      <c r="O202" s="1346" t="n">
        <v>206760</v>
      </c>
      <c r="P202" s="556" t="n">
        <v>19</v>
      </c>
      <c r="Q202" s="1346" t="n">
        <v>168160</v>
      </c>
      <c r="U202" s="1327" t="n"/>
    </row>
    <row r="203" outlineLevel="1" ht="43.95" customFormat="1" customHeight="1" s="166">
      <c r="A203" s="461">
        <f>'01_Preço'!$A$100</f>
        <v/>
      </c>
      <c r="B203" s="469">
        <f>'01_Preço'!$A$109</f>
        <v/>
      </c>
      <c r="C203" s="469">
        <f>'01_Preço'!$B$109</f>
        <v/>
      </c>
      <c r="D203" s="437" t="inlineStr">
        <is>
          <t>Equipamentos e materiais</t>
        </is>
      </c>
      <c r="E203" s="449" t="n">
        <v>52</v>
      </c>
      <c r="F203" s="1348">
        <f>VLOOKUP(E203,'Tabela de mês'!$A$1:$B$54,2,TRUE)</f>
        <v/>
      </c>
      <c r="G203" s="516" t="inlineStr">
        <is>
          <t>064-MAT B</t>
        </is>
      </c>
      <c r="H203" s="436" t="inlineStr">
        <is>
          <t>INSIGHT</t>
        </is>
      </c>
      <c r="I203" s="436" t="inlineStr">
        <is>
          <t>INSIGHT</t>
        </is>
      </c>
      <c r="J203" s="436" t="n"/>
      <c r="K203" s="436" t="n"/>
      <c r="L203" s="437" t="inlineStr">
        <is>
          <t>Entrega em campo do transformador de Serviços Auxiliares +T301</t>
        </is>
      </c>
      <c r="M203" s="446">
        <f>O203/$N$180</f>
        <v/>
      </c>
      <c r="N203" s="1357" t="n"/>
      <c r="O203" s="1346" t="n">
        <v>206760</v>
      </c>
      <c r="P203" s="556" t="n">
        <v>40</v>
      </c>
      <c r="Q203" s="1346" t="n">
        <v>168160</v>
      </c>
      <c r="U203" s="1327" t="n"/>
    </row>
    <row r="204" outlineLevel="1" ht="43.95" customFormat="1" customHeight="1" s="166">
      <c r="A204" s="461">
        <f>'01_Preço'!$A$100</f>
        <v/>
      </c>
      <c r="B204" s="469">
        <f>'01_Preço'!$A$111</f>
        <v/>
      </c>
      <c r="C204" s="469">
        <f>'01_Preço'!$B$111</f>
        <v/>
      </c>
      <c r="D204" s="437" t="inlineStr">
        <is>
          <t>Equipamentos e materiais</t>
        </is>
      </c>
      <c r="E204" s="449" t="n">
        <v>27</v>
      </c>
      <c r="F204" s="1348">
        <f>VLOOKUP(E204,'Tabela de mês'!$A$1:$B$54,2,TRUE)</f>
        <v/>
      </c>
      <c r="G204" s="516" t="inlineStr">
        <is>
          <t>065-MAT A</t>
        </is>
      </c>
      <c r="H204" s="436" t="inlineStr">
        <is>
          <t>ERZEG</t>
        </is>
      </c>
      <c r="I204" s="436" t="inlineStr">
        <is>
          <t>INSIGHT</t>
        </is>
      </c>
      <c r="J204" s="436" t="n"/>
      <c r="K204" s="436" t="n"/>
      <c r="L204" s="437" t="inlineStr">
        <is>
          <t>Entrega em campo dos centros de distribuição de cargas +GA/+GB</t>
        </is>
      </c>
      <c r="M204" s="446">
        <f>O204/$N$180</f>
        <v/>
      </c>
      <c r="N204" s="1357" t="n"/>
      <c r="O204" s="1346" t="n">
        <v>787786.5</v>
      </c>
      <c r="P204" s="462" t="n">
        <v>19</v>
      </c>
      <c r="Q204" s="1354" t="n">
        <v>260000</v>
      </c>
      <c r="U204" s="1327" t="n"/>
    </row>
    <row r="205" outlineLevel="1" ht="43.95" customFormat="1" customHeight="1" s="166">
      <c r="A205" s="461">
        <f>'01_Preço'!$A$100</f>
        <v/>
      </c>
      <c r="B205" s="469">
        <f>'01_Preço'!$A$113</f>
        <v/>
      </c>
      <c r="C205" s="469">
        <f>'01_Preço'!$B$113</f>
        <v/>
      </c>
      <c r="D205" s="437" t="inlineStr">
        <is>
          <t>Equipamentos e materiais</t>
        </is>
      </c>
      <c r="E205" s="449" t="n"/>
      <c r="F205" s="449" t="n"/>
      <c r="G205" s="436" t="n"/>
      <c r="H205" s="436" t="n"/>
      <c r="I205" s="436" t="n"/>
      <c r="J205" s="436" t="n"/>
      <c r="K205" s="436" t="n"/>
      <c r="L205" s="437">
        <f>'01_Preço'!E113</f>
        <v/>
      </c>
      <c r="M205" s="446">
        <f>O205/$N$180</f>
        <v/>
      </c>
      <c r="N205" s="1357" t="n"/>
      <c r="O205" s="1346">
        <f>SUM(O206:O207)</f>
        <v/>
      </c>
      <c r="P205" s="462" t="n"/>
      <c r="Q205" s="1346" t="n"/>
    </row>
    <row r="206" outlineLevel="1" ht="27.6" customHeight="1">
      <c r="A206" s="228" t="inlineStr">
        <is>
          <t>2.04 - Serviços Auxiliares CA</t>
        </is>
      </c>
      <c r="B206" s="173">
        <f>'01_Preço'!$A$113</f>
        <v/>
      </c>
      <c r="C206" s="168">
        <f>'01_Preço'!$B$113</f>
        <v/>
      </c>
      <c r="D206" s="162" t="inlineStr">
        <is>
          <t>Equipamentos e materiais</t>
        </is>
      </c>
      <c r="E206" s="453" t="n">
        <v>28</v>
      </c>
      <c r="F206" s="1343">
        <f>VLOOKUP(E206,'Tabela de mês'!$A$1:$B$70,2,TRUE)</f>
        <v/>
      </c>
      <c r="G206" s="516" t="inlineStr">
        <is>
          <t>066-MAT A</t>
        </is>
      </c>
      <c r="H206" s="161" t="inlineStr">
        <is>
          <t>ERZEG</t>
        </is>
      </c>
      <c r="I206" s="161" t="inlineStr">
        <is>
          <t>INSIGHT</t>
        </is>
      </c>
      <c r="J206" s="161" t="n"/>
      <c r="K206" s="138" t="n"/>
      <c r="L206" s="164" t="inlineStr">
        <is>
          <t>Entrega em campo dos centros de controle de motores para cargas das unidades geradoreas +3/4CM</t>
        </is>
      </c>
      <c r="M206" s="416">
        <f>O206/$O$205</f>
        <v/>
      </c>
      <c r="N206" s="1342" t="n"/>
      <c r="O206" s="1340" t="n">
        <v>839245.26</v>
      </c>
      <c r="P206" s="561" t="n">
        <v>19</v>
      </c>
      <c r="Q206" s="1347" t="n">
        <v>600000</v>
      </c>
      <c r="R206" s="1327" t="n"/>
    </row>
    <row r="207" outlineLevel="1" ht="27.6" customHeight="1">
      <c r="A207" s="228" t="inlineStr">
        <is>
          <t>2.04 - Serviços Auxiliares CA</t>
        </is>
      </c>
      <c r="B207" s="173">
        <f>'01_Preço'!$A$113</f>
        <v/>
      </c>
      <c r="C207" s="168">
        <f>'01_Preço'!$B$113</f>
        <v/>
      </c>
      <c r="D207" s="162" t="inlineStr">
        <is>
          <t>Equipamentos e materiais</t>
        </is>
      </c>
      <c r="E207" s="453" t="n">
        <v>52</v>
      </c>
      <c r="F207" s="1343">
        <f>VLOOKUP(E207,'Tabela de mês'!$A$1:$B$70,2,TRUE)</f>
        <v/>
      </c>
      <c r="G207" s="516" t="inlineStr">
        <is>
          <t>066-MAT B</t>
        </is>
      </c>
      <c r="H207" s="161" t="inlineStr">
        <is>
          <t>ERZEG</t>
        </is>
      </c>
      <c r="I207" s="161" t="inlineStr">
        <is>
          <t>INSIGHT</t>
        </is>
      </c>
      <c r="J207" s="161" t="n"/>
      <c r="K207" s="161" t="n"/>
      <c r="L207" s="164" t="inlineStr">
        <is>
          <t xml:space="preserve">Entrega em campo dos centros de controle de motores para cargas das unidades geradoreas +1/2CM </t>
        </is>
      </c>
      <c r="M207" s="416">
        <f>O207/$O$205</f>
        <v/>
      </c>
      <c r="N207" s="1342" t="n"/>
      <c r="O207" s="1340" t="n">
        <v>839245.26</v>
      </c>
      <c r="P207" s="553" t="n">
        <v>19</v>
      </c>
      <c r="Q207" s="1347" t="n">
        <v>600000</v>
      </c>
      <c r="R207" s="1327" t="n"/>
    </row>
    <row r="208" outlineLevel="1" ht="43.95" customFormat="1" customHeight="1" s="166">
      <c r="A208" s="461">
        <f>'01_Preço'!$A$100</f>
        <v/>
      </c>
      <c r="B208" s="469">
        <f>'01_Preço'!$A$115</f>
        <v/>
      </c>
      <c r="C208" s="469">
        <f>'01_Preço'!$B$115</f>
        <v/>
      </c>
      <c r="D208" s="437" t="inlineStr">
        <is>
          <t>Equipamentos e materiais</t>
        </is>
      </c>
      <c r="E208" s="449" t="n">
        <v>28</v>
      </c>
      <c r="F208" s="1348">
        <f>VLOOKUP(E208,'Tabela de mês'!$A$1:$B$70,2,TRUE)</f>
        <v/>
      </c>
      <c r="G208" s="516" t="inlineStr">
        <is>
          <t>065-MAT B</t>
        </is>
      </c>
      <c r="H208" s="436" t="inlineStr">
        <is>
          <t>ERZEG</t>
        </is>
      </c>
      <c r="I208" s="436" t="inlineStr">
        <is>
          <t>INSIGHT</t>
        </is>
      </c>
      <c r="J208" s="436" t="n"/>
      <c r="K208" s="436" t="n"/>
      <c r="L208" s="437" t="inlineStr">
        <is>
          <t>Entrega em campo do centro de controle de motores para cargas gerais +5CM</t>
        </is>
      </c>
      <c r="M208" s="446">
        <f>O208/$N$180</f>
        <v/>
      </c>
      <c r="N208" s="1365" t="n"/>
      <c r="O208" s="1346" t="n">
        <v>485695.58</v>
      </c>
      <c r="P208" s="556" t="n">
        <v>19</v>
      </c>
      <c r="Q208" s="1354" t="n">
        <v>510000</v>
      </c>
      <c r="R208" s="1327" t="n"/>
    </row>
    <row r="209" outlineLevel="1" ht="43.95" customFormat="1" customHeight="1" s="166">
      <c r="A209" s="461">
        <f>'01_Preço'!$A$100</f>
        <v/>
      </c>
      <c r="B209" s="469">
        <f>'01_Preço'!$A$117</f>
        <v/>
      </c>
      <c r="C209" s="469">
        <f>'01_Preço'!$B$117</f>
        <v/>
      </c>
      <c r="D209" s="437" t="inlineStr">
        <is>
          <t>Equipamentos e materiais</t>
        </is>
      </c>
      <c r="E209" s="449" t="n">
        <v>58</v>
      </c>
      <c r="F209" s="1348">
        <f>VLOOKUP(E209,'Tabela de mês'!$A$1:$B$70,2,TRUE)</f>
        <v/>
      </c>
      <c r="G209" s="516" t="inlineStr">
        <is>
          <t>065-MAT C</t>
        </is>
      </c>
      <c r="H209" s="436" t="inlineStr">
        <is>
          <t>ERZEG</t>
        </is>
      </c>
      <c r="I209" s="436" t="inlineStr">
        <is>
          <t>INSIGHT</t>
        </is>
      </c>
      <c r="J209" s="436" t="n"/>
      <c r="K209" s="436" t="n"/>
      <c r="L209" s="437" t="inlineStr">
        <is>
          <t>Entrega em campo do Centro de controle de motores para cargas na Chaminé de Equilíbrio +6CM</t>
        </is>
      </c>
      <c r="M209" s="446">
        <f>O209/$N$180</f>
        <v/>
      </c>
      <c r="N209" s="1365" t="n"/>
      <c r="O209" s="1346" t="n">
        <v>276000</v>
      </c>
      <c r="P209" s="556" t="n">
        <v>44</v>
      </c>
      <c r="Q209" s="1346" t="n">
        <v>160000</v>
      </c>
    </row>
    <row r="210" outlineLevel="1" ht="43.95" customFormat="1" customHeight="1" s="166">
      <c r="A210" s="461">
        <f>'01_Preço'!$A$100</f>
        <v/>
      </c>
      <c r="B210" s="469">
        <f>'01_Preço'!$A$119</f>
        <v/>
      </c>
      <c r="C210" s="469">
        <f>'01_Preço'!$B$119</f>
        <v/>
      </c>
      <c r="D210" s="437" t="inlineStr">
        <is>
          <t>Equipamentos e materiais</t>
        </is>
      </c>
      <c r="E210" s="449" t="n">
        <v>27</v>
      </c>
      <c r="F210" s="1348">
        <f>VLOOKUP(E210,'Tabela de mês'!$A$1:$B$70,2,TRUE)</f>
        <v/>
      </c>
      <c r="G210" s="516" t="inlineStr">
        <is>
          <t>065-MAT D</t>
        </is>
      </c>
      <c r="H210" s="436" t="inlineStr">
        <is>
          <t>MS GERADORES</t>
        </is>
      </c>
      <c r="I210" s="497" t="inlineStr">
        <is>
          <t>FAT. DIRETO</t>
        </is>
      </c>
      <c r="J210" s="436" t="n"/>
      <c r="K210" s="436" t="n"/>
      <c r="L210" s="437" t="inlineStr">
        <is>
          <t>Entrega em campo do Grupo Motor Diesel Gerador (GMG) casa de força</t>
        </is>
      </c>
      <c r="M210" s="446">
        <f>O210/$N$180</f>
        <v/>
      </c>
      <c r="N210" s="1365" t="n"/>
      <c r="O210" s="1346" t="n">
        <v>350000</v>
      </c>
      <c r="P210" s="556" t="n"/>
      <c r="Q210" s="1346" t="n"/>
    </row>
    <row r="211" outlineLevel="1" ht="43.95" customFormat="1" customHeight="1" s="166" thickBot="1">
      <c r="A211" s="461">
        <f>'01_Preço'!$A$100</f>
        <v/>
      </c>
      <c r="B211" s="469">
        <f>'01_Preço'!$A$121</f>
        <v/>
      </c>
      <c r="C211" s="469">
        <f>'01_Preço'!$B$121</f>
        <v/>
      </c>
      <c r="D211" s="437" t="inlineStr">
        <is>
          <t>Equipamentos e materiais</t>
        </is>
      </c>
      <c r="E211" s="449" t="n">
        <v>67</v>
      </c>
      <c r="F211" s="1348">
        <f>VLOOKUP(E211,'Tabela de mês'!$A$1:$B$70,2,TRUE)</f>
        <v/>
      </c>
      <c r="G211" s="516" t="inlineStr">
        <is>
          <t>065-MAT E</t>
        </is>
      </c>
      <c r="H211" s="436" t="inlineStr">
        <is>
          <t>INSIGHT</t>
        </is>
      </c>
      <c r="I211" s="436" t="inlineStr">
        <is>
          <t>INSIGHT</t>
        </is>
      </c>
      <c r="J211" s="436" t="n"/>
      <c r="K211" s="436" t="n"/>
      <c r="L211" s="437" t="inlineStr">
        <is>
          <t>Entrega em campo do Motor de elevação auxiliar da Ponte Rolante</t>
        </is>
      </c>
      <c r="M211" s="446">
        <f>O211/$N$180</f>
        <v/>
      </c>
      <c r="N211" s="1365" t="n"/>
      <c r="O211" s="1349" t="n">
        <v>10777.26</v>
      </c>
      <c r="P211" s="552" t="n">
        <v>49</v>
      </c>
      <c r="Q211" s="1349" t="n">
        <v>8000</v>
      </c>
    </row>
    <row r="212" ht="16.2" customHeight="1" thickBot="1">
      <c r="A212" s="1332" t="inlineStr">
        <is>
          <t>2.05 - Serviços Auxiliares CC</t>
        </is>
      </c>
      <c r="B212" s="1139" t="n"/>
      <c r="C212" s="1139" t="n"/>
      <c r="D212" s="1139" t="n"/>
      <c r="E212" s="1139" t="n"/>
      <c r="F212" s="1139" t="n"/>
      <c r="G212" s="1139" t="n"/>
      <c r="H212" s="1139" t="n"/>
      <c r="I212" s="1139" t="n"/>
      <c r="J212" s="1139" t="n"/>
      <c r="K212" s="1139" t="n"/>
      <c r="L212" s="1139" t="n"/>
      <c r="M212" s="1140" t="n"/>
      <c r="N212" s="1371">
        <f>SUM(O213,O219,O224,O229,O234,O235,O238,O239,O240)</f>
        <v/>
      </c>
      <c r="O212" s="1372" t="n"/>
      <c r="P212" s="1352" t="n"/>
      <c r="Q212" s="1332" t="n"/>
    </row>
    <row r="213" outlineLevel="1" ht="43.95" customFormat="1" customHeight="1" s="166">
      <c r="A213" s="676">
        <f>'01_Preço'!$A$123</f>
        <v/>
      </c>
      <c r="B213" s="677">
        <f>'01_Preço'!$A$124</f>
        <v/>
      </c>
      <c r="C213" s="677">
        <f>'01_Preço'!$B$124</f>
        <v/>
      </c>
      <c r="D213" s="475">
        <f>'01_Preço'!E124</f>
        <v/>
      </c>
      <c r="E213" s="479" t="n"/>
      <c r="F213" s="479" t="n"/>
      <c r="G213" s="487" t="n"/>
      <c r="H213" s="487" t="n"/>
      <c r="I213" s="487" t="n"/>
      <c r="J213" s="487" t="n"/>
      <c r="K213" s="487" t="n"/>
      <c r="L213" s="475">
        <f>'01_Preço'!E124</f>
        <v/>
      </c>
      <c r="M213" s="679">
        <f>O213/$N$212</f>
        <v/>
      </c>
      <c r="N213" s="1369" t="n"/>
      <c r="O213" s="1362">
        <f>SUM(O214:O218)</f>
        <v/>
      </c>
      <c r="P213" s="552" t="n"/>
      <c r="Q213" s="1363" t="n"/>
    </row>
    <row r="214" outlineLevel="1" ht="36.75" customHeight="1">
      <c r="A214" s="414">
        <f>'01_Preço'!$A$123</f>
        <v/>
      </c>
      <c r="B214" s="465">
        <f>'01_Preço'!$A$124</f>
        <v/>
      </c>
      <c r="C214" s="465">
        <f>'01_Preço'!$B$124</f>
        <v/>
      </c>
      <c r="D214" s="724">
        <f>'01_Preço'!E124</f>
        <v/>
      </c>
      <c r="E214" s="730" t="n">
        <v>16</v>
      </c>
      <c r="F214" s="1339">
        <f>VLOOKUP(E214,'Tabela de mês'!$A$1:$B$70,2,TRUE)</f>
        <v/>
      </c>
      <c r="G214" s="511" t="inlineStr">
        <is>
          <t>075-SER</t>
        </is>
      </c>
      <c r="H214" s="389" t="inlineStr">
        <is>
          <t>ERZEG</t>
        </is>
      </c>
      <c r="I214" s="389" t="inlineStr">
        <is>
          <t>INSIGHT</t>
        </is>
      </c>
      <c r="J214" s="389" t="n"/>
      <c r="K214" s="389" t="n"/>
      <c r="L214" s="423" t="inlineStr">
        <is>
          <t>Aprovação do Plano de Emissão de Documentos dos Serviços Auxiliares Elétricos CC</t>
        </is>
      </c>
      <c r="M214" s="391">
        <f>O214/$O$213</f>
        <v/>
      </c>
      <c r="N214" s="1340" t="n"/>
      <c r="O214" s="1340" t="n">
        <v>2470.96</v>
      </c>
      <c r="P214" s="563" t="n"/>
      <c r="Q214" s="1338" t="n"/>
      <c r="S214" s="662" t="inlineStr">
        <is>
          <t>SIM</t>
        </is>
      </c>
    </row>
    <row r="215" outlineLevel="1" ht="14.4" customHeight="1">
      <c r="A215" s="414">
        <f>'01_Preço'!$A$123</f>
        <v/>
      </c>
      <c r="B215" s="465">
        <f>'01_Preço'!$A$124</f>
        <v/>
      </c>
      <c r="C215" s="465">
        <f>'01_Preço'!$B$124</f>
        <v/>
      </c>
      <c r="D215" s="724">
        <f>'01_Preço'!E124</f>
        <v/>
      </c>
      <c r="E215" s="730" t="n">
        <v>22</v>
      </c>
      <c r="F215" s="1339">
        <f>VLOOKUP(E215,'Tabela de mês'!$A$1:$B$70,2,TRUE)</f>
        <v/>
      </c>
      <c r="G215" s="510" t="inlineStr">
        <is>
          <t>076-SER</t>
        </is>
      </c>
      <c r="H215" s="389" t="inlineStr">
        <is>
          <t>ERZEG</t>
        </is>
      </c>
      <c r="I215" s="163" t="inlineStr">
        <is>
          <t>INSIGHT</t>
        </is>
      </c>
      <c r="J215" s="163" t="n"/>
      <c r="K215" s="163" t="n"/>
      <c r="L215" s="342" t="inlineStr">
        <is>
          <t>Aprovação do Diagrama Unifilar dos Serviços Auxiliares Elétricos CC</t>
        </is>
      </c>
      <c r="M215" s="391">
        <f>O215/$O$213</f>
        <v/>
      </c>
      <c r="N215" s="1340" t="n"/>
      <c r="O215" s="1340" t="n">
        <v>63106.86</v>
      </c>
      <c r="P215" s="561" t="n">
        <v>19</v>
      </c>
      <c r="Q215" s="1347" t="n">
        <v>60000</v>
      </c>
    </row>
    <row r="216" outlineLevel="1" ht="27.6" customHeight="1">
      <c r="A216" s="414">
        <f>'01_Preço'!$A$123</f>
        <v/>
      </c>
      <c r="B216" s="465">
        <f>'01_Preço'!$A$124</f>
        <v/>
      </c>
      <c r="C216" s="465">
        <f>'01_Preço'!$B$124</f>
        <v/>
      </c>
      <c r="D216" s="724">
        <f>'01_Preço'!E124</f>
        <v/>
      </c>
      <c r="E216" s="730" t="n">
        <v>22</v>
      </c>
      <c r="F216" s="1339">
        <f>VLOOKUP(E216,'Tabela de mês'!$A$1:$B$70,2,TRUE)</f>
        <v/>
      </c>
      <c r="G216" s="510" t="inlineStr">
        <is>
          <t>077-SER</t>
        </is>
      </c>
      <c r="H216" s="389" t="inlineStr">
        <is>
          <t>ERZEG</t>
        </is>
      </c>
      <c r="I216" s="163" t="inlineStr">
        <is>
          <t>INSIGHT</t>
        </is>
      </c>
      <c r="J216" s="163" t="n"/>
      <c r="K216" s="163" t="n"/>
      <c r="L216" s="423" t="inlineStr">
        <is>
          <t>Aprovação da Memória de Cálculo e Dimensionamento dos Serviços Auxiliares Elétricos CC</t>
        </is>
      </c>
      <c r="M216" s="391">
        <f>O216/$O$213</f>
        <v/>
      </c>
      <c r="N216" s="1340" t="n"/>
      <c r="O216" s="1340" t="n">
        <v>63106.86</v>
      </c>
      <c r="P216" s="561" t="n">
        <v>19</v>
      </c>
      <c r="Q216" s="1347" t="n">
        <v>60000</v>
      </c>
    </row>
    <row r="217" outlineLevel="1" ht="27.6" customHeight="1">
      <c r="A217" s="414">
        <f>'01_Preço'!$A$123</f>
        <v/>
      </c>
      <c r="B217" s="465">
        <f>'01_Preço'!$A$124</f>
        <v/>
      </c>
      <c r="C217" s="465">
        <f>'01_Preço'!$B$124</f>
        <v/>
      </c>
      <c r="D217" s="724">
        <f>'01_Preço'!E124</f>
        <v/>
      </c>
      <c r="E217" s="730" t="n">
        <v>23</v>
      </c>
      <c r="F217" s="1339">
        <f>VLOOKUP(E217,'Tabela de mês'!$A$1:$B$70,2,TRUE)</f>
        <v/>
      </c>
      <c r="G217" s="510" t="inlineStr">
        <is>
          <t>078-SER</t>
        </is>
      </c>
      <c r="H217" s="389" t="inlineStr">
        <is>
          <t>ERZEG</t>
        </is>
      </c>
      <c r="I217" s="163" t="inlineStr">
        <is>
          <t>INSIGHT</t>
        </is>
      </c>
      <c r="J217" s="163" t="n"/>
      <c r="K217" s="163" t="n"/>
      <c r="L217" s="423" t="inlineStr">
        <is>
          <t>Aprovação completa dos Documentos do Projeto Executivo e de Fabricação dos Serviços Auxiliares Elétricos CC</t>
        </is>
      </c>
      <c r="M217" s="391">
        <f>O217/$O$213</f>
        <v/>
      </c>
      <c r="N217" s="1340" t="n"/>
      <c r="O217" s="1340" t="n">
        <v>63106.86</v>
      </c>
      <c r="P217" s="561" t="n">
        <v>19</v>
      </c>
      <c r="Q217" s="1347" t="n">
        <v>60000</v>
      </c>
    </row>
    <row r="218" outlineLevel="1" ht="27.6" customHeight="1">
      <c r="A218" s="414">
        <f>'01_Preço'!$A$123</f>
        <v/>
      </c>
      <c r="B218" s="465">
        <f>'01_Preço'!$A$124</f>
        <v/>
      </c>
      <c r="C218" s="465">
        <f>'01_Preço'!$B$124</f>
        <v/>
      </c>
      <c r="D218" s="174">
        <f>'01_Preço'!E124</f>
        <v/>
      </c>
      <c r="E218" s="730" t="n">
        <v>65</v>
      </c>
      <c r="F218" s="1339">
        <f>VLOOKUP(E218,'Tabela de mês'!$A$1:$B$70,2,TRUE)</f>
        <v/>
      </c>
      <c r="G218" s="510" t="inlineStr">
        <is>
          <t>079-SER</t>
        </is>
      </c>
      <c r="H218" s="389" t="inlineStr">
        <is>
          <t>ERZEG</t>
        </is>
      </c>
      <c r="I218" s="163" t="inlineStr">
        <is>
          <t>INSIGHT</t>
        </is>
      </c>
      <c r="J218" s="163" t="n"/>
      <c r="K218" s="163" t="n"/>
      <c r="L218" s="165" t="inlineStr">
        <is>
          <t>Aprovação da versão conforme construído do Projeto dos Serviços Auxiliares Elétricos CC</t>
        </is>
      </c>
      <c r="M218" s="391">
        <f>O218/$O$213</f>
        <v/>
      </c>
      <c r="N218" s="1342" t="n"/>
      <c r="O218" s="1342" t="n">
        <v>18564.66</v>
      </c>
      <c r="P218" s="560" t="n"/>
      <c r="Q218" s="1347" t="n"/>
    </row>
    <row r="219" outlineLevel="1" ht="43.95" customFormat="1" customHeight="1" s="166">
      <c r="A219" s="471">
        <f>'01_Preço'!$A$123</f>
        <v/>
      </c>
      <c r="B219" s="469">
        <f>'01_Preço'!$A$126</f>
        <v/>
      </c>
      <c r="C219" s="469">
        <f>'01_Preço'!$B$126</f>
        <v/>
      </c>
      <c r="D219" s="442" t="inlineStr">
        <is>
          <t>Montagem eletromecânica</t>
        </is>
      </c>
      <c r="E219" s="733" t="n"/>
      <c r="F219" s="733" t="n"/>
      <c r="G219" s="441" t="n"/>
      <c r="H219" s="441" t="n"/>
      <c r="I219" s="441" t="n"/>
      <c r="J219" s="441" t="n"/>
      <c r="K219" s="441" t="n"/>
      <c r="L219" s="442">
        <f>'01_Preço'!E126</f>
        <v/>
      </c>
      <c r="M219" s="734">
        <f>O219/$N$212</f>
        <v/>
      </c>
      <c r="N219" s="1357" t="n"/>
      <c r="O219" s="1357">
        <f>SUM(O220:O223)</f>
        <v/>
      </c>
      <c r="P219" s="556" t="n"/>
      <c r="Q219" s="1349" t="n"/>
    </row>
    <row r="220" outlineLevel="1" ht="55.2" customHeight="1">
      <c r="A220" s="414">
        <f>'01_Preço'!$A$123</f>
        <v/>
      </c>
      <c r="B220" s="465">
        <f>'01_Preço'!$A$126</f>
        <v/>
      </c>
      <c r="C220" s="465">
        <f>'01_Preço'!$B$126</f>
        <v/>
      </c>
      <c r="D220" s="724" t="inlineStr">
        <is>
          <t>Montagem eletromecânica</t>
        </is>
      </c>
      <c r="E220" s="730" t="n">
        <v>26</v>
      </c>
      <c r="F220" s="1339">
        <f>VLOOKUP(E220,'Tabela de mês'!$A$1:$B$70,2,TRUE)</f>
        <v/>
      </c>
      <c r="G220" s="510" t="inlineStr">
        <is>
          <t>083-SER A</t>
        </is>
      </c>
      <c r="H220" s="163" t="inlineStr">
        <is>
          <t>INSIGHT</t>
        </is>
      </c>
      <c r="I220" s="163" t="inlineStr">
        <is>
          <t>INSIGHT</t>
        </is>
      </c>
      <c r="J220" s="163" t="n"/>
      <c r="K220" s="163" t="n"/>
      <c r="L220" s="342" t="inlineStr">
        <is>
          <t>Conclusão da Desmontagem de todos equipamentos e componentes dos Serviços Auxiliares Elétricos CC existentes da 1ª UF, e respectiva infraestrutura de interligação, incluindo a execução de arranjos provisórios, integrado aos demais equipamentos e sistemas</t>
        </is>
      </c>
      <c r="M220" s="391">
        <f>O220/$O$219</f>
        <v/>
      </c>
      <c r="N220" s="1340" t="n"/>
      <c r="O220" s="1340" t="n">
        <v>34857.3</v>
      </c>
      <c r="P220" s="553" t="n"/>
      <c r="Q220" s="1347" t="n"/>
    </row>
    <row r="221" outlineLevel="1" ht="55.2" customHeight="1">
      <c r="A221" s="414">
        <f>'01_Preço'!$A$123</f>
        <v/>
      </c>
      <c r="B221" s="173">
        <f>'01_Preço'!$A$126</f>
        <v/>
      </c>
      <c r="C221" s="173">
        <f>'01_Preço'!$B$126</f>
        <v/>
      </c>
      <c r="D221" s="174" t="inlineStr">
        <is>
          <t>Montagem eletromecânica</t>
        </is>
      </c>
      <c r="E221" s="730" t="n">
        <v>37</v>
      </c>
      <c r="F221" s="1339">
        <f>VLOOKUP(E221,'Tabela de mês'!$A$1:$B$70,2,TRUE)</f>
        <v/>
      </c>
      <c r="G221" s="510" t="inlineStr">
        <is>
          <t>084-SER A</t>
        </is>
      </c>
      <c r="H221" s="163" t="inlineStr">
        <is>
          <t>INSIGHT</t>
        </is>
      </c>
      <c r="I221" s="163" t="inlineStr">
        <is>
          <t>INSIGHT</t>
        </is>
      </c>
      <c r="J221" s="163" t="n"/>
      <c r="K221" s="163" t="n"/>
      <c r="L221" s="165" t="inlineStr">
        <is>
          <t>Conclusão da Desmontagem de todos equipamentos e componentes dos Serviços Auxiliares Elétricos CC existentes da 2ª UF, e respectiva infraestrutura de interligação, incluindo a execução de arranjos provisórios, integrado aos demais equipamentos e sistemas</t>
        </is>
      </c>
      <c r="M221" s="391">
        <f>O221/$O$219</f>
        <v/>
      </c>
      <c r="N221" s="1342" t="n"/>
      <c r="O221" s="1342" t="n">
        <v>34857.3</v>
      </c>
      <c r="P221" s="553" t="n"/>
      <c r="Q221" s="1347" t="n"/>
    </row>
    <row r="222" outlineLevel="1" ht="55.2" customHeight="1">
      <c r="A222" s="228">
        <f>'01_Preço'!$A$123</f>
        <v/>
      </c>
      <c r="B222" s="173">
        <f>'01_Preço'!$A$126</f>
        <v/>
      </c>
      <c r="C222" s="173">
        <f>'01_Preço'!$B$126</f>
        <v/>
      </c>
      <c r="D222" s="174" t="inlineStr">
        <is>
          <t>Montagem eletromecânica</t>
        </is>
      </c>
      <c r="E222" s="453" t="n">
        <v>49</v>
      </c>
      <c r="F222" s="1343">
        <f>VLOOKUP(E222,'Tabela de mês'!$A$1:$B$70,2,TRUE)</f>
        <v/>
      </c>
      <c r="G222" s="520" t="inlineStr">
        <is>
          <t>085-SER A</t>
        </is>
      </c>
      <c r="H222" s="161" t="inlineStr">
        <is>
          <t>INSIGHT</t>
        </is>
      </c>
      <c r="I222" s="161" t="inlineStr">
        <is>
          <t>INSIGHT</t>
        </is>
      </c>
      <c r="J222" s="161" t="n"/>
      <c r="K222" s="161" t="n"/>
      <c r="L222" s="164" t="inlineStr">
        <is>
          <t>Conclusão da Desmontagem de todos equipamentos e componentes dos Serviços Auxiliares Elétricos CC existentes da 3ª UF, e respectiva infraestrutura de interligação, incluindo a execução de arranjos provisórios, integrado aos demais equipamentos e sistemas</t>
        </is>
      </c>
      <c r="M222" s="416">
        <f>O222/$O$219</f>
        <v/>
      </c>
      <c r="N222" s="1364" t="n"/>
      <c r="O222" s="1342" t="n">
        <v>34857.3</v>
      </c>
      <c r="P222" s="553" t="n"/>
      <c r="Q222" s="1347" t="n"/>
    </row>
    <row r="223" outlineLevel="1" ht="55.2" customHeight="1">
      <c r="A223" s="228">
        <f>'01_Preço'!$A$123</f>
        <v/>
      </c>
      <c r="B223" s="173">
        <f>'01_Preço'!$A$126</f>
        <v/>
      </c>
      <c r="C223" s="173">
        <f>'01_Preço'!$B$126</f>
        <v/>
      </c>
      <c r="D223" s="174" t="inlineStr">
        <is>
          <t>Montagem eletromecânica</t>
        </is>
      </c>
      <c r="E223" s="453" t="n">
        <v>59</v>
      </c>
      <c r="F223" s="1343">
        <f>VLOOKUP(E223,'Tabela de mês'!$A$1:$B$70,2,TRUE)</f>
        <v/>
      </c>
      <c r="G223" s="520" t="inlineStr">
        <is>
          <t>086-SER A</t>
        </is>
      </c>
      <c r="H223" s="161" t="inlineStr">
        <is>
          <t>INSIGHT</t>
        </is>
      </c>
      <c r="I223" s="161" t="inlineStr">
        <is>
          <t>INSIGHT</t>
        </is>
      </c>
      <c r="J223" s="161" t="n"/>
      <c r="K223" s="161" t="n"/>
      <c r="L223" s="164" t="inlineStr">
        <is>
          <t>Conclusão da Desmontagem de todos equipamentos e componentes dos Serviços Auxiliares Elétricos CC existentes da 4ª UF, e respectiva infraestrutura de interligação, incluindo a execução de arranjos provisórios, integrado aos demais equipamentos e sistemas</t>
        </is>
      </c>
      <c r="M223" s="416">
        <f>O223/$O$219</f>
        <v/>
      </c>
      <c r="N223" s="1364" t="n"/>
      <c r="O223" s="1342" t="n">
        <v>34857.3</v>
      </c>
      <c r="P223" s="553" t="n"/>
      <c r="Q223" s="1347" t="n"/>
    </row>
    <row r="224" outlineLevel="1" ht="43.95" customFormat="1" customHeight="1" s="166">
      <c r="A224" s="461">
        <f>'01_Preço'!$A$123</f>
        <v/>
      </c>
      <c r="B224" s="469">
        <f>'01_Preço'!$A$128</f>
        <v/>
      </c>
      <c r="C224" s="467">
        <f>'01_Preço'!$B$128</f>
        <v/>
      </c>
      <c r="D224" s="437" t="inlineStr">
        <is>
          <t>Montagem eletromecânica</t>
        </is>
      </c>
      <c r="E224" s="449" t="n"/>
      <c r="F224" s="449" t="n"/>
      <c r="G224" s="436" t="n"/>
      <c r="H224" s="436" t="n"/>
      <c r="I224" s="436" t="n"/>
      <c r="J224" s="436" t="n"/>
      <c r="K224" s="436" t="n"/>
      <c r="L224" s="437">
        <f>'01_Preço'!E128</f>
        <v/>
      </c>
      <c r="M224" s="446">
        <f>O224/$N$212</f>
        <v/>
      </c>
      <c r="N224" s="1365" t="n"/>
      <c r="O224" s="1349">
        <f>SUM(O225:O228)</f>
        <v/>
      </c>
      <c r="P224" s="556" t="n"/>
      <c r="Q224" s="1349" t="n"/>
    </row>
    <row r="225" outlineLevel="1" ht="55.2" customHeight="1">
      <c r="A225" s="228">
        <f>'01_Preço'!$A$123</f>
        <v/>
      </c>
      <c r="B225" s="173">
        <f>'01_Preço'!$A$128</f>
        <v/>
      </c>
      <c r="C225" s="173">
        <f>'01_Preço'!$B$128</f>
        <v/>
      </c>
      <c r="D225" s="174" t="inlineStr">
        <is>
          <t>Montagem eletromecânica</t>
        </is>
      </c>
      <c r="E225" s="453" t="n">
        <v>34</v>
      </c>
      <c r="F225" s="1343">
        <f>VLOOKUP(E225,'Tabela de mês'!$A$1:$B$70,2,TRUE)</f>
        <v/>
      </c>
      <c r="G225" s="520" t="inlineStr">
        <is>
          <t>083-SER B</t>
        </is>
      </c>
      <c r="H225" s="161" t="inlineStr">
        <is>
          <t>INSIGHT</t>
        </is>
      </c>
      <c r="I225" s="161" t="inlineStr">
        <is>
          <t>INSIGHT</t>
        </is>
      </c>
      <c r="J225" s="161" t="n"/>
      <c r="K225" s="161" t="n"/>
      <c r="L225" s="164" t="inlineStr">
        <is>
          <t>Conclusão da montagem de todos equipamentos e componentes dos Serviços Auxiliares Elétricos CC existentes da 1ª UF, e respectiva infraestrutura de interligação, incluindo a execução de arranjos provisórios, integrado aos demais equipamentos e sistemas</t>
        </is>
      </c>
      <c r="M225" s="416">
        <f>O225/$O$224</f>
        <v/>
      </c>
      <c r="N225" s="1364" t="n"/>
      <c r="O225" s="1342" t="n">
        <v>34857.29</v>
      </c>
      <c r="P225" s="553" t="n"/>
      <c r="Q225" s="1347" t="n"/>
    </row>
    <row r="226" outlineLevel="1" ht="55.2" customHeight="1">
      <c r="A226" s="228">
        <f>'01_Preço'!$A$123</f>
        <v/>
      </c>
      <c r="B226" s="173">
        <f>'01_Preço'!$A$128</f>
        <v/>
      </c>
      <c r="C226" s="173">
        <f>'01_Preço'!$B$128</f>
        <v/>
      </c>
      <c r="D226" s="174" t="inlineStr">
        <is>
          <t>Montagem eletromecânica</t>
        </is>
      </c>
      <c r="E226" s="453" t="n">
        <v>46</v>
      </c>
      <c r="F226" s="1343">
        <f>VLOOKUP(E226,'Tabela de mês'!$A$1:$B$70,2,TRUE)</f>
        <v/>
      </c>
      <c r="G226" s="520" t="inlineStr">
        <is>
          <t>084-SER B</t>
        </is>
      </c>
      <c r="H226" s="161" t="inlineStr">
        <is>
          <t>INSIGHT</t>
        </is>
      </c>
      <c r="I226" s="161" t="inlineStr">
        <is>
          <t>INSIGHT</t>
        </is>
      </c>
      <c r="J226" s="161" t="n"/>
      <c r="K226" s="161" t="n"/>
      <c r="L226" s="164" t="inlineStr">
        <is>
          <t>Conclusão da montagem de todos equipamentos e componentes dos Serviços Auxiliares Elétricos CC existentes da 2ª UF, e respectiva infraestrutura de interligação, incluindo a execução de arranjos provisórios, integrado aos demais equipamentos e sistemas</t>
        </is>
      </c>
      <c r="M226" s="416">
        <f>O226/$O$224</f>
        <v/>
      </c>
      <c r="N226" s="1364" t="n"/>
      <c r="O226" s="1342" t="n">
        <v>34857.29</v>
      </c>
      <c r="P226" s="553" t="n"/>
      <c r="Q226" s="1347" t="n"/>
    </row>
    <row r="227" outlineLevel="1" ht="55.2" customHeight="1">
      <c r="A227" s="228">
        <f>'01_Preço'!$A$123</f>
        <v/>
      </c>
      <c r="B227" s="173">
        <f>'01_Preço'!$A$128</f>
        <v/>
      </c>
      <c r="C227" s="173">
        <f>'01_Preço'!$B$128</f>
        <v/>
      </c>
      <c r="D227" s="174" t="inlineStr">
        <is>
          <t>Montagem eletromecânica</t>
        </is>
      </c>
      <c r="E227" s="453" t="n">
        <v>55</v>
      </c>
      <c r="F227" s="1343">
        <f>VLOOKUP(E227,'Tabela de mês'!$A$1:$B$70,2,TRUE)</f>
        <v/>
      </c>
      <c r="G227" s="520" t="inlineStr">
        <is>
          <t>085-SER B</t>
        </is>
      </c>
      <c r="H227" s="161" t="inlineStr">
        <is>
          <t>INSIGHT</t>
        </is>
      </c>
      <c r="I227" s="161" t="inlineStr">
        <is>
          <t>INSIGHT</t>
        </is>
      </c>
      <c r="J227" s="161" t="n"/>
      <c r="K227" s="161" t="n"/>
      <c r="L227" s="164" t="inlineStr">
        <is>
          <t>Conclusão da montagem de todos equipamentos e componentes dos Serviços Auxiliares Elétricos CC existentes da 3ª UF, e respectiva infraestrutura de interligação, incluindo a execução de arranjos provisórios, integrado aos demais equipamentos e sistemas</t>
        </is>
      </c>
      <c r="M227" s="416">
        <f>O227/$O$224</f>
        <v/>
      </c>
      <c r="N227" s="1364" t="n"/>
      <c r="O227" s="1342" t="n">
        <v>34857.29</v>
      </c>
      <c r="P227" s="553" t="n"/>
      <c r="Q227" s="1347" t="n"/>
    </row>
    <row r="228" outlineLevel="1" ht="55.2" customHeight="1">
      <c r="A228" s="228">
        <f>'01_Preço'!$A$123</f>
        <v/>
      </c>
      <c r="B228" s="173">
        <f>'01_Preço'!$A$128</f>
        <v/>
      </c>
      <c r="C228" s="173">
        <f>'01_Preço'!$B$128</f>
        <v/>
      </c>
      <c r="D228" s="174" t="inlineStr">
        <is>
          <t>Montagem eletromecânica</t>
        </is>
      </c>
      <c r="E228" s="453" t="n">
        <v>65</v>
      </c>
      <c r="F228" s="1343">
        <f>VLOOKUP(E228,'Tabela de mês'!$A$1:$B$70,2,TRUE)</f>
        <v/>
      </c>
      <c r="G228" s="520" t="inlineStr">
        <is>
          <t>086-SER B</t>
        </is>
      </c>
      <c r="H228" s="161" t="inlineStr">
        <is>
          <t>INSIGHT</t>
        </is>
      </c>
      <c r="I228" s="161" t="inlineStr">
        <is>
          <t>INSIGHT</t>
        </is>
      </c>
      <c r="J228" s="161" t="n"/>
      <c r="K228" s="161" t="n"/>
      <c r="L228" s="164" t="inlineStr">
        <is>
          <t>Conclusão da montagem de todos equipamentos e componentes dos Serviços Auxiliares Elétricos CC existentes da 4ª UF, e respectiva infraestrutura de interligação, incluindo a execução de arranjos provisórios, integrado aos demais equipamentos e sistemas</t>
        </is>
      </c>
      <c r="M228" s="416">
        <f>O228/$O$224</f>
        <v/>
      </c>
      <c r="N228" s="1364" t="n"/>
      <c r="O228" s="1342" t="n">
        <v>34857.29</v>
      </c>
      <c r="P228" s="553" t="n"/>
      <c r="Q228" s="1347" t="n"/>
    </row>
    <row r="229" outlineLevel="1" ht="43.95" customFormat="1" customHeight="1" s="166">
      <c r="A229" s="461">
        <f>'01_Preço'!$A$123</f>
        <v/>
      </c>
      <c r="B229" s="469">
        <f>'01_Preço'!$A$130</f>
        <v/>
      </c>
      <c r="C229" s="467">
        <f>'01_Preço'!$B$130</f>
        <v/>
      </c>
      <c r="D229" s="437" t="inlineStr">
        <is>
          <t>Montagem eletromecânica</t>
        </is>
      </c>
      <c r="E229" s="449" t="n"/>
      <c r="F229" s="449" t="n"/>
      <c r="G229" s="436" t="n"/>
      <c r="H229" s="436" t="n"/>
      <c r="I229" s="436" t="n"/>
      <c r="J229" s="436" t="n"/>
      <c r="K229" s="436" t="n"/>
      <c r="L229" s="437">
        <f>'01_Preço'!E130</f>
        <v/>
      </c>
      <c r="M229" s="446">
        <f>O229/$N$212</f>
        <v/>
      </c>
      <c r="N229" s="1365" t="n"/>
      <c r="O229" s="1349">
        <f>SUM(O230:O233)</f>
        <v/>
      </c>
      <c r="P229" s="556" t="n"/>
      <c r="Q229" s="1349" t="n"/>
    </row>
    <row r="230" outlineLevel="1" ht="41.4" customHeight="1">
      <c r="A230" s="228">
        <f>'01_Preço'!$A$123</f>
        <v/>
      </c>
      <c r="B230" s="173">
        <f>'01_Preço'!$A$130</f>
        <v/>
      </c>
      <c r="C230" s="173">
        <f>'01_Preço'!B130</f>
        <v/>
      </c>
      <c r="D230" s="174" t="inlineStr">
        <is>
          <t>Montagem eletromecânica</t>
        </is>
      </c>
      <c r="E230" s="453" t="n">
        <v>35</v>
      </c>
      <c r="F230" s="1343">
        <f>VLOOKUP(E230,'Tabela de mês'!$A$1:$B$70,2,TRUE)</f>
        <v/>
      </c>
      <c r="G230" s="513" t="inlineStr">
        <is>
          <t>087-SER</t>
        </is>
      </c>
      <c r="H230" s="161" t="inlineStr">
        <is>
          <t>INSIGHT</t>
        </is>
      </c>
      <c r="I230" s="161" t="inlineStr">
        <is>
          <t>INSIGHT</t>
        </is>
      </c>
      <c r="J230" s="161" t="n"/>
      <c r="K230" s="161" t="n"/>
      <c r="L230" s="164" t="inlineStr">
        <is>
          <t>Conclusão da Comissionamento de todos equipamentos e componentes dos Serviços Auxiliares Elétricos CC da 1ª UF, integrado aos demais equipamentos e sistemas</t>
        </is>
      </c>
      <c r="M230" s="416">
        <f>O230/$O$229</f>
        <v/>
      </c>
      <c r="N230" s="1364" t="n"/>
      <c r="O230" s="1342" t="n">
        <v>22663.18</v>
      </c>
      <c r="P230" s="561" t="n"/>
      <c r="Q230" s="1347" t="n"/>
    </row>
    <row r="231" outlineLevel="1" ht="41.4" customHeight="1">
      <c r="A231" s="228">
        <f>'01_Preço'!$A$123</f>
        <v/>
      </c>
      <c r="B231" s="173">
        <f>'01_Preço'!$A$130</f>
        <v/>
      </c>
      <c r="C231" s="173">
        <f>'01_Preço'!B130</f>
        <v/>
      </c>
      <c r="D231" s="174" t="inlineStr">
        <is>
          <t>Montagem eletromecânica</t>
        </is>
      </c>
      <c r="E231" s="453" t="n">
        <v>47</v>
      </c>
      <c r="F231" s="1343">
        <f>VLOOKUP(E231,'Tabela de mês'!$A$1:$B$70,2,TRUE)</f>
        <v/>
      </c>
      <c r="G231" s="513" t="inlineStr">
        <is>
          <t>088-SER</t>
        </is>
      </c>
      <c r="H231" s="161" t="inlineStr">
        <is>
          <t>INSIGHT</t>
        </is>
      </c>
      <c r="I231" s="161" t="inlineStr">
        <is>
          <t>INSIGHT</t>
        </is>
      </c>
      <c r="J231" s="161" t="n"/>
      <c r="K231" s="161" t="n"/>
      <c r="L231" s="164" t="inlineStr">
        <is>
          <t>Conclusão da Comissionamento de todos equipamentos e componentes dos Serviços Auxiliares Elétricos CC da 2ª UF, integrado aos demais equipamentos e sistemas</t>
        </is>
      </c>
      <c r="M231" s="416">
        <f>O231/$O$229</f>
        <v/>
      </c>
      <c r="N231" s="1364" t="n"/>
      <c r="O231" s="1342" t="n">
        <v>22663.18</v>
      </c>
      <c r="P231" s="561" t="n"/>
      <c r="Q231" s="1347" t="n"/>
    </row>
    <row r="232" outlineLevel="1" ht="41.4" customHeight="1">
      <c r="A232" s="228">
        <f>'01_Preço'!$A$123</f>
        <v/>
      </c>
      <c r="B232" s="173">
        <f>'01_Preço'!$A$130</f>
        <v/>
      </c>
      <c r="C232" s="173">
        <f>'01_Preço'!B130</f>
        <v/>
      </c>
      <c r="D232" s="174" t="inlineStr">
        <is>
          <t>Montagem eletromecânica</t>
        </is>
      </c>
      <c r="E232" s="453" t="n">
        <v>56</v>
      </c>
      <c r="F232" s="1343">
        <f>VLOOKUP(E232,'Tabela de mês'!$A$1:$B$70,2,TRUE)</f>
        <v/>
      </c>
      <c r="G232" s="513" t="inlineStr">
        <is>
          <t>089-SER</t>
        </is>
      </c>
      <c r="H232" s="161" t="inlineStr">
        <is>
          <t>INSIGHT</t>
        </is>
      </c>
      <c r="I232" s="163" t="inlineStr">
        <is>
          <t>INSIGHT</t>
        </is>
      </c>
      <c r="J232" s="161" t="n"/>
      <c r="K232" s="161" t="n"/>
      <c r="L232" s="164" t="inlineStr">
        <is>
          <t>Conclusão da Comissionamento de todos equipamentos e componentes dos Serviços Auxiliares Elétricos CC da 3ª UF, integrado aos demais equipamentos e sistemas</t>
        </is>
      </c>
      <c r="M232" s="416">
        <f>O232/$O$229</f>
        <v/>
      </c>
      <c r="N232" s="1364" t="n"/>
      <c r="O232" s="1342" t="n">
        <v>22663.18</v>
      </c>
      <c r="P232" s="561" t="n"/>
      <c r="Q232" s="1347" t="n"/>
    </row>
    <row r="233" outlineLevel="1" ht="41.4" customHeight="1">
      <c r="A233" s="228">
        <f>'01_Preço'!$A$123</f>
        <v/>
      </c>
      <c r="B233" s="173">
        <f>'01_Preço'!$A$130</f>
        <v/>
      </c>
      <c r="C233" s="173">
        <f>'01_Preço'!B130</f>
        <v/>
      </c>
      <c r="D233" s="174" t="inlineStr">
        <is>
          <t>Montagem eletromecânica</t>
        </is>
      </c>
      <c r="E233" s="453" t="n">
        <v>66</v>
      </c>
      <c r="F233" s="1343">
        <f>VLOOKUP(E233,'Tabela de mês'!$A$1:$B$70,2,TRUE)</f>
        <v/>
      </c>
      <c r="G233" s="513" t="inlineStr">
        <is>
          <t>090-SER</t>
        </is>
      </c>
      <c r="H233" s="161" t="inlineStr">
        <is>
          <t>INSIGHT</t>
        </is>
      </c>
      <c r="I233" s="163" t="inlineStr">
        <is>
          <t>INSIGHT</t>
        </is>
      </c>
      <c r="J233" s="163" t="n"/>
      <c r="K233" s="163" t="n"/>
      <c r="L233" s="165" t="inlineStr">
        <is>
          <t>Conclusão da Comissionamento de todos equipamentos e componentes dos Serviços Auxiliares Elétricos CC da 4ª UF, integrado aos demais equipamentos e sistemas</t>
        </is>
      </c>
      <c r="M233" s="416">
        <f>O233/$O$229</f>
        <v/>
      </c>
      <c r="N233" s="1364" t="n"/>
      <c r="O233" s="1342" t="n">
        <v>22663.18</v>
      </c>
      <c r="P233" s="561" t="n"/>
      <c r="Q233" s="1347" t="n"/>
    </row>
    <row r="234" outlineLevel="1" ht="43.95" customFormat="1" customHeight="1" s="166">
      <c r="A234" s="461">
        <f>'01_Preço'!$A$123</f>
        <v/>
      </c>
      <c r="B234" s="469">
        <f>'01_Preço'!$A$132</f>
        <v/>
      </c>
      <c r="C234" s="467">
        <f>'01_Preço'!$B$132</f>
        <v/>
      </c>
      <c r="D234" s="442" t="inlineStr">
        <is>
          <t>Equipamentos e materiais</t>
        </is>
      </c>
      <c r="E234" s="449" t="n">
        <v>27</v>
      </c>
      <c r="F234" s="1348">
        <f>VLOOKUP(E234,'Tabela de mês'!$A$1:$B$54,2,TRUE)</f>
        <v/>
      </c>
      <c r="G234" s="510" t="inlineStr">
        <is>
          <t>081-MAT A</t>
        </is>
      </c>
      <c r="H234" s="441" t="inlineStr">
        <is>
          <t>ERZEG</t>
        </is>
      </c>
      <c r="I234" s="441" t="inlineStr">
        <is>
          <t>INSIGHT</t>
        </is>
      </c>
      <c r="J234" s="441" t="n"/>
      <c r="K234" s="441" t="n"/>
      <c r="L234" s="442" t="inlineStr">
        <is>
          <t>Entrega em campo do centro de Distribuição de Cargas +CC</t>
        </is>
      </c>
      <c r="M234" s="446">
        <f>O234/$N$212</f>
        <v/>
      </c>
      <c r="N234" s="1365" t="n"/>
      <c r="O234" s="1349" t="n">
        <v>226446.6</v>
      </c>
      <c r="P234" s="556" t="n">
        <v>19</v>
      </c>
      <c r="Q234" s="1349" t="n">
        <v>220000</v>
      </c>
    </row>
    <row r="235" outlineLevel="1" ht="43.95" customFormat="1" customHeight="1" s="166">
      <c r="A235" s="461">
        <f>'01_Preço'!$A$123</f>
        <v/>
      </c>
      <c r="B235" s="469">
        <f>'01_Preço'!$A$134</f>
        <v/>
      </c>
      <c r="C235" s="467">
        <f>'01_Preço'!$B$134</f>
        <v/>
      </c>
      <c r="D235" s="437" t="inlineStr">
        <is>
          <t>Equipamentos e materiais</t>
        </is>
      </c>
      <c r="E235" s="449" t="n"/>
      <c r="F235" s="449" t="n"/>
      <c r="G235" s="436" t="n"/>
      <c r="H235" s="436" t="n"/>
      <c r="I235" s="436" t="n"/>
      <c r="J235" s="436" t="n"/>
      <c r="K235" s="436" t="n"/>
      <c r="L235" s="437">
        <f>'01_Preço'!E134</f>
        <v/>
      </c>
      <c r="M235" s="446">
        <f>O235/$N$212</f>
        <v/>
      </c>
      <c r="N235" s="1365" t="n"/>
      <c r="O235" s="1349">
        <f>O236+O237</f>
        <v/>
      </c>
      <c r="P235" s="556" t="n"/>
      <c r="Q235" s="1349" t="n"/>
    </row>
    <row r="236" outlineLevel="1" ht="27.6" customHeight="1">
      <c r="A236" s="228">
        <f>'01_Preço'!$A$123</f>
        <v/>
      </c>
      <c r="B236" s="173">
        <f>'01_Preço'!$A$134</f>
        <v/>
      </c>
      <c r="C236" s="173">
        <f>'01_Preço'!$B$134</f>
        <v/>
      </c>
      <c r="D236" s="167" t="inlineStr">
        <is>
          <t>Equipamentos e materiais</t>
        </is>
      </c>
      <c r="E236" s="453" t="n">
        <v>28</v>
      </c>
      <c r="F236" s="1343">
        <f>VLOOKUP(E236,'Tabela de mês'!$A$1:$B$70,2,TRUE)</f>
        <v/>
      </c>
      <c r="G236" s="520" t="inlineStr">
        <is>
          <t>080-MAT</t>
        </is>
      </c>
      <c r="H236" s="161" t="inlineStr">
        <is>
          <t>ERZEG</t>
        </is>
      </c>
      <c r="I236" s="161" t="inlineStr">
        <is>
          <t>INSIGHT</t>
        </is>
      </c>
      <c r="J236" s="161" t="n"/>
      <c r="K236" s="161" t="n"/>
      <c r="L236" s="164" t="inlineStr">
        <is>
          <t>Entrega em campo dos equipamentos e componentes dos Serviços Auxiliares Elétricos CC da 1ª e 2ª UF</t>
        </is>
      </c>
      <c r="M236" s="416">
        <f>O236/$O$235</f>
        <v/>
      </c>
      <c r="N236" s="1364" t="n"/>
      <c r="O236" s="1342" t="n">
        <v>220000</v>
      </c>
      <c r="P236" s="561" t="n">
        <v>19</v>
      </c>
      <c r="Q236" s="1347" t="n">
        <v>210000</v>
      </c>
    </row>
    <row r="237" outlineLevel="1" ht="27.6" customHeight="1">
      <c r="A237" s="228">
        <f>'01_Preço'!$A$123</f>
        <v/>
      </c>
      <c r="B237" s="173">
        <f>'01_Preço'!$A$134</f>
        <v/>
      </c>
      <c r="C237" s="173">
        <f>'01_Preço'!$B$134</f>
        <v/>
      </c>
      <c r="D237" s="167" t="inlineStr">
        <is>
          <t>Equipamentos e materiais</t>
        </is>
      </c>
      <c r="E237" s="453" t="n">
        <v>52</v>
      </c>
      <c r="F237" s="1343">
        <f>VLOOKUP(E237,'Tabela de mês'!$A$1:$B$70,2,TRUE)</f>
        <v/>
      </c>
      <c r="G237" s="520" t="inlineStr">
        <is>
          <t>082-MAT</t>
        </is>
      </c>
      <c r="H237" s="161" t="inlineStr">
        <is>
          <t>ERZEG</t>
        </is>
      </c>
      <c r="I237" s="161" t="inlineStr">
        <is>
          <t>INSIGHT</t>
        </is>
      </c>
      <c r="J237" s="161" t="n"/>
      <c r="K237" s="161" t="n"/>
      <c r="L237" s="164" t="inlineStr">
        <is>
          <t>Entrega em campo dos equipamentos e componentes dos Serviços Auxiliares Elétricos CC da 3ª e 4ª UF</t>
        </is>
      </c>
      <c r="M237" s="416">
        <f>O237/$O$235</f>
        <v/>
      </c>
      <c r="N237" s="1364" t="n"/>
      <c r="O237" s="1342" t="n">
        <v>220000</v>
      </c>
      <c r="P237" s="561" t="n">
        <v>39</v>
      </c>
      <c r="Q237" s="1347" t="n">
        <v>210000</v>
      </c>
    </row>
    <row r="238" outlineLevel="1" ht="43.95" customFormat="1" customHeight="1" s="166">
      <c r="A238" s="461">
        <f>'01_Preço'!$A$123</f>
        <v/>
      </c>
      <c r="B238" s="469">
        <f>'01_Preço'!$A$136</f>
        <v/>
      </c>
      <c r="C238" s="467">
        <f>'01_Preço'!$B$136</f>
        <v/>
      </c>
      <c r="D238" s="437" t="inlineStr">
        <is>
          <t>Equipamentos e materiais</t>
        </is>
      </c>
      <c r="E238" s="449" t="n">
        <v>27</v>
      </c>
      <c r="F238" s="1348">
        <f>VLOOKUP(E238,'Tabela de mês'!$A$1:$B$54,2,TRUE)</f>
        <v/>
      </c>
      <c r="G238" s="510" t="inlineStr">
        <is>
          <t>081-MAT B</t>
        </is>
      </c>
      <c r="H238" s="441" t="inlineStr">
        <is>
          <t>ERZEG</t>
        </is>
      </c>
      <c r="I238" s="441" t="inlineStr">
        <is>
          <t>INSIGHT</t>
        </is>
      </c>
      <c r="J238" s="436" t="n"/>
      <c r="K238" s="436" t="n"/>
      <c r="L238" s="437" t="inlineStr">
        <is>
          <t>Entrega em campo do Centro de Distribuição de Cargas +5CU</t>
        </is>
      </c>
      <c r="M238" s="446">
        <f>O238/$N$212</f>
        <v/>
      </c>
      <c r="N238" s="1365" t="n"/>
      <c r="O238" s="1349" t="n">
        <v>182150.74</v>
      </c>
      <c r="P238" s="552" t="n">
        <v>19</v>
      </c>
      <c r="Q238" s="1349" t="n">
        <v>175000</v>
      </c>
    </row>
    <row r="239" outlineLevel="1" ht="43.95" customFormat="1" customHeight="1" s="166">
      <c r="A239" s="461">
        <f>'01_Preço'!$A$123</f>
        <v/>
      </c>
      <c r="B239" s="469">
        <f>CONCATENATE('01_Preço'!$A$138," e ",'01_Preço'!$A$140," e ",'01_Preço'!$A$142)</f>
        <v/>
      </c>
      <c r="C239" s="467">
        <f>'01_Preço'!$B$138</f>
        <v/>
      </c>
      <c r="D239" s="437" t="inlineStr">
        <is>
          <t>Equipamentos e materiais</t>
        </is>
      </c>
      <c r="E239" s="449" t="n">
        <v>27</v>
      </c>
      <c r="F239" s="1348">
        <f>VLOOKUP(E239,'Tabela de mês'!$A$1:$B$54,2,TRUE)</f>
        <v/>
      </c>
      <c r="G239" s="510" t="inlineStr">
        <is>
          <t>081-MAT C</t>
        </is>
      </c>
      <c r="H239" s="441" t="inlineStr">
        <is>
          <t>TEKSEA</t>
        </is>
      </c>
      <c r="I239" s="496" t="inlineStr">
        <is>
          <t>FAT. DIRETO</t>
        </is>
      </c>
      <c r="J239" s="436" t="n"/>
      <c r="K239" s="436" t="n"/>
      <c r="L239" s="437" t="inlineStr">
        <is>
          <t>Entrega em campo do Banco de Baterias 125 Vcc, Conversor CA/CC E Inversor de Tensão CA-CC/CA 380 Vca-125 Vcc/ 220 Vca</t>
        </is>
      </c>
      <c r="M239" s="446">
        <f>O239/$N$212</f>
        <v/>
      </c>
      <c r="N239" s="1365" t="n"/>
      <c r="O239" s="1349" t="n">
        <v>645609.96</v>
      </c>
      <c r="P239" s="552" t="n"/>
      <c r="Q239" s="1349" t="n"/>
    </row>
    <row r="240" outlineLevel="1" ht="43.95" customFormat="1" customHeight="1" s="166" thickBot="1">
      <c r="A240" s="461">
        <f>'01_Preço'!$A$123</f>
        <v/>
      </c>
      <c r="B240" s="469">
        <f>'01_Preço'!$A$144</f>
        <v/>
      </c>
      <c r="C240" s="467">
        <f>'01_Preço'!$B$144</f>
        <v/>
      </c>
      <c r="D240" s="437" t="inlineStr">
        <is>
          <t>Equipamentos e materiais</t>
        </is>
      </c>
      <c r="E240" s="449" t="n">
        <v>27</v>
      </c>
      <c r="F240" s="1348">
        <f>VLOOKUP(E240,'Tabela de mês'!$A$1:$B$54,2,TRUE)</f>
        <v/>
      </c>
      <c r="G240" s="510" t="inlineStr">
        <is>
          <t>081-MAT D</t>
        </is>
      </c>
      <c r="H240" s="436" t="inlineStr">
        <is>
          <t>INSIGHT</t>
        </is>
      </c>
      <c r="I240" s="436" t="inlineStr">
        <is>
          <t>INSIGHT</t>
        </is>
      </c>
      <c r="J240" s="436" t="n"/>
      <c r="K240" s="436" t="n"/>
      <c r="L240" s="437" t="inlineStr">
        <is>
          <t>Entrega em campo do Condicionadores de Ar tipo “split system”</t>
        </is>
      </c>
      <c r="M240" s="446">
        <f>O240/$N$212</f>
        <v/>
      </c>
      <c r="N240" s="1365" t="n"/>
      <c r="O240" s="1349" t="n">
        <v>28762.54</v>
      </c>
      <c r="P240" s="552" t="n">
        <v>19</v>
      </c>
      <c r="Q240" s="1349" t="n">
        <v>50000</v>
      </c>
    </row>
    <row r="241" ht="16.2" customHeight="1" thickBot="1">
      <c r="A241" s="1332" t="inlineStr">
        <is>
          <t>2.07 - Instrumentação</t>
        </is>
      </c>
      <c r="B241" s="1139" t="n"/>
      <c r="C241" s="1139" t="n"/>
      <c r="D241" s="1139" t="n"/>
      <c r="E241" s="1139" t="n"/>
      <c r="F241" s="1139" t="n"/>
      <c r="G241" s="1139" t="n"/>
      <c r="H241" s="1139" t="n"/>
      <c r="I241" s="1139" t="n"/>
      <c r="J241" s="1139" t="n"/>
      <c r="K241" s="1139" t="n"/>
      <c r="L241" s="1139" t="n"/>
      <c r="M241" s="1140" t="n"/>
      <c r="N241" s="1360">
        <f>SUM(O242,O250,O256,O262,O268)</f>
        <v/>
      </c>
      <c r="O241" s="503" t="n"/>
      <c r="P241" s="503" t="n"/>
      <c r="Q241" s="503" t="n"/>
    </row>
    <row r="242" outlineLevel="1" ht="14.4" customFormat="1" customHeight="1" s="166">
      <c r="A242" s="464">
        <f>'01_Preço'!$A$146</f>
        <v/>
      </c>
      <c r="B242" s="486">
        <f>'01_Preço'!$A$147</f>
        <v/>
      </c>
      <c r="C242" s="486">
        <f>'01_Preço'!B147</f>
        <v/>
      </c>
      <c r="D242" s="678">
        <f>'01_Preço'!E147</f>
        <v/>
      </c>
      <c r="E242" s="479" t="n"/>
      <c r="F242" s="479" t="n"/>
      <c r="G242" s="487" t="n"/>
      <c r="H242" s="487" t="n"/>
      <c r="I242" s="487" t="n"/>
      <c r="J242" s="487" t="n"/>
      <c r="K242" s="487" t="n"/>
      <c r="L242" s="475">
        <f>'01_Preço'!E147</f>
        <v/>
      </c>
      <c r="M242" s="711">
        <f>O242/$N$241</f>
        <v/>
      </c>
      <c r="N242" s="1369" t="n"/>
      <c r="O242" s="1354">
        <f>SUM(O243:O249)</f>
        <v/>
      </c>
      <c r="P242" s="552" t="n"/>
      <c r="Q242" s="1349" t="n"/>
    </row>
    <row r="243" outlineLevel="1" ht="24.75" customHeight="1">
      <c r="A243" s="414">
        <f>'01_Preço'!$A$146</f>
        <v/>
      </c>
      <c r="B243" s="413">
        <f>'01_Preço'!A147</f>
        <v/>
      </c>
      <c r="C243" s="413">
        <f>'01_Preço'!B147</f>
        <v/>
      </c>
      <c r="D243" s="414">
        <f>'01_Preço'!E147</f>
        <v/>
      </c>
      <c r="E243" s="730" t="n">
        <v>16</v>
      </c>
      <c r="F243" s="1339">
        <f>VLOOKUP(E243,'Tabela de mês'!$A$1:$B$70,2,TRUE)</f>
        <v/>
      </c>
      <c r="G243" s="511" t="inlineStr">
        <is>
          <t>108-SER</t>
        </is>
      </c>
      <c r="H243" s="163" t="inlineStr">
        <is>
          <t>INSIGHT</t>
        </is>
      </c>
      <c r="I243" s="163" t="inlineStr">
        <is>
          <t>INSIGHT</t>
        </is>
      </c>
      <c r="J243" s="163" t="n"/>
      <c r="K243" s="163" t="n"/>
      <c r="L243" s="423" t="inlineStr">
        <is>
          <t>Aprovação do Plano de Emissão de Documentos da Instrumentação</t>
        </is>
      </c>
      <c r="M243" s="391">
        <f>O243/$O$242</f>
        <v/>
      </c>
      <c r="N243" s="1340" t="n"/>
      <c r="O243" s="1340" t="n">
        <v>6335.54</v>
      </c>
      <c r="P243" s="553" t="n"/>
      <c r="Q243" s="1338" t="n"/>
      <c r="S243" s="662" t="inlineStr">
        <is>
          <t>SIM</t>
        </is>
      </c>
    </row>
    <row r="244" outlineLevel="1" ht="27.6" customHeight="1">
      <c r="A244" s="414">
        <f>'01_Preço'!$A$146</f>
        <v/>
      </c>
      <c r="B244" s="413">
        <f>'01_Preço'!A147</f>
        <v/>
      </c>
      <c r="C244" s="413">
        <f>'01_Preço'!B147</f>
        <v/>
      </c>
      <c r="D244" s="423">
        <f>'01_Preço'!E147</f>
        <v/>
      </c>
      <c r="E244" s="730" t="n">
        <v>25</v>
      </c>
      <c r="F244" s="1339">
        <f>VLOOKUP(E244,'Tabela de mês'!$A$1:$B$70,2,TRUE)</f>
        <v/>
      </c>
      <c r="G244" s="510" t="inlineStr">
        <is>
          <t>109-SER A</t>
        </is>
      </c>
      <c r="H244" s="163" t="inlineStr">
        <is>
          <t>INSIGHT</t>
        </is>
      </c>
      <c r="I244" s="163" t="inlineStr">
        <is>
          <t>INSIGHT</t>
        </is>
      </c>
      <c r="J244" s="163" t="n"/>
      <c r="K244" s="163" t="n"/>
      <c r="L244" s="423" t="inlineStr">
        <is>
          <t>Aprovação completa dos Documentos do Projeto Executivo e de Fabricação da Instrumentação das 1ª UF</t>
        </is>
      </c>
      <c r="M244" s="391">
        <f>O244/$O$242</f>
        <v/>
      </c>
      <c r="N244" s="1340" t="n"/>
      <c r="O244" s="1340" t="n">
        <v>94952.55</v>
      </c>
      <c r="P244" s="553" t="n"/>
      <c r="Q244" s="1347" t="n"/>
    </row>
    <row r="245" outlineLevel="1" ht="27.6" customHeight="1">
      <c r="A245" s="414">
        <f>'01_Preço'!$A$146</f>
        <v/>
      </c>
      <c r="B245" s="168">
        <f>'01_Preço'!A147</f>
        <v/>
      </c>
      <c r="C245" s="168">
        <f>'01_Preço'!B147</f>
        <v/>
      </c>
      <c r="D245" s="167">
        <f>'01_Preço'!E147</f>
        <v/>
      </c>
      <c r="E245" s="730" t="n">
        <v>36</v>
      </c>
      <c r="F245" s="1339">
        <f>VLOOKUP(E245,'Tabela de mês'!$A$1:$B$70,2,TRUE)</f>
        <v/>
      </c>
      <c r="G245" s="510" t="inlineStr">
        <is>
          <t>109-SER B</t>
        </is>
      </c>
      <c r="H245" s="163" t="inlineStr">
        <is>
          <t>INSIGHT</t>
        </is>
      </c>
      <c r="I245" s="163" t="inlineStr">
        <is>
          <t>INSIGHT</t>
        </is>
      </c>
      <c r="J245" s="163" t="n"/>
      <c r="K245" s="163" t="n"/>
      <c r="L245" s="167" t="inlineStr">
        <is>
          <t>Aprovação completa dos Documentos do Projeto Executivo e de Fabricação da Instrumentação das 2ª UF</t>
        </is>
      </c>
      <c r="M245" s="391">
        <f>O245/$O$242</f>
        <v/>
      </c>
      <c r="N245" s="1342" t="n"/>
      <c r="O245" s="1342" t="n">
        <v>94952.55</v>
      </c>
      <c r="P245" s="553" t="n"/>
      <c r="Q245" s="1347" t="n"/>
    </row>
    <row r="246" outlineLevel="1" ht="27.6" customHeight="1">
      <c r="A246" s="414" t="inlineStr">
        <is>
          <t>2.07 - Instrumentação</t>
        </is>
      </c>
      <c r="B246" s="168" t="inlineStr">
        <is>
          <t>2.07.01</t>
        </is>
      </c>
      <c r="C246" s="168">
        <f>'01_Preço'!B147</f>
        <v/>
      </c>
      <c r="D246" s="167" t="inlineStr">
        <is>
          <t>Engenharia e projeto executivo</t>
        </is>
      </c>
      <c r="E246" s="730" t="n">
        <v>48</v>
      </c>
      <c r="F246" s="1339">
        <f>VLOOKUP(E246,'Tabela de mês'!$A$1:$B$70,2,TRUE)</f>
        <v/>
      </c>
      <c r="G246" s="510" t="inlineStr">
        <is>
          <t>109-SER C</t>
        </is>
      </c>
      <c r="H246" s="163" t="inlineStr">
        <is>
          <t>INSIGHT</t>
        </is>
      </c>
      <c r="I246" s="163" t="inlineStr">
        <is>
          <t>INSIGHT</t>
        </is>
      </c>
      <c r="J246" s="163" t="n"/>
      <c r="K246" s="163" t="n"/>
      <c r="L246" s="167" t="inlineStr">
        <is>
          <t>Aprovação completa dos Documentos do Projeto Executivo e de Fabricação da Instrumentação das 3ª UF</t>
        </is>
      </c>
      <c r="M246" s="391">
        <f>O246/$O$242</f>
        <v/>
      </c>
      <c r="N246" s="1342" t="n"/>
      <c r="O246" s="1342" t="n">
        <v>94952.55</v>
      </c>
      <c r="P246" s="553" t="n"/>
      <c r="Q246" s="1347" t="n"/>
    </row>
    <row r="247" outlineLevel="1" ht="27.6" customHeight="1">
      <c r="A247" s="414" t="inlineStr">
        <is>
          <t>2.07 - Instrumentação</t>
        </is>
      </c>
      <c r="B247" s="168" t="inlineStr">
        <is>
          <t>2.07.01</t>
        </is>
      </c>
      <c r="C247" s="168">
        <f>'01_Preço'!B147</f>
        <v/>
      </c>
      <c r="D247" s="167" t="inlineStr">
        <is>
          <t>Engenharia e projeto executivo</t>
        </is>
      </c>
      <c r="E247" s="730" t="n">
        <v>58</v>
      </c>
      <c r="F247" s="1339">
        <f>VLOOKUP(E247,'Tabela de mês'!$A$1:$B$70,2,TRUE)</f>
        <v/>
      </c>
      <c r="G247" s="510" t="inlineStr">
        <is>
          <t>109-SER D</t>
        </is>
      </c>
      <c r="H247" s="163" t="inlineStr">
        <is>
          <t>INSIGHT</t>
        </is>
      </c>
      <c r="I247" s="163" t="inlineStr">
        <is>
          <t>INSIGHT</t>
        </is>
      </c>
      <c r="J247" s="163" t="n"/>
      <c r="K247" s="163" t="n"/>
      <c r="L247" s="165" t="inlineStr">
        <is>
          <t>Aprovação completa dos Documentos do Projeto Executivo e de Fabricação da Instrumentação das 4ª UF</t>
        </is>
      </c>
      <c r="M247" s="391">
        <f>O247/$O$242</f>
        <v/>
      </c>
      <c r="N247" s="1342" t="n"/>
      <c r="O247" s="1342" t="n">
        <v>94952.55</v>
      </c>
      <c r="P247" s="553" t="n"/>
      <c r="Q247" s="1347" t="n"/>
    </row>
    <row r="248" outlineLevel="1" ht="27.6" customHeight="1">
      <c r="A248" s="414" t="inlineStr">
        <is>
          <t>2.07 - Instrumentação</t>
        </is>
      </c>
      <c r="B248" s="413" t="inlineStr">
        <is>
          <t>2.07.01</t>
        </is>
      </c>
      <c r="C248" s="413">
        <f>'01_Preço'!B149</f>
        <v/>
      </c>
      <c r="D248" s="423" t="inlineStr">
        <is>
          <t>Engenharia e projeto executivo</t>
        </is>
      </c>
      <c r="E248" s="730" t="n">
        <v>26</v>
      </c>
      <c r="F248" s="1339">
        <f>VLOOKUP(E248,'Tabela de mês'!$A$1:$B$70,2,TRUE)</f>
        <v/>
      </c>
      <c r="G248" s="510" t="inlineStr">
        <is>
          <t>110-SER</t>
        </is>
      </c>
      <c r="H248" s="163" t="inlineStr">
        <is>
          <t>INSIGHT</t>
        </is>
      </c>
      <c r="I248" s="163" t="inlineStr">
        <is>
          <t>INSIGHT</t>
        </is>
      </c>
      <c r="J248" s="163" t="n"/>
      <c r="K248" s="163" t="n"/>
      <c r="L248" s="423" t="inlineStr">
        <is>
          <t>Aprovação completa dos documentos do projeto executivo e de fabricação da instrumentação dos sistemas gerais da casa de força</t>
        </is>
      </c>
      <c r="M248" s="391">
        <f>O248/$O$242</f>
        <v/>
      </c>
      <c r="N248" s="1340" t="n"/>
      <c r="O248" s="1340" t="n">
        <v>25342.16</v>
      </c>
      <c r="P248" s="553" t="n"/>
      <c r="Q248" s="1347" t="n"/>
    </row>
    <row r="249" outlineLevel="1" ht="14.4" customHeight="1">
      <c r="A249" s="414" t="inlineStr">
        <is>
          <t>2.07 - Instrumentação</t>
        </is>
      </c>
      <c r="B249" s="168" t="inlineStr">
        <is>
          <t>2.07.01</t>
        </is>
      </c>
      <c r="C249" s="168">
        <f>'01_Preço'!B149</f>
        <v/>
      </c>
      <c r="D249" s="167" t="inlineStr">
        <is>
          <t>Engenharia e projeto executivo</t>
        </is>
      </c>
      <c r="E249" s="730" t="n">
        <v>65</v>
      </c>
      <c r="F249" s="1339">
        <f>VLOOKUP(E249,'Tabela de mês'!$A$1:$B$70,2,TRUE)</f>
        <v/>
      </c>
      <c r="G249" s="510" t="inlineStr">
        <is>
          <t>111-SER</t>
        </is>
      </c>
      <c r="H249" s="163" t="inlineStr">
        <is>
          <t>INSIGHT</t>
        </is>
      </c>
      <c r="I249" s="163" t="inlineStr">
        <is>
          <t>INSIGHT</t>
        </is>
      </c>
      <c r="J249" s="163" t="n"/>
      <c r="K249" s="163" t="n"/>
      <c r="L249" s="165" t="inlineStr">
        <is>
          <t>Aprovação da versão conforme construído do projeto de instrumentação</t>
        </is>
      </c>
      <c r="M249" s="391">
        <f>O249/$O$242</f>
        <v/>
      </c>
      <c r="N249" s="1342" t="n"/>
      <c r="O249" s="1342" t="n">
        <v>44671.08</v>
      </c>
      <c r="P249" s="553" t="n"/>
      <c r="Q249" s="1347" t="n"/>
    </row>
    <row r="250" outlineLevel="1" ht="55.2" customFormat="1" customHeight="1" s="166">
      <c r="A250" s="463">
        <f>'01_Preço'!$A$146</f>
        <v/>
      </c>
      <c r="B250" s="467">
        <f>'01_Preço'!$A$149</f>
        <v/>
      </c>
      <c r="C250" s="467">
        <f>'01_Preço'!B149</f>
        <v/>
      </c>
      <c r="D250" s="470">
        <f>'01_Preço'!E149</f>
        <v/>
      </c>
      <c r="E250" s="449" t="n"/>
      <c r="F250" s="449" t="n"/>
      <c r="G250" s="441" t="n"/>
      <c r="H250" s="436" t="n"/>
      <c r="I250" s="436" t="n"/>
      <c r="J250" s="436" t="n"/>
      <c r="K250" s="436" t="n"/>
      <c r="L250" s="437">
        <f>'01_Preço'!E149</f>
        <v/>
      </c>
      <c r="M250" s="439">
        <f>O250/$N$241</f>
        <v/>
      </c>
      <c r="N250" s="1333" t="n"/>
      <c r="O250" s="1349">
        <f>SUM(O251:O255)</f>
        <v/>
      </c>
      <c r="P250" s="552" t="n"/>
      <c r="Q250" s="1349" t="n"/>
    </row>
    <row r="251" outlineLevel="1" ht="14.4" customHeight="1">
      <c r="A251" s="228">
        <f>'01_Preço'!$A$146</f>
        <v/>
      </c>
      <c r="B251" s="173">
        <f>CONCATENATE('01_Preço'!$A$149,"")</f>
        <v/>
      </c>
      <c r="C251" s="168">
        <f>'01_Preço'!$B$149</f>
        <v/>
      </c>
      <c r="D251" s="169" t="inlineStr">
        <is>
          <t>Desmontagem eletromecânica</t>
        </is>
      </c>
      <c r="E251" s="453" t="n">
        <v>28</v>
      </c>
      <c r="F251" s="1343">
        <f>VLOOKUP(E251,'Tabela de mês'!$A$1:$B$70,2,TRUE)</f>
        <v/>
      </c>
      <c r="G251" s="510" t="inlineStr">
        <is>
          <t>117-SER A</t>
        </is>
      </c>
      <c r="H251" s="161" t="inlineStr">
        <is>
          <t>INSIGHT</t>
        </is>
      </c>
      <c r="I251" s="161" t="inlineStr">
        <is>
          <t>INSIGHT</t>
        </is>
      </c>
      <c r="J251" s="161" t="n"/>
      <c r="K251" s="161" t="n"/>
      <c r="L251" s="164" t="inlineStr">
        <is>
          <t>Conclusão da Desmontagem de toda a instrumentação e componentes da 1ª UF</t>
        </is>
      </c>
      <c r="M251" s="416">
        <f>O251/$O$250</f>
        <v/>
      </c>
      <c r="N251" s="1364" t="n"/>
      <c r="O251" s="1342" t="n">
        <v>114744.36</v>
      </c>
      <c r="P251" s="561" t="n"/>
      <c r="Q251" s="1347" t="n"/>
    </row>
    <row r="252" outlineLevel="1" ht="27.6" customHeight="1">
      <c r="A252" s="228">
        <f>'01_Preço'!$A$146</f>
        <v/>
      </c>
      <c r="B252" s="173">
        <f>CONCATENATE('01_Preço'!$A$149,"")</f>
        <v/>
      </c>
      <c r="C252" s="168">
        <f>'01_Preço'!$B$149</f>
        <v/>
      </c>
      <c r="D252" s="169" t="inlineStr">
        <is>
          <t>Desmontagem eletromecânica</t>
        </is>
      </c>
      <c r="E252" s="453" t="n">
        <v>28</v>
      </c>
      <c r="F252" s="1343">
        <f>VLOOKUP(E252,'Tabela de mês'!$A$1:$B$70,2,TRUE)</f>
        <v/>
      </c>
      <c r="G252" s="510" t="inlineStr">
        <is>
          <t>118-SER A</t>
        </is>
      </c>
      <c r="H252" s="161" t="inlineStr">
        <is>
          <t>INSIGHT</t>
        </is>
      </c>
      <c r="I252" s="161" t="inlineStr">
        <is>
          <t>INSIGHT</t>
        </is>
      </c>
      <c r="J252" s="161" t="n"/>
      <c r="K252" s="161" t="n"/>
      <c r="L252" s="164" t="inlineStr">
        <is>
          <t>Conclusão da Desmontagem de toda a instrumentação e componentes dos Sistemas Gerais da Casa de Força</t>
        </is>
      </c>
      <c r="M252" s="416">
        <f>O252/$O$250</f>
        <v/>
      </c>
      <c r="N252" s="1364" t="n"/>
      <c r="O252" s="1342" t="n">
        <v>62587.86</v>
      </c>
      <c r="P252" s="553" t="n"/>
      <c r="Q252" s="1347" t="n"/>
    </row>
    <row r="253" outlineLevel="1" ht="14.4" customHeight="1">
      <c r="A253" s="228">
        <f>'01_Preço'!$A$146</f>
        <v/>
      </c>
      <c r="B253" s="173">
        <f>CONCATENATE('01_Preço'!$A$149,"")</f>
        <v/>
      </c>
      <c r="C253" s="168">
        <f>'01_Preço'!$B$149</f>
        <v/>
      </c>
      <c r="D253" s="169" t="inlineStr">
        <is>
          <t>Desmontagem eletromecânica</t>
        </is>
      </c>
      <c r="E253" s="453" t="n">
        <v>38</v>
      </c>
      <c r="F253" s="1343">
        <f>VLOOKUP(E253,'Tabela de mês'!$A$1:$B$70,2,TRUE)</f>
        <v/>
      </c>
      <c r="G253" s="510" t="inlineStr">
        <is>
          <t>119-SER A</t>
        </is>
      </c>
      <c r="H253" s="161" t="inlineStr">
        <is>
          <t>INSIGHT</t>
        </is>
      </c>
      <c r="I253" s="161" t="inlineStr">
        <is>
          <t>INSIGHT</t>
        </is>
      </c>
      <c r="J253" s="161" t="n"/>
      <c r="K253" s="161" t="n"/>
      <c r="L253" s="164" t="inlineStr">
        <is>
          <t>Conclusão da Desmontagem de toda a instrumentação e componentes da 2ª UF</t>
        </is>
      </c>
      <c r="M253" s="416">
        <f>O253/$O$250</f>
        <v/>
      </c>
      <c r="N253" s="1364" t="n"/>
      <c r="O253" s="1342" t="n">
        <v>114744.36</v>
      </c>
      <c r="P253" s="553" t="n"/>
      <c r="Q253" s="1347" t="n"/>
    </row>
    <row r="254" outlineLevel="1" ht="14.4" customHeight="1">
      <c r="A254" s="228">
        <f>'01_Preço'!$A$146</f>
        <v/>
      </c>
      <c r="B254" s="173">
        <f>CONCATENATE('01_Preço'!$A$149,"")</f>
        <v/>
      </c>
      <c r="C254" s="168">
        <f>'01_Preço'!$B$149</f>
        <v/>
      </c>
      <c r="D254" s="169" t="inlineStr">
        <is>
          <t>Desmontagem eletromecânica</t>
        </is>
      </c>
      <c r="E254" s="453" t="n">
        <v>50</v>
      </c>
      <c r="F254" s="1343">
        <f>VLOOKUP(E254,'Tabela de mês'!$A$1:$B$70,2,TRUE)</f>
        <v/>
      </c>
      <c r="G254" s="510" t="inlineStr">
        <is>
          <t>120-SER A</t>
        </is>
      </c>
      <c r="H254" s="161" t="inlineStr">
        <is>
          <t>INSIGHT</t>
        </is>
      </c>
      <c r="I254" s="161" t="inlineStr">
        <is>
          <t>INSIGHT</t>
        </is>
      </c>
      <c r="J254" s="161" t="n"/>
      <c r="K254" s="161" t="n"/>
      <c r="L254" s="164" t="inlineStr">
        <is>
          <t>Conclusão da Desmontagem de toda a instrumentação e componentes da 3ª UF</t>
        </is>
      </c>
      <c r="M254" s="416">
        <f>O254/$O$250</f>
        <v/>
      </c>
      <c r="N254" s="1364" t="n"/>
      <c r="O254" s="1342" t="n">
        <v>114744.36</v>
      </c>
      <c r="P254" s="553" t="n"/>
      <c r="Q254" s="1347" t="n"/>
    </row>
    <row r="255" outlineLevel="1" ht="14.4" customHeight="1">
      <c r="A255" s="228">
        <f>'01_Preço'!$A$146</f>
        <v/>
      </c>
      <c r="B255" s="173">
        <f>CONCATENATE('01_Preço'!$A$149,"")</f>
        <v/>
      </c>
      <c r="C255" s="168">
        <f>'01_Preço'!$B$149</f>
        <v/>
      </c>
      <c r="D255" s="169" t="inlineStr">
        <is>
          <t>Desmontagem eletromecânica</t>
        </is>
      </c>
      <c r="E255" s="453" t="n">
        <v>60</v>
      </c>
      <c r="F255" s="1343">
        <f>VLOOKUP(E255,'Tabela de mês'!$A$1:$B$70,2,TRUE)</f>
        <v/>
      </c>
      <c r="G255" s="510" t="inlineStr">
        <is>
          <t>121-SER A</t>
        </is>
      </c>
      <c r="H255" s="161" t="inlineStr">
        <is>
          <t>INSIGHT</t>
        </is>
      </c>
      <c r="I255" s="161" t="inlineStr">
        <is>
          <t>INSIGHT</t>
        </is>
      </c>
      <c r="J255" s="161" t="n"/>
      <c r="K255" s="161" t="n"/>
      <c r="L255" s="164" t="inlineStr">
        <is>
          <t>Conclusão da Desmontagem de toda a instrumentação e componentes da 4ª UF</t>
        </is>
      </c>
      <c r="M255" s="416">
        <f>O255/$O$250</f>
        <v/>
      </c>
      <c r="N255" s="1364" t="n"/>
      <c r="O255" s="1342" t="n">
        <v>114744.36</v>
      </c>
      <c r="P255" s="553" t="n"/>
      <c r="Q255" s="1347" t="n"/>
    </row>
    <row r="256" outlineLevel="1" ht="27.6" customFormat="1" customHeight="1" s="166">
      <c r="A256" s="463">
        <f>'01_Preço'!$A$146</f>
        <v/>
      </c>
      <c r="B256" s="467">
        <f>'01_Preço'!$A$151</f>
        <v/>
      </c>
      <c r="C256" s="467">
        <f>'01_Preço'!B151</f>
        <v/>
      </c>
      <c r="D256" s="470">
        <f>'01_Preço'!E151</f>
        <v/>
      </c>
      <c r="E256" s="449" t="n"/>
      <c r="F256" s="462" t="n"/>
      <c r="G256" s="441" t="n"/>
      <c r="H256" s="436" t="n"/>
      <c r="I256" s="436" t="n"/>
      <c r="J256" s="436" t="n"/>
      <c r="K256" s="436" t="n"/>
      <c r="L256" s="437">
        <f>'01_Preço'!E151</f>
        <v/>
      </c>
      <c r="M256" s="439">
        <f>O256/$N$241</f>
        <v/>
      </c>
      <c r="N256" s="1333" t="n"/>
      <c r="O256" s="1349">
        <f>SUM(O257:O261)</f>
        <v/>
      </c>
      <c r="P256" s="556" t="n"/>
      <c r="Q256" s="1349" t="n"/>
    </row>
    <row r="257" outlineLevel="1" ht="27.6" customHeight="1">
      <c r="A257" s="393">
        <f>'01_Preço'!$A$146</f>
        <v/>
      </c>
      <c r="B257" s="173">
        <f>CONCATENATE("",'01_Preço'!$A$151)</f>
        <v/>
      </c>
      <c r="C257" s="168">
        <f>'01_Preço'!$B$151</f>
        <v/>
      </c>
      <c r="D257" s="169" t="inlineStr">
        <is>
          <t>Montagem eletromecânica completa</t>
        </is>
      </c>
      <c r="E257" s="453" t="n">
        <v>33</v>
      </c>
      <c r="F257" s="1343">
        <f>VLOOKUP(E257,'Tabela de mês'!$A$1:$B$70,2,TRUE)</f>
        <v/>
      </c>
      <c r="G257" s="510" t="inlineStr">
        <is>
          <t>117-SER B</t>
        </is>
      </c>
      <c r="H257" s="161" t="inlineStr">
        <is>
          <t>INSIGHT</t>
        </is>
      </c>
      <c r="I257" s="161" t="inlineStr">
        <is>
          <t>INSIGHT</t>
        </is>
      </c>
      <c r="J257" s="161" t="n"/>
      <c r="K257" s="161" t="n"/>
      <c r="L257" s="164" t="inlineStr">
        <is>
          <t>Conclusão da Montagem de toda a instrumentação e componentes da 1ª UF</t>
        </is>
      </c>
      <c r="M257" s="416">
        <f>O257/$O$256</f>
        <v/>
      </c>
      <c r="N257" s="1364" t="n"/>
      <c r="O257" s="1342" t="n">
        <v>159046.73</v>
      </c>
      <c r="P257" s="553" t="n"/>
      <c r="Q257" s="1347" t="n"/>
    </row>
    <row r="258" outlineLevel="1" ht="27.6" customHeight="1">
      <c r="A258" s="393">
        <f>'01_Preço'!$A$146</f>
        <v/>
      </c>
      <c r="B258" s="173">
        <f>CONCATENATE("",'01_Preço'!$A$151)</f>
        <v/>
      </c>
      <c r="C258" s="168">
        <f>'01_Preço'!$B$151</f>
        <v/>
      </c>
      <c r="D258" s="169" t="inlineStr">
        <is>
          <t>Montagem eletromecânica completa</t>
        </is>
      </c>
      <c r="E258" s="453" t="n">
        <v>38</v>
      </c>
      <c r="F258" s="1343">
        <f>VLOOKUP(E258,'Tabela de mês'!$A$1:$B$70,2,TRUE)</f>
        <v/>
      </c>
      <c r="G258" s="510" t="inlineStr">
        <is>
          <t>118-SER B</t>
        </is>
      </c>
      <c r="H258" s="161" t="inlineStr">
        <is>
          <t>INSIGHT</t>
        </is>
      </c>
      <c r="I258" s="161" t="inlineStr">
        <is>
          <t>INSIGHT</t>
        </is>
      </c>
      <c r="J258" s="161" t="n"/>
      <c r="K258" s="161" t="n"/>
      <c r="L258" s="164" t="inlineStr">
        <is>
          <t>Conclusão da Montagem de toda a instrumentação e componentes dos Sistemas Gerais da Casa de Força</t>
        </is>
      </c>
      <c r="M258" s="416">
        <f>O258/$O$256</f>
        <v/>
      </c>
      <c r="N258" s="1364" t="n"/>
      <c r="O258" s="1342" t="n">
        <v>84025.49000000001</v>
      </c>
      <c r="P258" s="553" t="n"/>
      <c r="Q258" s="1347" t="n"/>
    </row>
    <row r="259" outlineLevel="1" ht="27.6" customHeight="1">
      <c r="A259" s="393">
        <f>'01_Preço'!$A$146</f>
        <v/>
      </c>
      <c r="B259" s="173">
        <f>CONCATENATE("",'01_Preço'!$A$151)</f>
        <v/>
      </c>
      <c r="C259" s="168">
        <f>'01_Preço'!$B$151</f>
        <v/>
      </c>
      <c r="D259" s="169" t="inlineStr">
        <is>
          <t>Montagem eletromecânica completa</t>
        </is>
      </c>
      <c r="E259" s="453" t="n">
        <v>45</v>
      </c>
      <c r="F259" s="1343">
        <f>VLOOKUP(E259,'Tabela de mês'!$A$1:$B$70,2,TRUE)</f>
        <v/>
      </c>
      <c r="G259" s="510" t="inlineStr">
        <is>
          <t>119-SER B</t>
        </is>
      </c>
      <c r="H259" s="161" t="inlineStr">
        <is>
          <t>INSIGHT</t>
        </is>
      </c>
      <c r="I259" s="161" t="inlineStr">
        <is>
          <t>INSIGHT</t>
        </is>
      </c>
      <c r="J259" s="161" t="n"/>
      <c r="K259" s="161" t="n"/>
      <c r="L259" s="164" t="inlineStr">
        <is>
          <t>Conclusão da Montagem de toda a instrumentação e componentes da 2ª UF</t>
        </is>
      </c>
      <c r="M259" s="416">
        <f>O259/$O$256</f>
        <v/>
      </c>
      <c r="N259" s="1364" t="n"/>
      <c r="O259" s="1342" t="n">
        <v>159046.73</v>
      </c>
      <c r="P259" s="553" t="n"/>
      <c r="Q259" s="1347" t="n"/>
    </row>
    <row r="260" outlineLevel="1" ht="27.6" customHeight="1">
      <c r="A260" s="393">
        <f>'01_Preço'!$A$146</f>
        <v/>
      </c>
      <c r="B260" s="173">
        <f>CONCATENATE("",'01_Preço'!$A$151)</f>
        <v/>
      </c>
      <c r="C260" s="168">
        <f>'01_Preço'!$B$151</f>
        <v/>
      </c>
      <c r="D260" s="169" t="inlineStr">
        <is>
          <t>Montagem eletromecânica completa</t>
        </is>
      </c>
      <c r="E260" s="453" t="n">
        <v>55</v>
      </c>
      <c r="F260" s="1343">
        <f>VLOOKUP(E260,'Tabela de mês'!$A$1:$B$70,2,TRUE)</f>
        <v/>
      </c>
      <c r="G260" s="510" t="inlineStr">
        <is>
          <t>120-SER B</t>
        </is>
      </c>
      <c r="H260" s="161" t="inlineStr">
        <is>
          <t>INSIGHT</t>
        </is>
      </c>
      <c r="I260" s="161" t="inlineStr">
        <is>
          <t>INSIGHT</t>
        </is>
      </c>
      <c r="J260" s="161" t="n"/>
      <c r="K260" s="161" t="n"/>
      <c r="L260" s="164" t="inlineStr">
        <is>
          <t>Conclusão da Montagem de toda a instrumentação e componentes da  3ª UF</t>
        </is>
      </c>
      <c r="M260" s="416">
        <f>O260/$O$256</f>
        <v/>
      </c>
      <c r="N260" s="1364" t="n"/>
      <c r="O260" s="1342" t="n">
        <v>159046.73</v>
      </c>
      <c r="P260" s="553" t="n"/>
      <c r="Q260" s="1347" t="n"/>
    </row>
    <row r="261" outlineLevel="1" ht="27.6" customHeight="1">
      <c r="A261" s="393">
        <f>'01_Preço'!$A$146</f>
        <v/>
      </c>
      <c r="B261" s="173">
        <f>CONCATENATE("",'01_Preço'!$A$151)</f>
        <v/>
      </c>
      <c r="C261" s="168">
        <f>'01_Preço'!$B$151</f>
        <v/>
      </c>
      <c r="D261" s="169" t="inlineStr">
        <is>
          <t>Montagem eletromecânica completa</t>
        </is>
      </c>
      <c r="E261" s="453" t="n">
        <v>65</v>
      </c>
      <c r="F261" s="1343">
        <f>VLOOKUP(E261,'Tabela de mês'!$A$1:$B$70,2,TRUE)</f>
        <v/>
      </c>
      <c r="G261" s="510" t="inlineStr">
        <is>
          <t>121-SER B</t>
        </is>
      </c>
      <c r="H261" s="161" t="inlineStr">
        <is>
          <t>INSIGHT</t>
        </is>
      </c>
      <c r="I261" s="161" t="inlineStr">
        <is>
          <t>INSIGHT</t>
        </is>
      </c>
      <c r="J261" s="161" t="n"/>
      <c r="K261" s="161" t="n"/>
      <c r="L261" s="164" t="inlineStr">
        <is>
          <t>Conclusão da Montagem de toda a instrumentação e componentes da 4ª UF</t>
        </is>
      </c>
      <c r="M261" s="416">
        <f>O261/$O$256</f>
        <v/>
      </c>
      <c r="N261" s="1364" t="n"/>
      <c r="O261" s="1342" t="n">
        <v>159046.73</v>
      </c>
      <c r="P261" s="553" t="n"/>
      <c r="Q261" s="1347" t="n"/>
    </row>
    <row r="262" outlineLevel="1" ht="27.6" customFormat="1" customHeight="1" s="166">
      <c r="A262" s="463">
        <f>'01_Preço'!$A$146</f>
        <v/>
      </c>
      <c r="B262" s="467">
        <f>'01_Preço'!$A$153</f>
        <v/>
      </c>
      <c r="C262" s="467">
        <f>'01_Preço'!B153</f>
        <v/>
      </c>
      <c r="D262" s="470">
        <f>'01_Preço'!E153</f>
        <v/>
      </c>
      <c r="E262" s="462" t="n"/>
      <c r="F262" s="462" t="n"/>
      <c r="G262" s="441" t="n"/>
      <c r="H262" s="436" t="n"/>
      <c r="I262" s="436" t="n"/>
      <c r="J262" s="436" t="n"/>
      <c r="K262" s="436" t="n"/>
      <c r="L262" s="437">
        <f>'01_Preço'!E153</f>
        <v/>
      </c>
      <c r="M262" s="439">
        <f>O262/$N$241</f>
        <v/>
      </c>
      <c r="N262" s="1333" t="n"/>
      <c r="O262" s="1349">
        <f>SUM(O263:O267)</f>
        <v/>
      </c>
      <c r="P262" s="556" t="n"/>
      <c r="Q262" s="1349" t="n"/>
    </row>
    <row r="263" outlineLevel="1" ht="27.6" customHeight="1">
      <c r="A263" s="393">
        <f>'01_Preço'!$A$146</f>
        <v/>
      </c>
      <c r="B263" s="168">
        <f>'01_Preço'!A153</f>
        <v/>
      </c>
      <c r="C263" s="168">
        <f>'01_Preço'!B153</f>
        <v/>
      </c>
      <c r="D263" s="169">
        <f>'01_Preço'!E153</f>
        <v/>
      </c>
      <c r="E263" s="453" t="n">
        <v>34</v>
      </c>
      <c r="F263" s="1343">
        <f>VLOOKUP(E263,'Tabela de mês'!$A$1:$B$70,2,TRUE)</f>
        <v/>
      </c>
      <c r="G263" s="511" t="inlineStr">
        <is>
          <t>122-SER</t>
        </is>
      </c>
      <c r="H263" s="161" t="inlineStr">
        <is>
          <t>INSIGHT</t>
        </is>
      </c>
      <c r="I263" s="161" t="inlineStr">
        <is>
          <t>INSIGHT</t>
        </is>
      </c>
      <c r="J263" s="161" t="n"/>
      <c r="K263" s="161" t="n"/>
      <c r="L263" s="164" t="inlineStr">
        <is>
          <t>Conclusão do Comissionamento de toda a instrumentação e componentes da 1ª UF</t>
        </is>
      </c>
      <c r="M263" s="416">
        <f>O263/$O$262</f>
        <v/>
      </c>
      <c r="N263" s="1364" t="n"/>
      <c r="O263" s="1342" t="n">
        <v>71780.78999999999</v>
      </c>
      <c r="P263" s="561" t="n"/>
      <c r="Q263" s="1347" t="n"/>
    </row>
    <row r="264" outlineLevel="1" ht="27.6" customHeight="1">
      <c r="A264" s="393">
        <f>'01_Preço'!$A$146</f>
        <v/>
      </c>
      <c r="B264" s="168">
        <f>'01_Preço'!A153</f>
        <v/>
      </c>
      <c r="C264" s="168">
        <f>'01_Preço'!B153</f>
        <v/>
      </c>
      <c r="D264" s="169">
        <f>'01_Preço'!E153</f>
        <v/>
      </c>
      <c r="E264" s="453" t="n">
        <v>39</v>
      </c>
      <c r="F264" s="1343">
        <f>VLOOKUP(E264,'Tabela de mês'!$A$1:$B$70,2,TRUE)</f>
        <v/>
      </c>
      <c r="G264" s="511" t="inlineStr">
        <is>
          <t>123-SER</t>
        </is>
      </c>
      <c r="H264" s="161" t="inlineStr">
        <is>
          <t>INSIGHT</t>
        </is>
      </c>
      <c r="I264" s="161" t="inlineStr">
        <is>
          <t>INSIGHT</t>
        </is>
      </c>
      <c r="J264" s="161" t="n"/>
      <c r="K264" s="161" t="n"/>
      <c r="L264" s="164" t="inlineStr">
        <is>
          <t>Conclusão do Comissionamento de toda a instrumentação e componentes dos Sistemas Gerais da Casa de Força</t>
        </is>
      </c>
      <c r="M264" s="416">
        <f>O264/$O$262</f>
        <v/>
      </c>
      <c r="N264" s="1364" t="n"/>
      <c r="O264" s="1342" t="n">
        <v>24967.24</v>
      </c>
      <c r="P264" s="561" t="n"/>
      <c r="Q264" s="1347" t="n"/>
    </row>
    <row r="265" outlineLevel="1" ht="27.6" customHeight="1">
      <c r="A265" s="393">
        <f>'01_Preço'!$A$146</f>
        <v/>
      </c>
      <c r="B265" s="168">
        <f>'01_Preço'!A153</f>
        <v/>
      </c>
      <c r="C265" s="168">
        <f>'01_Preço'!B153</f>
        <v/>
      </c>
      <c r="D265" s="169">
        <f>'01_Preço'!E153</f>
        <v/>
      </c>
      <c r="E265" s="453" t="n">
        <v>46</v>
      </c>
      <c r="F265" s="1343">
        <f>VLOOKUP(E265,'Tabela de mês'!$A$1:$B$70,2,TRUE)</f>
        <v/>
      </c>
      <c r="G265" s="511" t="inlineStr">
        <is>
          <t>124-SER</t>
        </is>
      </c>
      <c r="H265" s="161" t="inlineStr">
        <is>
          <t>INSIGHT</t>
        </is>
      </c>
      <c r="I265" s="161" t="inlineStr">
        <is>
          <t>INSIGHT</t>
        </is>
      </c>
      <c r="J265" s="161" t="n"/>
      <c r="K265" s="161" t="n"/>
      <c r="L265" s="164" t="inlineStr">
        <is>
          <t>Conclusão do Comissionamento de toda a instrumentação e componentes da 2ª UF</t>
        </is>
      </c>
      <c r="M265" s="416">
        <f>O265/$O$262</f>
        <v/>
      </c>
      <c r="N265" s="1364" t="n"/>
      <c r="O265" s="1342" t="n">
        <v>71780.78999999999</v>
      </c>
      <c r="P265" s="561" t="n"/>
      <c r="Q265" s="1347" t="n"/>
    </row>
    <row r="266" outlineLevel="1" ht="27.6" customHeight="1">
      <c r="A266" s="393">
        <f>'01_Preço'!$A$146</f>
        <v/>
      </c>
      <c r="B266" s="168">
        <f>'01_Preço'!A153</f>
        <v/>
      </c>
      <c r="C266" s="168">
        <f>'01_Preço'!B153</f>
        <v/>
      </c>
      <c r="D266" s="169">
        <f>'01_Preço'!E153</f>
        <v/>
      </c>
      <c r="E266" s="453" t="n">
        <v>56</v>
      </c>
      <c r="F266" s="1343">
        <f>VLOOKUP(E266,'Tabela de mês'!$A$1:$B$70,2,TRUE)</f>
        <v/>
      </c>
      <c r="G266" s="511" t="inlineStr">
        <is>
          <t>125-SER</t>
        </is>
      </c>
      <c r="H266" s="161" t="inlineStr">
        <is>
          <t>INSIGHT</t>
        </is>
      </c>
      <c r="I266" s="161" t="inlineStr">
        <is>
          <t>INSIGHT</t>
        </is>
      </c>
      <c r="J266" s="161" t="n"/>
      <c r="K266" s="161" t="n"/>
      <c r="L266" s="164" t="inlineStr">
        <is>
          <t>Conclusão do Comissionamento de toda a instrumentação e componentes da 3ª UF</t>
        </is>
      </c>
      <c r="M266" s="416">
        <f>O266/$O$262</f>
        <v/>
      </c>
      <c r="N266" s="1364" t="n"/>
      <c r="O266" s="1342" t="n">
        <v>71780.78999999999</v>
      </c>
      <c r="P266" s="561" t="n"/>
      <c r="Q266" s="1347" t="n"/>
    </row>
    <row r="267" outlineLevel="1" ht="27.6" customHeight="1">
      <c r="A267" s="393">
        <f>'01_Preço'!$A$146</f>
        <v/>
      </c>
      <c r="B267" s="176">
        <f>'01_Preço'!A153</f>
        <v/>
      </c>
      <c r="C267" s="168">
        <f>'01_Preço'!B153</f>
        <v/>
      </c>
      <c r="D267" s="169">
        <f>'01_Preço'!E153</f>
        <v/>
      </c>
      <c r="E267" s="453" t="n">
        <v>66</v>
      </c>
      <c r="F267" s="1343">
        <f>VLOOKUP(E267,'Tabela de mês'!$A$1:$B$70,2,TRUE)</f>
        <v/>
      </c>
      <c r="G267" s="511" t="inlineStr">
        <is>
          <t>126-SER</t>
        </is>
      </c>
      <c r="H267" s="177" t="inlineStr">
        <is>
          <t>INSIGHT</t>
        </is>
      </c>
      <c r="I267" s="177" t="inlineStr">
        <is>
          <t>INSIGHT</t>
        </is>
      </c>
      <c r="J267" s="177" t="n"/>
      <c r="K267" s="177" t="n"/>
      <c r="L267" s="172" t="inlineStr">
        <is>
          <t>Conclusão do Comissionamento de toda a instrumentação e componentes da 4ª UF</t>
        </is>
      </c>
      <c r="M267" s="416">
        <f>O267/$O$262</f>
        <v/>
      </c>
      <c r="N267" s="1364" t="n"/>
      <c r="O267" s="1342" t="n">
        <v>71780.78999999999</v>
      </c>
      <c r="P267" s="561" t="n"/>
      <c r="Q267" s="1347" t="n"/>
    </row>
    <row r="268" outlineLevel="1" ht="27.6" customFormat="1" customHeight="1" s="166">
      <c r="A268" s="463">
        <f>'01_Preço'!$A$146</f>
        <v/>
      </c>
      <c r="B268" s="441">
        <f>CONCATENATE('01_Preço'!$A$155," à ",'01_Preço'!$A$165)</f>
        <v/>
      </c>
      <c r="C268" s="467">
        <f>'01_Preço'!B155</f>
        <v/>
      </c>
      <c r="D268" s="470" t="inlineStr">
        <is>
          <t>Equipamentos e materiais</t>
        </is>
      </c>
      <c r="E268" s="462" t="n"/>
      <c r="F268" s="449" t="n"/>
      <c r="G268" s="441" t="n"/>
      <c r="H268" s="441" t="n"/>
      <c r="I268" s="441" t="n"/>
      <c r="J268" s="441" t="n"/>
      <c r="K268" s="441" t="n"/>
      <c r="L268" s="442" t="inlineStr">
        <is>
          <t>Equipamentos e materiais</t>
        </is>
      </c>
      <c r="M268" s="439">
        <f>O268/$N$241</f>
        <v/>
      </c>
      <c r="N268" s="1333" t="n"/>
      <c r="O268" s="1349">
        <f>SUM(O269:O273)</f>
        <v/>
      </c>
      <c r="P268" s="552" t="n"/>
      <c r="Q268" s="1349" t="n"/>
    </row>
    <row r="269" outlineLevel="1" ht="27.6" customHeight="1">
      <c r="A269" s="393">
        <f>'01_Preço'!$A$146</f>
        <v/>
      </c>
      <c r="B269" s="173">
        <f>CONCATENATE('01_Preço'!$A$155," à ",'01_Preço'!$A$165)</f>
        <v/>
      </c>
      <c r="C269" s="168">
        <f>'01_Preço'!$B$155</f>
        <v/>
      </c>
      <c r="D269" s="167" t="inlineStr">
        <is>
          <t>Equipamentos e materiais</t>
        </is>
      </c>
      <c r="E269" s="453" t="n">
        <v>32</v>
      </c>
      <c r="F269" s="1343">
        <f>VLOOKUP(E269,'Tabela de mês'!$A$1:$B$70,2,TRUE)</f>
        <v/>
      </c>
      <c r="G269" s="510" t="inlineStr">
        <is>
          <t>113-MAT</t>
        </is>
      </c>
      <c r="H269" s="161" t="inlineStr">
        <is>
          <t>INSIGHT</t>
        </is>
      </c>
      <c r="I269" s="161" t="inlineStr">
        <is>
          <t>INSIGHT</t>
        </is>
      </c>
      <c r="J269" s="161" t="n"/>
      <c r="K269" s="161" t="n"/>
      <c r="L269" s="164" t="inlineStr">
        <is>
          <t>Entrega em campo dos equipamentos e componentes da Instrumentação dos Sistemas Gerais da Casa de Força</t>
        </is>
      </c>
      <c r="M269" s="416">
        <f>O269/$O$268</f>
        <v/>
      </c>
      <c r="N269" s="1364" t="n"/>
      <c r="O269" s="1342" t="n">
        <v>820600.0000000001</v>
      </c>
      <c r="P269" s="561" t="n">
        <v>51</v>
      </c>
      <c r="Q269" s="1347" t="n">
        <v>746000</v>
      </c>
    </row>
    <row r="270" outlineLevel="1" ht="27.6" customHeight="1">
      <c r="A270" s="228">
        <f>'01_Preço'!$A$146</f>
        <v/>
      </c>
      <c r="B270" s="173">
        <f>CONCATENATE('01_Preço'!$A$155," à ",'01_Preço'!$A$165)</f>
        <v/>
      </c>
      <c r="C270" s="168">
        <f>'01_Preço'!$B$155</f>
        <v/>
      </c>
      <c r="D270" s="167" t="inlineStr">
        <is>
          <t>Equipamentos e materiais</t>
        </is>
      </c>
      <c r="E270" s="453" t="n">
        <v>37</v>
      </c>
      <c r="F270" s="1343">
        <f>VLOOKUP(E270,'Tabela de mês'!$A$1:$B$70,2,TRUE)</f>
        <v/>
      </c>
      <c r="G270" s="510" t="inlineStr">
        <is>
          <t>112-MAT</t>
        </is>
      </c>
      <c r="H270" s="161" t="inlineStr">
        <is>
          <t>INSIGHT</t>
        </is>
      </c>
      <c r="I270" s="161" t="inlineStr">
        <is>
          <t>INSIGHT</t>
        </is>
      </c>
      <c r="J270" s="161" t="n"/>
      <c r="K270" s="161" t="n"/>
      <c r="L270" s="422" t="inlineStr">
        <is>
          <t>Entrega em campo dos equipamentos e componentes da Instrumentação das 1ª UF e painel QTT e QTG (ambos com CLP)</t>
        </is>
      </c>
      <c r="M270" s="416">
        <f>O270/$O$268</f>
        <v/>
      </c>
      <c r="N270" s="1364" t="n"/>
      <c r="O270" s="1342" t="n">
        <v>930600.0000000001</v>
      </c>
      <c r="P270" s="561" t="n">
        <v>22</v>
      </c>
      <c r="Q270" s="1347" t="n">
        <v>846000</v>
      </c>
    </row>
    <row r="271" outlineLevel="1" ht="27.6" customHeight="1">
      <c r="A271" s="228">
        <f>'01_Preço'!$A$146</f>
        <v/>
      </c>
      <c r="B271" s="173">
        <f>CONCATENATE('01_Preço'!$A$155," à ",'01_Preço'!$A$165)</f>
        <v/>
      </c>
      <c r="C271" s="168">
        <f>'01_Preço'!$B$155</f>
        <v/>
      </c>
      <c r="D271" s="167" t="inlineStr">
        <is>
          <t>Equipamentos e materiais</t>
        </is>
      </c>
      <c r="E271" s="453" t="n">
        <v>44</v>
      </c>
      <c r="F271" s="1343">
        <f>VLOOKUP(E271,'Tabela de mês'!$A$1:$B$70,2,TRUE)</f>
        <v/>
      </c>
      <c r="G271" s="510" t="inlineStr">
        <is>
          <t>114-MAT</t>
        </is>
      </c>
      <c r="H271" s="161" t="inlineStr">
        <is>
          <t>INSIGHT</t>
        </is>
      </c>
      <c r="I271" s="161" t="inlineStr">
        <is>
          <t>INSIGHT</t>
        </is>
      </c>
      <c r="J271" s="161" t="n"/>
      <c r="K271" s="161" t="n"/>
      <c r="L271" s="422" t="inlineStr">
        <is>
          <t>Entrega em campo dos equipamentos e componentes da Instrumentação das 2ª UF e painel QTT e QTG (ambos com CLP)</t>
        </is>
      </c>
      <c r="M271" s="416">
        <f>O271/$O$268</f>
        <v/>
      </c>
      <c r="N271" s="1364" t="n"/>
      <c r="O271" s="1342" t="n">
        <v>930600.0000000001</v>
      </c>
      <c r="P271" s="561" t="n">
        <v>30</v>
      </c>
      <c r="Q271" s="1347" t="n">
        <v>846000</v>
      </c>
    </row>
    <row r="272" outlineLevel="1" ht="27.6" customHeight="1">
      <c r="A272" s="228">
        <f>'01_Preço'!$A$146</f>
        <v/>
      </c>
      <c r="B272" s="173">
        <f>CONCATENATE('01_Preço'!$A$155," à ",'01_Preço'!$A$165)</f>
        <v/>
      </c>
      <c r="C272" s="168">
        <f>'01_Preço'!$B$155</f>
        <v/>
      </c>
      <c r="D272" s="167" t="inlineStr">
        <is>
          <t>Equipamentos e materiais</t>
        </is>
      </c>
      <c r="E272" s="453" t="n">
        <v>54</v>
      </c>
      <c r="F272" s="1343">
        <f>VLOOKUP(E272,'Tabela de mês'!$A$1:$B$70,2,TRUE)</f>
        <v/>
      </c>
      <c r="G272" s="510" t="inlineStr">
        <is>
          <t>115-MAT</t>
        </is>
      </c>
      <c r="H272" s="161" t="inlineStr">
        <is>
          <t>INSIGHT</t>
        </is>
      </c>
      <c r="I272" s="161" t="inlineStr">
        <is>
          <t>INSIGHT</t>
        </is>
      </c>
      <c r="J272" s="161" t="n"/>
      <c r="K272" s="161" t="n"/>
      <c r="L272" s="422" t="inlineStr">
        <is>
          <t>Entrega em campo dos equipamentos e componentes da Instrumentação das 3ª UF e painel QTT e QTG (ambos com CLP)</t>
        </is>
      </c>
      <c r="M272" s="416">
        <f>O272/$O$268</f>
        <v/>
      </c>
      <c r="N272" s="1364" t="n"/>
      <c r="O272" s="1342" t="n">
        <v>930600.0000000001</v>
      </c>
      <c r="P272" s="561" t="n">
        <v>41</v>
      </c>
      <c r="Q272" s="1347" t="n">
        <v>846000</v>
      </c>
    </row>
    <row r="273" outlineLevel="1" ht="28.2" customHeight="1" thickBot="1">
      <c r="A273" s="228">
        <f>'01_Preço'!$A$146</f>
        <v/>
      </c>
      <c r="B273" s="173">
        <f>CONCATENATE('01_Preço'!$A$155," à ",'01_Preço'!$A$165)</f>
        <v/>
      </c>
      <c r="C273" s="168">
        <f>'01_Preço'!$B$155</f>
        <v/>
      </c>
      <c r="D273" s="167" t="inlineStr">
        <is>
          <t>Equipamentos e materiais</t>
        </is>
      </c>
      <c r="E273" s="453" t="n">
        <v>64</v>
      </c>
      <c r="F273" s="1343">
        <f>VLOOKUP(E273,'Tabela de mês'!$A$1:$B$70,2,TRUE)</f>
        <v/>
      </c>
      <c r="G273" s="510" t="inlineStr">
        <is>
          <t>116-MAT</t>
        </is>
      </c>
      <c r="H273" s="161" t="inlineStr">
        <is>
          <t>INSIGHT</t>
        </is>
      </c>
      <c r="I273" s="161" t="inlineStr">
        <is>
          <t>INSIGHT</t>
        </is>
      </c>
      <c r="J273" s="161" t="n"/>
      <c r="K273" s="161" t="n"/>
      <c r="L273" s="422" t="inlineStr">
        <is>
          <t>Entrega em campo dos equipamentos e componentes da Instrumentação das 4ª UF e painel QTT e QTG (ambos com CLP)</t>
        </is>
      </c>
      <c r="M273" s="416">
        <f>O273/$O$268</f>
        <v/>
      </c>
      <c r="N273" s="1364" t="n"/>
      <c r="O273" s="1342" t="n">
        <v>930600.0000000001</v>
      </c>
      <c r="P273" s="561" t="n">
        <v>51</v>
      </c>
      <c r="Q273" s="1347" t="n">
        <v>846000</v>
      </c>
    </row>
    <row r="274" ht="16.2" customHeight="1" thickBot="1">
      <c r="A274" s="424" t="inlineStr">
        <is>
          <t>2.08 - Gerador</t>
        </is>
      </c>
      <c r="B274" s="1139" t="n"/>
      <c r="C274" s="1139" t="n"/>
      <c r="D274" s="1139" t="n"/>
      <c r="E274" s="1139" t="n"/>
      <c r="F274" s="1139" t="n"/>
      <c r="G274" s="1139" t="n"/>
      <c r="H274" s="1139" t="n"/>
      <c r="I274" s="1139" t="n"/>
      <c r="J274" s="1139" t="n"/>
      <c r="K274" s="1139" t="n"/>
      <c r="L274" s="1139" t="n"/>
      <c r="M274" s="1140" t="n"/>
      <c r="N274" s="1360">
        <f>SUM(O275,O374,O287,O292,O295,O298,O301,O304,O307,O310,O313,O316,O319,O322,O325,O328,O331,O334,O339,O342,O345,O350,O355,O360,O363,O366,O369,O379,O384,O389)</f>
        <v/>
      </c>
      <c r="O274" s="424" t="n"/>
      <c r="P274" s="1053" t="n"/>
      <c r="Q274" s="424" t="n"/>
    </row>
    <row r="275" outlineLevel="1" ht="14.4" customFormat="1" customHeight="1" s="166">
      <c r="A275" s="720">
        <f>'01_Preço'!$A$167</f>
        <v/>
      </c>
      <c r="B275" s="486">
        <f>'01_Preço'!$A$168</f>
        <v/>
      </c>
      <c r="C275" s="486">
        <f>'01_Preço'!B168</f>
        <v/>
      </c>
      <c r="D275" s="678">
        <f>'01_Preço'!E168</f>
        <v/>
      </c>
      <c r="E275" s="721" t="n"/>
      <c r="F275" s="479" t="n"/>
      <c r="G275" s="487" t="n"/>
      <c r="H275" s="487" t="n"/>
      <c r="I275" s="487" t="n"/>
      <c r="J275" s="487" t="n"/>
      <c r="K275" s="487" t="n"/>
      <c r="L275" s="475">
        <f>'01_Preço'!E168</f>
        <v/>
      </c>
      <c r="M275" s="679">
        <f>O275/$N$274</f>
        <v/>
      </c>
      <c r="N275" s="1369" t="n"/>
      <c r="O275" s="1354">
        <f>SUM(O276:O286)</f>
        <v/>
      </c>
      <c r="P275" s="556" t="n"/>
      <c r="Q275" s="1349" t="n"/>
    </row>
    <row r="276" outlineLevel="1" ht="30" customHeight="1">
      <c r="A276" s="393">
        <f>'01_Preço'!$A$167</f>
        <v/>
      </c>
      <c r="B276" s="389">
        <f>'01_Preço'!A168</f>
        <v/>
      </c>
      <c r="C276" s="389">
        <f>'01_Preço'!B168</f>
        <v/>
      </c>
      <c r="D276" s="423">
        <f>'01_Preço'!E168</f>
        <v/>
      </c>
      <c r="E276" s="450" t="n">
        <v>16</v>
      </c>
      <c r="F276" s="1339">
        <f>VLOOKUP(E276,'Tabela de mês'!$A$1:$B$70,2,TRUE)</f>
        <v/>
      </c>
      <c r="G276" s="511" t="inlineStr">
        <is>
          <t>127-SER</t>
        </is>
      </c>
      <c r="H276" s="163" t="inlineStr">
        <is>
          <t>INSIGHT</t>
        </is>
      </c>
      <c r="I276" s="163" t="inlineStr">
        <is>
          <t>INSIGHT</t>
        </is>
      </c>
      <c r="J276" s="163" t="n"/>
      <c r="K276" s="163" t="n"/>
      <c r="L276" s="423" t="inlineStr">
        <is>
          <t>Aprovação do Plano de Emissão de Documentos da Reforma do Geradores</t>
        </is>
      </c>
      <c r="M276" s="391">
        <f>O276/$O$275</f>
        <v/>
      </c>
      <c r="N276" s="1340" t="n"/>
      <c r="O276" s="1340" t="n">
        <v>69787</v>
      </c>
      <c r="P276" s="563" t="n"/>
      <c r="Q276" s="1338" t="n"/>
      <c r="S276" s="662" t="inlineStr">
        <is>
          <t>SIM</t>
        </is>
      </c>
    </row>
    <row r="277" outlineLevel="1" ht="27.6" customHeight="1">
      <c r="A277" s="393">
        <f>'01_Preço'!$A$167</f>
        <v/>
      </c>
      <c r="B277" s="389">
        <f>'01_Preço'!A168</f>
        <v/>
      </c>
      <c r="C277" s="389">
        <f>'01_Preço'!B168</f>
        <v/>
      </c>
      <c r="D277" s="423">
        <f>'01_Preço'!E168</f>
        <v/>
      </c>
      <c r="E277" s="730" t="n">
        <v>22</v>
      </c>
      <c r="F277" s="1339">
        <f>VLOOKUP(E277,'Tabela de mês'!$A$1:$B$70,2,TRUE)</f>
        <v/>
      </c>
      <c r="G277" s="510" t="inlineStr">
        <is>
          <t>128-SER</t>
        </is>
      </c>
      <c r="H277" s="163" t="inlineStr">
        <is>
          <t>INSIGHT</t>
        </is>
      </c>
      <c r="I277" s="163" t="inlineStr">
        <is>
          <t>INSIGHT</t>
        </is>
      </c>
      <c r="J277" s="163" t="n"/>
      <c r="K277" s="163" t="inlineStr">
        <is>
          <t>x</t>
        </is>
      </c>
      <c r="L277" s="423" t="inlineStr">
        <is>
          <t>Aprovação do Projeto Executivo da Reforma dos Geradores da 1ª UF, conforme PED aprovada</t>
        </is>
      </c>
      <c r="M277" s="391">
        <f>O277/$O$275</f>
        <v/>
      </c>
      <c r="N277" s="1340" t="n"/>
      <c r="O277" s="1340" t="n">
        <v>758296.04</v>
      </c>
      <c r="P277" s="553" t="n"/>
      <c r="Q277" s="1341" t="n"/>
    </row>
    <row r="278" outlineLevel="1" ht="27.6" customHeight="1">
      <c r="A278" s="228">
        <f>'01_Preço'!$A$167</f>
        <v/>
      </c>
      <c r="B278" s="417">
        <f>'01_Preço'!A168</f>
        <v/>
      </c>
      <c r="C278" s="161">
        <f>'01_Preço'!B168</f>
        <v/>
      </c>
      <c r="D278" s="162">
        <f>'01_Preço'!E168</f>
        <v/>
      </c>
      <c r="E278" s="453" t="n">
        <v>35</v>
      </c>
      <c r="F278" s="1343">
        <f>VLOOKUP(E278,'Tabela de mês'!$A$1:$B$70,2,TRUE)</f>
        <v/>
      </c>
      <c r="G278" s="520" t="inlineStr">
        <is>
          <t>129-SER</t>
        </is>
      </c>
      <c r="H278" s="161" t="inlineStr">
        <is>
          <t>INSIGHT</t>
        </is>
      </c>
      <c r="I278" s="161" t="inlineStr">
        <is>
          <t>INSIGHT</t>
        </is>
      </c>
      <c r="J278" s="161" t="n"/>
      <c r="K278" s="161" t="inlineStr">
        <is>
          <t>x</t>
        </is>
      </c>
      <c r="L278" s="390" t="inlineStr">
        <is>
          <t>Aprovação do Projeto Executivo da Reforma dos Geradores da 2ª UF, conforme PED aprovada</t>
        </is>
      </c>
      <c r="M278" s="416">
        <f>O278/$O$275</f>
        <v/>
      </c>
      <c r="N278" s="1344" t="n"/>
      <c r="O278" s="1373" t="n">
        <v>758296.04</v>
      </c>
      <c r="P278" s="553" t="n"/>
      <c r="Q278" s="1341" t="n"/>
    </row>
    <row r="279" outlineLevel="1" ht="27.6" customHeight="1">
      <c r="A279" s="393">
        <f>'01_Preço'!$A$167</f>
        <v/>
      </c>
      <c r="B279" s="389">
        <f>'01_Preço'!A168</f>
        <v/>
      </c>
      <c r="C279" s="163">
        <f>'01_Preço'!B168</f>
        <v/>
      </c>
      <c r="D279" s="167">
        <f>'01_Preço'!E168</f>
        <v/>
      </c>
      <c r="E279" s="453" t="n">
        <v>44</v>
      </c>
      <c r="F279" s="1343">
        <f>VLOOKUP(E279,'Tabela de mês'!$A$1:$B$70,2,TRUE)</f>
        <v/>
      </c>
      <c r="G279" s="510" t="inlineStr">
        <is>
          <t>130-SER</t>
        </is>
      </c>
      <c r="H279" s="163" t="inlineStr">
        <is>
          <t>INSIGHT</t>
        </is>
      </c>
      <c r="I279" s="163" t="inlineStr">
        <is>
          <t>INSIGHT</t>
        </is>
      </c>
      <c r="J279" s="163" t="n"/>
      <c r="K279" s="163" t="n"/>
      <c r="L279" s="390" t="inlineStr">
        <is>
          <t>Aprovação do Projeto Executivo da Reforma dos Geradores da 3ª UF, conforme PED aprovada</t>
        </is>
      </c>
      <c r="M279" s="416">
        <f>O279/$O$275</f>
        <v/>
      </c>
      <c r="N279" s="1344" t="n"/>
      <c r="O279" s="1373" t="n">
        <v>309361.01</v>
      </c>
      <c r="P279" s="561" t="n"/>
      <c r="Q279" s="1341" t="n"/>
    </row>
    <row r="280" outlineLevel="1" ht="27.6" customHeight="1">
      <c r="A280" s="393">
        <f>'01_Preço'!$A$167</f>
        <v/>
      </c>
      <c r="B280" s="389">
        <f>'01_Preço'!A168</f>
        <v/>
      </c>
      <c r="C280" s="163">
        <f>'01_Preço'!B168</f>
        <v/>
      </c>
      <c r="D280" s="167">
        <f>'01_Preço'!E168</f>
        <v/>
      </c>
      <c r="E280" s="453" t="n">
        <v>54</v>
      </c>
      <c r="F280" s="1343">
        <f>VLOOKUP(E280,'Tabela de mês'!$A$1:$B$70,2,TRUE)</f>
        <v/>
      </c>
      <c r="G280" s="510" t="inlineStr">
        <is>
          <t>131-SER</t>
        </is>
      </c>
      <c r="H280" s="163" t="inlineStr">
        <is>
          <t>INSIGHT</t>
        </is>
      </c>
      <c r="I280" s="163" t="inlineStr">
        <is>
          <t>INSIGHT</t>
        </is>
      </c>
      <c r="J280" s="163" t="n"/>
      <c r="K280" s="163" t="n"/>
      <c r="L280" s="390" t="inlineStr">
        <is>
          <t>Aprovação do Projeto Executivo da Reforma dos Geradores da 4ª UF, conforme PED aprovada</t>
        </is>
      </c>
      <c r="M280" s="416">
        <f>O280/$O$275</f>
        <v/>
      </c>
      <c r="N280" s="1344" t="n"/>
      <c r="O280" s="1373" t="n">
        <v>309361.01</v>
      </c>
      <c r="P280" s="561" t="n"/>
      <c r="Q280" s="1341" t="n"/>
    </row>
    <row r="281" outlineLevel="1" ht="27.6" customHeight="1">
      <c r="A281" s="393">
        <f>'01_Preço'!$A$167</f>
        <v/>
      </c>
      <c r="B281" s="389">
        <f>'01_Preço'!A168</f>
        <v/>
      </c>
      <c r="C281" s="163">
        <f>'01_Preço'!B168</f>
        <v/>
      </c>
      <c r="D281" s="167">
        <f>'01_Preço'!E168</f>
        <v/>
      </c>
      <c r="E281" s="453" t="n">
        <v>50</v>
      </c>
      <c r="F281" s="1343">
        <f>VLOOKUP(E281,'Tabela de mês'!$A$1:$B$70,2,TRUE)</f>
        <v/>
      </c>
      <c r="G281" s="511" t="inlineStr">
        <is>
          <t>132-SER</t>
        </is>
      </c>
      <c r="H281" s="163" t="inlineStr">
        <is>
          <t>INSIGHT</t>
        </is>
      </c>
      <c r="I281" s="163" t="inlineStr">
        <is>
          <t>INSIGHT</t>
        </is>
      </c>
      <c r="J281" s="163" t="n"/>
      <c r="K281" s="163" t="n"/>
      <c r="L281" s="165" t="inlineStr">
        <is>
          <t>Aprovação da versão conforme construído do Projeto dos Geradores da 1ª UF e da 2ª UF</t>
        </is>
      </c>
      <c r="M281" s="416">
        <f>O281/$O$275</f>
        <v/>
      </c>
      <c r="N281" s="1344" t="n"/>
      <c r="O281" s="1373" t="n">
        <v>87233.75999999999</v>
      </c>
      <c r="P281" s="561" t="n"/>
      <c r="Q281" s="1341" t="n"/>
    </row>
    <row r="282" outlineLevel="1" ht="27.6" customHeight="1">
      <c r="A282" s="483">
        <f>'01_Preço'!$A$167</f>
        <v/>
      </c>
      <c r="B282" s="484">
        <f>'01_Preço'!A168</f>
        <v/>
      </c>
      <c r="C282" s="179">
        <f>'01_Preço'!B168</f>
        <v/>
      </c>
      <c r="D282" s="180">
        <f>'01_Preço'!E168</f>
        <v/>
      </c>
      <c r="E282" s="710" t="n">
        <v>67</v>
      </c>
      <c r="F282" s="1335">
        <f>VLOOKUP(E282,'Tabela de mês'!$A$1:$B$70,2,TRUE)</f>
        <v/>
      </c>
      <c r="G282" s="519" t="inlineStr">
        <is>
          <t>133-SER</t>
        </is>
      </c>
      <c r="H282" s="179" t="inlineStr">
        <is>
          <t>INSIGHT</t>
        </is>
      </c>
      <c r="I282" s="179" t="inlineStr">
        <is>
          <t>INSIGHT</t>
        </is>
      </c>
      <c r="J282" s="179" t="n"/>
      <c r="K282" s="179" t="n"/>
      <c r="L282" s="680" t="inlineStr">
        <is>
          <t>Aprovação da versão conforme construído do Projeto dos Geradores da 3ª UF e da 4ª UF</t>
        </is>
      </c>
      <c r="M282" s="421">
        <f>O282/$O$275</f>
        <v/>
      </c>
      <c r="N282" s="1374" t="n"/>
      <c r="O282" s="1375" t="n">
        <v>52340.25</v>
      </c>
      <c r="P282" s="561" t="n"/>
      <c r="Q282" s="1341" t="n"/>
    </row>
    <row r="283" outlineLevel="1" ht="55.2" customHeight="1">
      <c r="A283" s="414">
        <f>'01_Preço'!$A$167</f>
        <v/>
      </c>
      <c r="B283" s="389">
        <f>'01_Preço'!A168</f>
        <v/>
      </c>
      <c r="C283" s="389">
        <f>'01_Preço'!B172</f>
        <v/>
      </c>
      <c r="D283" s="423">
        <f>'01_Preço'!E172</f>
        <v/>
      </c>
      <c r="E283" s="730" t="n">
        <v>21</v>
      </c>
      <c r="F283" s="1339">
        <f>VLOOKUP(E283,'Tabela de mês'!$A$1:$B$70,2,TRUE)</f>
        <v/>
      </c>
      <c r="G283" s="510" t="inlineStr">
        <is>
          <t>487-SER</t>
        </is>
      </c>
      <c r="H283" s="163" t="inlineStr">
        <is>
          <t>AQTECH</t>
        </is>
      </c>
      <c r="I283" s="497" t="inlineStr">
        <is>
          <t>FAT. DIRETO</t>
        </is>
      </c>
      <c r="J283" s="163" t="n"/>
      <c r="K283" s="163" t="n"/>
      <c r="L283" s="423" t="inlineStr">
        <is>
          <t>Aprovação do projeto executivo do sistema de monitoramento e vibração da 1ª UF</t>
        </is>
      </c>
      <c r="M283" s="391">
        <f>O283/$O$275</f>
        <v/>
      </c>
      <c r="N283" s="1340" t="n"/>
      <c r="O283" s="1340" t="n">
        <v>30000</v>
      </c>
      <c r="P283" s="561" t="n"/>
      <c r="Q283" s="1341" t="n"/>
    </row>
    <row r="284" outlineLevel="1" ht="55.2" customHeight="1">
      <c r="A284" s="414">
        <f>'01_Preço'!$A$167</f>
        <v/>
      </c>
      <c r="B284" s="389">
        <f>'01_Preço'!A168</f>
        <v/>
      </c>
      <c r="C284" s="389">
        <f>'01_Preço'!B172</f>
        <v/>
      </c>
      <c r="D284" s="423">
        <f>'01_Preço'!E172</f>
        <v/>
      </c>
      <c r="E284" s="730" t="n">
        <v>21</v>
      </c>
      <c r="F284" s="1339">
        <f>VLOOKUP(E284,'Tabela de mês'!$A$1:$B$70,2,TRUE)</f>
        <v/>
      </c>
      <c r="G284" s="510" t="inlineStr">
        <is>
          <t>488-SER</t>
        </is>
      </c>
      <c r="H284" s="163" t="inlineStr">
        <is>
          <t>AQTECH</t>
        </is>
      </c>
      <c r="I284" s="497" t="inlineStr">
        <is>
          <t>FAT. DIRETO</t>
        </is>
      </c>
      <c r="J284" s="163" t="n"/>
      <c r="K284" s="163" t="n"/>
      <c r="L284" s="423" t="inlineStr">
        <is>
          <t>Aprovação do projeto executivo do sistema de monitoramento e vibração da 2ª UF</t>
        </is>
      </c>
      <c r="M284" s="391">
        <f>O284/$O$275</f>
        <v/>
      </c>
      <c r="N284" s="1340" t="n"/>
      <c r="O284" s="1340" t="n">
        <v>30000</v>
      </c>
      <c r="P284" s="561" t="n"/>
      <c r="Q284" s="1341" t="n"/>
    </row>
    <row r="285" outlineLevel="1" ht="55.2" customHeight="1">
      <c r="A285" s="414">
        <f>'01_Preço'!$A$167</f>
        <v/>
      </c>
      <c r="B285" s="389">
        <f>'01_Preço'!A168</f>
        <v/>
      </c>
      <c r="C285" s="389">
        <f>'01_Preço'!B172</f>
        <v/>
      </c>
      <c r="D285" s="423">
        <f>'01_Preço'!E172</f>
        <v/>
      </c>
      <c r="E285" s="730" t="n">
        <v>21</v>
      </c>
      <c r="F285" s="1339">
        <f>VLOOKUP(E285,'Tabela de mês'!$A$1:$B$70,2,TRUE)</f>
        <v/>
      </c>
      <c r="G285" s="510" t="inlineStr">
        <is>
          <t>489-SER</t>
        </is>
      </c>
      <c r="H285" s="163" t="inlineStr">
        <is>
          <t>AQTECH</t>
        </is>
      </c>
      <c r="I285" s="497" t="inlineStr">
        <is>
          <t>FAT. DIRETO</t>
        </is>
      </c>
      <c r="J285" s="163" t="n"/>
      <c r="K285" s="163" t="n"/>
      <c r="L285" s="423" t="inlineStr">
        <is>
          <t>Aprovação do projeto executivo do sistema de monitoramento e vibração da 3ª UF</t>
        </is>
      </c>
      <c r="M285" s="391">
        <f>O285/$O$275</f>
        <v/>
      </c>
      <c r="N285" s="1340" t="n"/>
      <c r="O285" s="1340" t="n">
        <v>30000</v>
      </c>
      <c r="P285" s="561" t="n"/>
      <c r="Q285" s="1341" t="n"/>
    </row>
    <row r="286" outlineLevel="1" ht="55.2" customHeight="1">
      <c r="A286" s="414">
        <f>'01_Preço'!$A$167</f>
        <v/>
      </c>
      <c r="B286" s="389">
        <f>'01_Preço'!A168</f>
        <v/>
      </c>
      <c r="C286" s="389">
        <f>'01_Preço'!B172</f>
        <v/>
      </c>
      <c r="D286" s="423">
        <f>'01_Preço'!E172</f>
        <v/>
      </c>
      <c r="E286" s="730" t="n">
        <v>21</v>
      </c>
      <c r="F286" s="1339">
        <f>VLOOKUP(E286,'Tabela de mês'!$A$1:$B$70,2,TRUE)</f>
        <v/>
      </c>
      <c r="G286" s="510" t="inlineStr">
        <is>
          <t>490-SER</t>
        </is>
      </c>
      <c r="H286" s="163" t="inlineStr">
        <is>
          <t>AQTECH</t>
        </is>
      </c>
      <c r="I286" s="497" t="inlineStr">
        <is>
          <t>FAT. DIRETO</t>
        </is>
      </c>
      <c r="J286" s="163" t="n"/>
      <c r="K286" s="163" t="n"/>
      <c r="L286" s="423" t="inlineStr">
        <is>
          <t>Aprovação do projeto executivo do sistema de monitoramento e vibração da 4ª UF</t>
        </is>
      </c>
      <c r="M286" s="391">
        <f>O286/$O$275</f>
        <v/>
      </c>
      <c r="N286" s="1340" t="n"/>
      <c r="O286" s="1340" t="n">
        <v>30000</v>
      </c>
      <c r="P286" s="561" t="n"/>
      <c r="Q286" s="1341" t="n"/>
    </row>
    <row r="287" outlineLevel="1" ht="27.6" customFormat="1" customHeight="1" s="166">
      <c r="A287" s="460">
        <f>'01_Preço'!$A$167</f>
        <v/>
      </c>
      <c r="B287" s="436">
        <f>'01_Preço'!A170</f>
        <v/>
      </c>
      <c r="C287" s="467">
        <f>'01_Preço'!B170</f>
        <v/>
      </c>
      <c r="D287" s="470">
        <f>'01_Preço'!E170</f>
        <v/>
      </c>
      <c r="E287" s="449" t="n"/>
      <c r="F287" s="449" t="n"/>
      <c r="G287" s="436" t="n"/>
      <c r="H287" s="436" t="n"/>
      <c r="I287" s="436" t="n"/>
      <c r="J287" s="436" t="n"/>
      <c r="K287" s="436" t="n"/>
      <c r="L287" s="437">
        <f>'01_Preço'!E170</f>
        <v/>
      </c>
      <c r="M287" s="446">
        <f>O287/$N$274</f>
        <v/>
      </c>
      <c r="N287" s="1365" t="n"/>
      <c r="O287" s="1349">
        <f>SUM(O288:O291)</f>
        <v/>
      </c>
      <c r="P287" s="556" t="n"/>
      <c r="Q287" s="1349" t="n"/>
    </row>
    <row r="288" outlineLevel="1" ht="27.6" customHeight="1">
      <c r="A288" s="393">
        <f>'01_Preço'!$A$167</f>
        <v/>
      </c>
      <c r="B288" s="413">
        <f>'01_Preço'!A170</f>
        <v/>
      </c>
      <c r="C288" s="168">
        <f>'01_Preço'!B170</f>
        <v/>
      </c>
      <c r="D288" s="169" t="inlineStr">
        <is>
          <t>Montagem eletromecânica</t>
        </is>
      </c>
      <c r="E288" s="453" t="n">
        <v>35</v>
      </c>
      <c r="F288" s="1343">
        <f>VLOOKUP(E288,'Tabela de mês'!$A$1:$B$70,2,TRUE)</f>
        <v/>
      </c>
      <c r="G288" s="511" t="inlineStr">
        <is>
          <t>194-SER</t>
        </is>
      </c>
      <c r="H288" s="163" t="inlineStr">
        <is>
          <t>INSIGHT</t>
        </is>
      </c>
      <c r="I288" s="163" t="inlineStr">
        <is>
          <t>INSIGHT</t>
        </is>
      </c>
      <c r="J288" s="163" t="n"/>
      <c r="K288" s="163" t="n"/>
      <c r="L288" s="167" t="inlineStr">
        <is>
          <t>Conclusão do Comissionamento do Gerador e equipamentos auxiliares, integrada aos demais equipamentos e sistemas da 1ª UF</t>
        </is>
      </c>
      <c r="M288" s="416">
        <f>O288/$O$287</f>
        <v/>
      </c>
      <c r="N288" s="1344" t="n"/>
      <c r="O288" s="1373" t="n">
        <v>318363.77</v>
      </c>
      <c r="P288" s="561" t="n"/>
      <c r="Q288" s="1341" t="n"/>
    </row>
    <row r="289" outlineLevel="1" ht="27.6" customHeight="1">
      <c r="A289" s="393">
        <f>'01_Preço'!$A$167</f>
        <v/>
      </c>
      <c r="B289" s="413">
        <f>'01_Preço'!A170</f>
        <v/>
      </c>
      <c r="C289" s="168">
        <f>'01_Preço'!B170</f>
        <v/>
      </c>
      <c r="D289" s="169" t="inlineStr">
        <is>
          <t>Montagem eletromecânica</t>
        </is>
      </c>
      <c r="E289" s="453" t="n">
        <v>47</v>
      </c>
      <c r="F289" s="1343">
        <f>VLOOKUP(E289,'Tabela de mês'!$A$1:$B$70,2,TRUE)</f>
        <v/>
      </c>
      <c r="G289" s="511" t="inlineStr">
        <is>
          <t>195-SER</t>
        </is>
      </c>
      <c r="H289" s="163" t="inlineStr">
        <is>
          <t>INSIGHT</t>
        </is>
      </c>
      <c r="I289" s="163" t="inlineStr">
        <is>
          <t>INSIGHT</t>
        </is>
      </c>
      <c r="J289" s="163" t="n"/>
      <c r="K289" s="163" t="n"/>
      <c r="L289" s="167" t="inlineStr">
        <is>
          <t>Conclusão do Comissionamento do Gerador e equipamentos auxiliares, integrada aos demais equipamentos e sistemas da 2ª UF</t>
        </is>
      </c>
      <c r="M289" s="416">
        <f>O289/$O$287</f>
        <v/>
      </c>
      <c r="N289" s="1344" t="n"/>
      <c r="O289" s="1373" t="n">
        <v>318363.77</v>
      </c>
      <c r="P289" s="561" t="n"/>
      <c r="Q289" s="1341" t="n"/>
    </row>
    <row r="290" outlineLevel="1" ht="27.6" customHeight="1">
      <c r="A290" s="393">
        <f>'01_Preço'!$A$167</f>
        <v/>
      </c>
      <c r="B290" s="413">
        <f>'01_Preço'!A170</f>
        <v/>
      </c>
      <c r="C290" s="168">
        <f>'01_Preço'!B170</f>
        <v/>
      </c>
      <c r="D290" s="169" t="inlineStr">
        <is>
          <t>Montagem eletromecânica</t>
        </is>
      </c>
      <c r="E290" s="453" t="n">
        <v>57</v>
      </c>
      <c r="F290" s="1343">
        <f>VLOOKUP(E290,'Tabela de mês'!$A$1:$B$70,2,TRUE)</f>
        <v/>
      </c>
      <c r="G290" s="511" t="inlineStr">
        <is>
          <t>196-SER</t>
        </is>
      </c>
      <c r="H290" s="163" t="inlineStr">
        <is>
          <t>INSIGHT</t>
        </is>
      </c>
      <c r="I290" s="163" t="inlineStr">
        <is>
          <t>INSIGHT</t>
        </is>
      </c>
      <c r="J290" s="163" t="n"/>
      <c r="K290" s="163" t="n"/>
      <c r="L290" s="167" t="inlineStr">
        <is>
          <t>Conclusão do Comissionamento do Gerador e equipamentos auxiliares, integrada aos demais equipamentos e sistemas da  3ª UF</t>
        </is>
      </c>
      <c r="M290" s="416">
        <f>O290/$O$287</f>
        <v/>
      </c>
      <c r="N290" s="1344" t="n"/>
      <c r="O290" s="1373" t="n">
        <v>318363.77</v>
      </c>
      <c r="P290" s="561" t="n"/>
      <c r="Q290" s="1341" t="n"/>
    </row>
    <row r="291" outlineLevel="1" ht="27.6" customHeight="1">
      <c r="A291" s="393">
        <f>'01_Preço'!$A$167</f>
        <v/>
      </c>
      <c r="B291" s="413">
        <f>'01_Preço'!A170</f>
        <v/>
      </c>
      <c r="C291" s="168">
        <f>'01_Preço'!B170</f>
        <v/>
      </c>
      <c r="D291" s="169" t="inlineStr">
        <is>
          <t>Montagem eletromecânica</t>
        </is>
      </c>
      <c r="E291" s="453" t="n">
        <v>67</v>
      </c>
      <c r="F291" s="1343">
        <f>VLOOKUP(E291,'Tabela de mês'!$A$1:$B$70,2,TRUE)</f>
        <v/>
      </c>
      <c r="G291" s="511" t="inlineStr">
        <is>
          <t>197-SER</t>
        </is>
      </c>
      <c r="H291" s="163" t="inlineStr">
        <is>
          <t>INSIGHT</t>
        </is>
      </c>
      <c r="I291" s="163" t="inlineStr">
        <is>
          <t>INSIGHT</t>
        </is>
      </c>
      <c r="J291" s="163" t="n"/>
      <c r="K291" s="163" t="n"/>
      <c r="L291" s="167" t="inlineStr">
        <is>
          <t>Conclusão do Comissionamento do Gerador e equipamentos auxiliares, integrada aos demais equipamentos e sistemas da 4ª UF</t>
        </is>
      </c>
      <c r="M291" s="416">
        <f>O291/$O$287</f>
        <v/>
      </c>
      <c r="N291" s="1344" t="n"/>
      <c r="O291" s="1373" t="n">
        <v>318363.77</v>
      </c>
      <c r="P291" s="561" t="n"/>
      <c r="Q291" s="1341" t="n"/>
    </row>
    <row r="292" outlineLevel="1" ht="27.6" customFormat="1" customHeight="1" s="166">
      <c r="A292" s="682">
        <f>'01_Preço'!$A$167</f>
        <v/>
      </c>
      <c r="B292" s="683">
        <f>'01_Preço'!A172</f>
        <v/>
      </c>
      <c r="C292" s="486">
        <f>'01_Preço'!B172</f>
        <v/>
      </c>
      <c r="D292" s="684" t="inlineStr">
        <is>
          <t>Reforma do gerador</t>
        </is>
      </c>
      <c r="E292" s="721" t="n"/>
      <c r="F292" s="721" t="n"/>
      <c r="G292" s="683" t="n"/>
      <c r="H292" s="683" t="n"/>
      <c r="I292" s="683" t="n"/>
      <c r="J292" s="683" t="n"/>
      <c r="K292" s="683" t="n"/>
      <c r="L292" s="684">
        <f>'01_Preço'!E172</f>
        <v/>
      </c>
      <c r="M292" s="679">
        <f>O292/$N$274</f>
        <v/>
      </c>
      <c r="N292" s="1369" t="n"/>
      <c r="O292" s="1354">
        <f>SUM(O293:O294)</f>
        <v/>
      </c>
      <c r="P292" s="556" t="n"/>
      <c r="Q292" s="1349" t="n"/>
    </row>
    <row r="293" outlineLevel="1" ht="27.6" customHeight="1">
      <c r="A293" s="414">
        <f>'01_Preço'!$A$167</f>
        <v/>
      </c>
      <c r="B293" s="389">
        <f>'01_Preço'!A172</f>
        <v/>
      </c>
      <c r="C293" s="389">
        <f>'01_Preço'!B172</f>
        <v/>
      </c>
      <c r="D293" s="423" t="inlineStr">
        <is>
          <t>Reforma do gerador</t>
        </is>
      </c>
      <c r="E293" s="730" t="n">
        <v>20</v>
      </c>
      <c r="F293" s="1339">
        <f>VLOOKUP(E293,'Tabela de mês'!$A$1:$B$70,2,TRUE)</f>
        <v/>
      </c>
      <c r="G293" s="510" t="inlineStr">
        <is>
          <t>134-SER</t>
        </is>
      </c>
      <c r="H293" s="163" t="inlineStr">
        <is>
          <t>INSIGHT</t>
        </is>
      </c>
      <c r="I293" s="163" t="inlineStr">
        <is>
          <t>INSIGHT</t>
        </is>
      </c>
      <c r="J293" s="163" t="n"/>
      <c r="K293" s="163" t="n"/>
      <c r="L293" s="342" t="inlineStr">
        <is>
          <t>Conclusão das Medições dimensionais antes da Liberação para Desmontagem da 1ª UF</t>
        </is>
      </c>
      <c r="M293" s="391">
        <f>O293/$O$292</f>
        <v/>
      </c>
      <c r="N293" s="1340" t="n"/>
      <c r="O293" s="1340" t="n">
        <v>357283.34</v>
      </c>
      <c r="P293" s="561" t="n">
        <v>18</v>
      </c>
      <c r="Q293" s="1341" t="n">
        <v>40000</v>
      </c>
    </row>
    <row r="294" outlineLevel="1" ht="27.6" customHeight="1">
      <c r="A294" s="668">
        <f>'01_Preço'!$A$167</f>
        <v/>
      </c>
      <c r="B294" s="417">
        <f>'01_Preço'!A172</f>
        <v/>
      </c>
      <c r="C294" s="161">
        <f>'01_Preço'!B172</f>
        <v/>
      </c>
      <c r="D294" s="162" t="inlineStr">
        <is>
          <t>Reforma do gerador</t>
        </is>
      </c>
      <c r="E294" s="453" t="n">
        <v>28</v>
      </c>
      <c r="F294" s="1343">
        <f>VLOOKUP(E294,'Tabela de mês'!$A$1:$B$70,2,TRUE)</f>
        <v/>
      </c>
      <c r="G294" s="520" t="inlineStr">
        <is>
          <t>135-SER</t>
        </is>
      </c>
      <c r="H294" s="161" t="inlineStr">
        <is>
          <t>INSIGHT</t>
        </is>
      </c>
      <c r="I294" s="161" t="inlineStr">
        <is>
          <t>INSIGHT</t>
        </is>
      </c>
      <c r="J294" s="161" t="n"/>
      <c r="K294" s="161" t="n"/>
      <c r="L294" s="422" t="inlineStr">
        <is>
          <t>Conclusão das Medições e Ensaios antes da Liberação para Desmontagem da 2ª UF</t>
        </is>
      </c>
      <c r="M294" s="416">
        <f>O294/$O$292</f>
        <v/>
      </c>
      <c r="N294" s="1344" t="n"/>
      <c r="O294" s="1373" t="n">
        <v>357283.34</v>
      </c>
      <c r="P294" s="561" t="n">
        <v>37</v>
      </c>
      <c r="Q294" s="1341" t="n">
        <v>40000</v>
      </c>
    </row>
    <row r="295" outlineLevel="1" ht="14.4" customFormat="1" customHeight="1" s="166">
      <c r="A295" s="682">
        <f>'01_Preço'!$A$167</f>
        <v/>
      </c>
      <c r="B295" s="683">
        <f>'01_Preço'!A174</f>
        <v/>
      </c>
      <c r="C295" s="486">
        <f>'01_Preço'!B174</f>
        <v/>
      </c>
      <c r="D295" s="684" t="inlineStr">
        <is>
          <t>Reforma do gerador</t>
        </is>
      </c>
      <c r="E295" s="721" t="n"/>
      <c r="F295" s="721" t="n"/>
      <c r="G295" s="683" t="n"/>
      <c r="H295" s="683" t="n"/>
      <c r="I295" s="683" t="n"/>
      <c r="J295" s="683" t="n"/>
      <c r="K295" s="683" t="n"/>
      <c r="L295" s="684">
        <f>'01_Preço'!E174</f>
        <v/>
      </c>
      <c r="M295" s="679">
        <f>O295/$N$274</f>
        <v/>
      </c>
      <c r="N295" s="1369" t="n"/>
      <c r="O295" s="1354">
        <f>SUM(O296:O297)</f>
        <v/>
      </c>
      <c r="P295" s="556" t="n"/>
      <c r="Q295" s="1349" t="n"/>
    </row>
    <row r="296" outlineLevel="1" ht="14.4" customHeight="1">
      <c r="A296" s="414">
        <f>'01_Preço'!$A$167</f>
        <v/>
      </c>
      <c r="B296" s="389">
        <f>'01_Preço'!A174</f>
        <v/>
      </c>
      <c r="C296" s="389">
        <f>'01_Preço'!B174</f>
        <v/>
      </c>
      <c r="D296" s="423" t="inlineStr">
        <is>
          <t>Reforma do gerador</t>
        </is>
      </c>
      <c r="E296" s="730" t="n">
        <v>26</v>
      </c>
      <c r="F296" s="1339">
        <f>VLOOKUP(E296,'Tabela de mês'!$A$1:$B$70,2,TRUE)</f>
        <v/>
      </c>
      <c r="G296" s="510" t="inlineStr">
        <is>
          <t>136-SER</t>
        </is>
      </c>
      <c r="H296" s="163" t="inlineStr">
        <is>
          <t>INSIGHT</t>
        </is>
      </c>
      <c r="I296" s="163" t="inlineStr">
        <is>
          <t>INSIGHT</t>
        </is>
      </c>
      <c r="J296" s="163" t="n"/>
      <c r="K296" s="163" t="n"/>
      <c r="L296" s="342" t="inlineStr">
        <is>
          <t>Transferência do rotor do gerado para a área de montagem da usina da 1ª UF</t>
        </is>
      </c>
      <c r="M296" s="391">
        <f>O296/$O$295</f>
        <v/>
      </c>
      <c r="N296" s="1340" t="n"/>
      <c r="O296" s="1340" t="n">
        <v>82407.47</v>
      </c>
      <c r="P296" s="561" t="n"/>
      <c r="Q296" s="1341" t="n"/>
    </row>
    <row r="297" outlineLevel="1" ht="14.4" customHeight="1">
      <c r="A297" s="668">
        <f>'01_Preço'!$A$167</f>
        <v/>
      </c>
      <c r="B297" s="417">
        <f>'01_Preço'!A174</f>
        <v/>
      </c>
      <c r="C297" s="161">
        <f>'01_Preço'!B174</f>
        <v/>
      </c>
      <c r="D297" s="162" t="inlineStr">
        <is>
          <t>Reforma do gerador</t>
        </is>
      </c>
      <c r="E297" s="453" t="n">
        <v>37</v>
      </c>
      <c r="F297" s="1343">
        <f>VLOOKUP(E297,'Tabela de mês'!$A$1:$B$70,2,TRUE)</f>
        <v/>
      </c>
      <c r="G297" s="513" t="inlineStr">
        <is>
          <t>137-SER</t>
        </is>
      </c>
      <c r="H297" s="161" t="inlineStr">
        <is>
          <t>INSIGHT</t>
        </is>
      </c>
      <c r="I297" s="161" t="inlineStr">
        <is>
          <t>INSIGHT</t>
        </is>
      </c>
      <c r="J297" s="161" t="n"/>
      <c r="K297" s="161" t="n"/>
      <c r="L297" s="164" t="inlineStr">
        <is>
          <t>Transferência do rotor do gerado para a área de montagem da usina da 2ª UF</t>
        </is>
      </c>
      <c r="M297" s="416">
        <f>O297/$O$295</f>
        <v/>
      </c>
      <c r="N297" s="1344" t="n"/>
      <c r="O297" s="1373" t="n">
        <v>82407.47</v>
      </c>
      <c r="P297" s="561" t="n"/>
      <c r="Q297" s="1341" t="n"/>
    </row>
    <row r="298" outlineLevel="1" ht="27.6" customFormat="1" customHeight="1" s="166">
      <c r="A298" s="466">
        <f>'01_Preço'!$A$167</f>
        <v/>
      </c>
      <c r="B298" s="441">
        <f>'01_Preço'!A176</f>
        <v/>
      </c>
      <c r="C298" s="467">
        <f>'01_Preço'!B176</f>
        <v/>
      </c>
      <c r="D298" s="442" t="inlineStr">
        <is>
          <t>Reforma do gerador</t>
        </is>
      </c>
      <c r="E298" s="462" t="n"/>
      <c r="F298" s="462" t="n"/>
      <c r="G298" s="441" t="n"/>
      <c r="H298" s="441" t="n"/>
      <c r="I298" s="441" t="n"/>
      <c r="J298" s="441" t="n"/>
      <c r="K298" s="441" t="n"/>
      <c r="L298" s="442">
        <f>'01_Preço'!E176</f>
        <v/>
      </c>
      <c r="M298" s="446">
        <f>O298/$N$274</f>
        <v/>
      </c>
      <c r="N298" s="1365" t="n"/>
      <c r="O298" s="1349">
        <f>SUM(O299:O300)</f>
        <v/>
      </c>
      <c r="P298" s="556" t="n"/>
      <c r="Q298" s="1349" t="n"/>
    </row>
    <row r="299" outlineLevel="1" ht="27.6" customHeight="1">
      <c r="A299" s="393">
        <f>'01_Preço'!$A$167</f>
        <v/>
      </c>
      <c r="B299" s="389">
        <f>'01_Preço'!A176</f>
        <v/>
      </c>
      <c r="C299" s="163">
        <f>'01_Preço'!B176</f>
        <v/>
      </c>
      <c r="D299" s="167" t="inlineStr">
        <is>
          <t>Reforma do gerador</t>
        </is>
      </c>
      <c r="E299" s="453" t="n">
        <v>28</v>
      </c>
      <c r="F299" s="1343">
        <f>VLOOKUP(E299,'Tabela de mês'!$A$1:$B$70,2,TRUE)</f>
        <v/>
      </c>
      <c r="G299" s="510" t="inlineStr">
        <is>
          <t>138-SER</t>
        </is>
      </c>
      <c r="H299" s="163" t="inlineStr">
        <is>
          <t>INSIGHT</t>
        </is>
      </c>
      <c r="I299" s="163" t="inlineStr">
        <is>
          <t>INSIGHT</t>
        </is>
      </c>
      <c r="J299" s="163" t="n"/>
      <c r="K299" s="163" t="n"/>
      <c r="L299" s="165" t="inlineStr">
        <is>
          <t>Remoção do enrolamento estatórico e desmontagem do núcleo do estator da 1ª UF</t>
        </is>
      </c>
      <c r="M299" s="416">
        <f>O299/$O$298</f>
        <v/>
      </c>
      <c r="N299" s="1344" t="n"/>
      <c r="O299" s="1373" t="n">
        <v>1204624.04</v>
      </c>
      <c r="P299" s="561" t="n">
        <v>25</v>
      </c>
      <c r="Q299" s="1341">
        <f>O299*0.7</f>
        <v/>
      </c>
    </row>
    <row r="300" outlineLevel="1" ht="27.6" customHeight="1">
      <c r="A300" s="393">
        <f>'01_Preço'!$A$167</f>
        <v/>
      </c>
      <c r="B300" s="389">
        <f>'01_Preço'!A176</f>
        <v/>
      </c>
      <c r="C300" s="163">
        <f>'01_Preço'!B176</f>
        <v/>
      </c>
      <c r="D300" s="167" t="inlineStr">
        <is>
          <t>Reforma do gerador</t>
        </is>
      </c>
      <c r="E300" s="453" t="n">
        <v>39</v>
      </c>
      <c r="F300" s="1343">
        <f>VLOOKUP(E300,'Tabela de mês'!$A$1:$B$70,2,TRUE)</f>
        <v/>
      </c>
      <c r="G300" s="510" t="inlineStr">
        <is>
          <t>139-SER</t>
        </is>
      </c>
      <c r="H300" s="163" t="inlineStr">
        <is>
          <t>INSIGHT</t>
        </is>
      </c>
      <c r="I300" s="163" t="inlineStr">
        <is>
          <t>INSIGHT</t>
        </is>
      </c>
      <c r="J300" s="163" t="n"/>
      <c r="K300" s="163" t="n"/>
      <c r="L300" s="165" t="inlineStr">
        <is>
          <t>Remoção do enrolamento estatórico e desmontagem do núcleo do estator da 2ª UF</t>
        </is>
      </c>
      <c r="M300" s="416">
        <f>O300/$O$298</f>
        <v/>
      </c>
      <c r="N300" s="1344" t="n"/>
      <c r="O300" s="1373" t="n">
        <v>1204624.04</v>
      </c>
      <c r="P300" s="561" t="n">
        <v>37</v>
      </c>
      <c r="Q300" s="1341">
        <f>O300*0.7</f>
        <v/>
      </c>
    </row>
    <row r="301" outlineLevel="1" ht="27.6" customFormat="1" customHeight="1" s="166">
      <c r="A301" s="466">
        <f>'01_Preço'!$A$167</f>
        <v/>
      </c>
      <c r="B301" s="441">
        <f>'01_Preço'!A178</f>
        <v/>
      </c>
      <c r="C301" s="467">
        <f>'01_Preço'!B178</f>
        <v/>
      </c>
      <c r="D301" s="442" t="inlineStr">
        <is>
          <t>Reforma do gerador</t>
        </is>
      </c>
      <c r="E301" s="462" t="n"/>
      <c r="F301" s="462" t="n"/>
      <c r="G301" s="441" t="n"/>
      <c r="H301" s="441" t="n"/>
      <c r="I301" s="441" t="n"/>
      <c r="J301" s="441" t="n"/>
      <c r="K301" s="441" t="n"/>
      <c r="L301" s="442">
        <f>'01_Preço'!E178</f>
        <v/>
      </c>
      <c r="M301" s="446">
        <f>O301/$N$274</f>
        <v/>
      </c>
      <c r="N301" s="1365" t="n"/>
      <c r="O301" s="1349">
        <f>SUM(O302:O303)</f>
        <v/>
      </c>
      <c r="P301" s="556" t="n"/>
      <c r="Q301" s="1349" t="n"/>
    </row>
    <row r="302" outlineLevel="1" ht="14.4" customHeight="1">
      <c r="A302" s="393">
        <f>'01_Preço'!$A$167</f>
        <v/>
      </c>
      <c r="B302" s="389">
        <f>'01_Preço'!A178</f>
        <v/>
      </c>
      <c r="C302" s="163">
        <f>'01_Preço'!B178</f>
        <v/>
      </c>
      <c r="D302" s="167" t="inlineStr">
        <is>
          <t>Reforma do gerador</t>
        </is>
      </c>
      <c r="E302" s="453" t="n">
        <v>28</v>
      </c>
      <c r="F302" s="1343">
        <f>VLOOKUP(E302,'Tabela de mês'!$A$1:$B$54,2,TRUE)</f>
        <v/>
      </c>
      <c r="G302" s="511" t="inlineStr">
        <is>
          <t>140-SER</t>
        </is>
      </c>
      <c r="H302" s="163" t="inlineStr">
        <is>
          <t>INSIGHT</t>
        </is>
      </c>
      <c r="I302" s="163" t="inlineStr">
        <is>
          <t>INSIGHT</t>
        </is>
      </c>
      <c r="J302" s="163" t="n"/>
      <c r="K302" s="163" t="n"/>
      <c r="L302" s="165" t="inlineStr">
        <is>
          <t>Remoção dos polos do rotor, embalagem e o transporte para a fábrica 1ª UF</t>
        </is>
      </c>
      <c r="M302" s="416">
        <f>O302/$O$301</f>
        <v/>
      </c>
      <c r="N302" s="1344" t="n"/>
      <c r="O302" s="1373" t="n">
        <v>174467.51</v>
      </c>
      <c r="P302" s="561" t="n"/>
      <c r="Q302" s="1341" t="n"/>
    </row>
    <row r="303" outlineLevel="1" ht="14.4" customHeight="1">
      <c r="A303" s="393">
        <f>'01_Preço'!$A$167</f>
        <v/>
      </c>
      <c r="B303" s="389">
        <f>'01_Preço'!A178</f>
        <v/>
      </c>
      <c r="C303" s="163">
        <f>'01_Preço'!B178</f>
        <v/>
      </c>
      <c r="D303" s="167" t="inlineStr">
        <is>
          <t>Reforma do gerador</t>
        </is>
      </c>
      <c r="E303" s="453" t="n">
        <v>39</v>
      </c>
      <c r="F303" s="1343">
        <f>VLOOKUP(E303,'Tabela de mês'!$A$1:$B$54,2,TRUE)</f>
        <v/>
      </c>
      <c r="G303" s="511" t="inlineStr">
        <is>
          <t>141-SER</t>
        </is>
      </c>
      <c r="H303" s="163" t="inlineStr">
        <is>
          <t>INSIGHT</t>
        </is>
      </c>
      <c r="I303" s="163" t="inlineStr">
        <is>
          <t>INSIGHT</t>
        </is>
      </c>
      <c r="J303" s="163" t="n"/>
      <c r="K303" s="163" t="n"/>
      <c r="L303" s="165" t="inlineStr">
        <is>
          <t>Remoção dos polos do rotor, embalagem e o transporte para a fábrica 2ª UF</t>
        </is>
      </c>
      <c r="M303" s="416">
        <f>O303/$O$301</f>
        <v/>
      </c>
      <c r="N303" s="1344" t="n"/>
      <c r="O303" s="1373" t="n">
        <v>174467.51</v>
      </c>
      <c r="P303" s="561" t="n"/>
      <c r="Q303" s="1341" t="n"/>
    </row>
    <row r="304" outlineLevel="1" ht="27.6" customFormat="1" customHeight="1" s="166">
      <c r="A304" s="682">
        <f>'01_Preço'!$A$167</f>
        <v/>
      </c>
      <c r="B304" s="683">
        <f>'01_Preço'!A180</f>
        <v/>
      </c>
      <c r="C304" s="486">
        <f>'01_Preço'!B180</f>
        <v/>
      </c>
      <c r="D304" s="684" t="inlineStr">
        <is>
          <t>Reforma do gerador</t>
        </is>
      </c>
      <c r="E304" s="721" t="n"/>
      <c r="F304" s="721" t="n"/>
      <c r="G304" s="683" t="n"/>
      <c r="H304" s="683" t="n"/>
      <c r="I304" s="683" t="n"/>
      <c r="J304" s="683" t="n"/>
      <c r="K304" s="683" t="n"/>
      <c r="L304" s="684">
        <f>'01_Preço'!E180</f>
        <v/>
      </c>
      <c r="M304" s="679">
        <f>O304/$N$274</f>
        <v/>
      </c>
      <c r="N304" s="1369" t="n"/>
      <c r="O304" s="1354">
        <f>SUM(O305:O306)</f>
        <v/>
      </c>
      <c r="P304" s="556" t="n"/>
      <c r="Q304" s="1349" t="n"/>
    </row>
    <row r="305" outlineLevel="1" ht="14.4" customHeight="1">
      <c r="A305" s="414">
        <f>'01_Preço'!$A$167</f>
        <v/>
      </c>
      <c r="B305" s="389">
        <f>'01_Preço'!A180</f>
        <v/>
      </c>
      <c r="C305" s="389">
        <f>'01_Preço'!B180</f>
        <v/>
      </c>
      <c r="D305" s="423" t="inlineStr">
        <is>
          <t>Reforma do gerador</t>
        </is>
      </c>
      <c r="E305" s="730" t="n">
        <v>20</v>
      </c>
      <c r="F305" s="1339">
        <f>VLOOKUP(E305,'Tabela de mês'!$A$1:$B$70,2,TRUE)</f>
        <v/>
      </c>
      <c r="G305" s="511" t="inlineStr">
        <is>
          <t>142-SER</t>
        </is>
      </c>
      <c r="H305" s="163" t="inlineStr">
        <is>
          <t>INSIGHT</t>
        </is>
      </c>
      <c r="I305" s="163" t="inlineStr">
        <is>
          <t>INSIGHT</t>
        </is>
      </c>
      <c r="J305" s="163" t="n"/>
      <c r="K305" s="163" t="n"/>
      <c r="L305" s="342" t="inlineStr">
        <is>
          <t>Análise estrutural da carcaça do gerador da 1ª UF</t>
        </is>
      </c>
      <c r="M305" s="391">
        <f>O305/$O$304</f>
        <v/>
      </c>
      <c r="N305" s="1340" t="n"/>
      <c r="O305" s="1340" t="n">
        <v>2040489.05</v>
      </c>
      <c r="P305" s="561" t="n">
        <v>20</v>
      </c>
      <c r="Q305" s="1341">
        <f>O305*0.8</f>
        <v/>
      </c>
    </row>
    <row r="306" outlineLevel="1" ht="14.4" customHeight="1">
      <c r="A306" s="668">
        <f>'01_Preço'!$A$167</f>
        <v/>
      </c>
      <c r="B306" s="417">
        <f>'01_Preço'!A180</f>
        <v/>
      </c>
      <c r="C306" s="161">
        <f>'01_Preço'!B180</f>
        <v/>
      </c>
      <c r="D306" s="162" t="inlineStr">
        <is>
          <t>Reforma do gerador</t>
        </is>
      </c>
      <c r="E306" s="453" t="n">
        <v>28</v>
      </c>
      <c r="F306" s="1343">
        <f>VLOOKUP(E306,'Tabela de mês'!$A$1:$B$70,2,TRUE)</f>
        <v/>
      </c>
      <c r="G306" s="513" t="inlineStr">
        <is>
          <t>143-SER</t>
        </is>
      </c>
      <c r="H306" s="161" t="inlineStr">
        <is>
          <t>INSIGHT</t>
        </is>
      </c>
      <c r="I306" s="161" t="inlineStr">
        <is>
          <t>INSIGHT</t>
        </is>
      </c>
      <c r="J306" s="161" t="n"/>
      <c r="K306" s="161" t="n"/>
      <c r="L306" s="422" t="inlineStr">
        <is>
          <t>Análise estrutural da carcaça do gerador da 2ª UF</t>
        </is>
      </c>
      <c r="M306" s="416">
        <f>O306/$O$304</f>
        <v/>
      </c>
      <c r="N306" s="1344" t="n"/>
      <c r="O306" s="1373" t="n">
        <v>2040489.05</v>
      </c>
      <c r="P306" s="561" t="n">
        <v>26</v>
      </c>
      <c r="Q306" s="1341">
        <f>O306*0.4</f>
        <v/>
      </c>
    </row>
    <row r="307" outlineLevel="1" ht="27.6" customFormat="1" customHeight="1" s="166">
      <c r="A307" s="466">
        <f>'01_Preço'!$A$167</f>
        <v/>
      </c>
      <c r="B307" s="441">
        <f>'01_Preço'!A182</f>
        <v/>
      </c>
      <c r="C307" s="467">
        <f>'01_Preço'!B182</f>
        <v/>
      </c>
      <c r="D307" s="442" t="inlineStr">
        <is>
          <t>Reforma do gerador</t>
        </is>
      </c>
      <c r="E307" s="462" t="n"/>
      <c r="F307" s="462" t="n"/>
      <c r="G307" s="441" t="n"/>
      <c r="H307" s="441" t="n"/>
      <c r="I307" s="441" t="n"/>
      <c r="J307" s="441" t="n"/>
      <c r="K307" s="441" t="n"/>
      <c r="L307" s="442">
        <f>'01_Preço'!E182</f>
        <v/>
      </c>
      <c r="M307" s="446">
        <f>O307/$N$274</f>
        <v/>
      </c>
      <c r="N307" s="1365" t="n"/>
      <c r="O307" s="1349">
        <f>SUM(O308:O309)</f>
        <v/>
      </c>
      <c r="P307" s="556" t="n"/>
      <c r="Q307" s="1349" t="n"/>
    </row>
    <row r="308" outlineLevel="1" ht="27.6" customHeight="1">
      <c r="A308" s="393">
        <f>'01_Preço'!$A$167</f>
        <v/>
      </c>
      <c r="B308" s="465">
        <f>'01_Preço'!A182</f>
        <v/>
      </c>
      <c r="C308" s="163">
        <f>'01_Preço'!B182</f>
        <v/>
      </c>
      <c r="D308" s="167" t="inlineStr">
        <is>
          <t>Reforma do gerador</t>
        </is>
      </c>
      <c r="E308" s="453" t="n">
        <v>32</v>
      </c>
      <c r="F308" s="1343">
        <f>VLOOKUP(E308,'Tabela de mês'!$A$1:$B$70,2,TRUE)</f>
        <v/>
      </c>
      <c r="G308" s="511" t="inlineStr">
        <is>
          <t>160-SER</t>
        </is>
      </c>
      <c r="H308" s="163" t="inlineStr">
        <is>
          <t>INSIGHT</t>
        </is>
      </c>
      <c r="I308" s="163" t="inlineStr">
        <is>
          <t>INSIGHT</t>
        </is>
      </c>
      <c r="J308" s="163" t="n"/>
      <c r="K308" s="163" t="n"/>
      <c r="L308" s="165" t="inlineStr">
        <is>
          <t>Conclusão do reisolamento do enrolamento dos pólos com materiais de classe F ou superior do gerador da 1ª UF</t>
        </is>
      </c>
      <c r="M308" s="416">
        <f>O308/$O$307</f>
        <v/>
      </c>
      <c r="N308" s="1344" t="n"/>
      <c r="O308" s="1373" t="n">
        <v>3118509.54</v>
      </c>
      <c r="P308" s="561" t="n">
        <v>26</v>
      </c>
      <c r="Q308" s="1341">
        <f>O308*0.5</f>
        <v/>
      </c>
    </row>
    <row r="309" outlineLevel="1" ht="27.6" customHeight="1">
      <c r="A309" s="393">
        <f>'01_Preço'!$A$167</f>
        <v/>
      </c>
      <c r="B309" s="465">
        <f>'01_Preço'!A182</f>
        <v/>
      </c>
      <c r="C309" s="163">
        <f>'01_Preço'!B182</f>
        <v/>
      </c>
      <c r="D309" s="167" t="inlineStr">
        <is>
          <t>Reforma do gerador</t>
        </is>
      </c>
      <c r="E309" s="453" t="n">
        <v>44</v>
      </c>
      <c r="F309" s="1343">
        <f>VLOOKUP(E309,'Tabela de mês'!$A$1:$B$70,2,TRUE)</f>
        <v/>
      </c>
      <c r="G309" s="511" t="inlineStr">
        <is>
          <t>161-SER</t>
        </is>
      </c>
      <c r="H309" s="163" t="inlineStr">
        <is>
          <t>INSIGHT</t>
        </is>
      </c>
      <c r="I309" s="163" t="inlineStr">
        <is>
          <t>INSIGHT</t>
        </is>
      </c>
      <c r="J309" s="163" t="n"/>
      <c r="K309" s="163" t="n"/>
      <c r="L309" s="165" t="inlineStr">
        <is>
          <t>Conclusão do reisolamento do enrolamento dos pólos com materiais de classe F ou superior do gerador da 2ª UF</t>
        </is>
      </c>
      <c r="M309" s="416">
        <f>O309/$O$307</f>
        <v/>
      </c>
      <c r="N309" s="1344" t="n"/>
      <c r="O309" s="1373" t="n">
        <v>3118509.54</v>
      </c>
      <c r="P309" s="561" t="n">
        <v>37</v>
      </c>
      <c r="Q309" s="1341">
        <f>O309*0.5</f>
        <v/>
      </c>
    </row>
    <row r="310" outlineLevel="1" ht="27.6" customFormat="1" customHeight="1" s="166">
      <c r="A310" s="466">
        <f>'01_Preço'!$A$167</f>
        <v/>
      </c>
      <c r="B310" s="441">
        <f>'01_Preço'!A184</f>
        <v/>
      </c>
      <c r="C310" s="467">
        <f>'01_Preço'!B184</f>
        <v/>
      </c>
      <c r="D310" s="442" t="inlineStr">
        <is>
          <t>Reforma do gerador</t>
        </is>
      </c>
      <c r="E310" s="462" t="n"/>
      <c r="F310" s="462" t="n"/>
      <c r="G310" s="441" t="n"/>
      <c r="H310" s="441" t="n"/>
      <c r="I310" s="441" t="n"/>
      <c r="J310" s="441" t="n"/>
      <c r="K310" s="441" t="n"/>
      <c r="L310" s="442">
        <f>'01_Preço'!E184</f>
        <v/>
      </c>
      <c r="M310" s="446">
        <f>O310/$N$274</f>
        <v/>
      </c>
      <c r="N310" s="1365" t="n"/>
      <c r="O310" s="1349">
        <f>SUM(O311:O312)</f>
        <v/>
      </c>
      <c r="P310" s="556" t="n"/>
      <c r="Q310" s="1349" t="n"/>
    </row>
    <row r="311" outlineLevel="1" ht="27.6" customHeight="1">
      <c r="A311" s="393">
        <f>'01_Preço'!$A$167</f>
        <v/>
      </c>
      <c r="B311" s="465">
        <f>'01_Preço'!A184</f>
        <v/>
      </c>
      <c r="C311" s="163">
        <f>'01_Preço'!B184</f>
        <v/>
      </c>
      <c r="D311" s="167" t="inlineStr">
        <is>
          <t>Reforma do gerador</t>
        </is>
      </c>
      <c r="E311" s="453" t="n">
        <v>27</v>
      </c>
      <c r="F311" s="1343">
        <f>VLOOKUP(E311,'Tabela de mês'!$A$1:$B$70,2,TRUE)</f>
        <v/>
      </c>
      <c r="G311" s="511" t="inlineStr">
        <is>
          <t>162-SER</t>
        </is>
      </c>
      <c r="H311" s="163" t="inlineStr">
        <is>
          <t>INSIGHT</t>
        </is>
      </c>
      <c r="I311" s="163" t="inlineStr">
        <is>
          <t>INSIGHT</t>
        </is>
      </c>
      <c r="J311" s="163" t="n"/>
      <c r="K311" s="163" t="n"/>
      <c r="L311" s="165" t="inlineStr">
        <is>
          <t>Conclusão do empilhamento do núcleo do estator e preparação para o enrolamento novo do gerador da 1ª UF</t>
        </is>
      </c>
      <c r="M311" s="416">
        <f>O311/$O$310</f>
        <v/>
      </c>
      <c r="N311" s="1344" t="n"/>
      <c r="O311" s="1373" t="n">
        <v>391632.34</v>
      </c>
      <c r="P311" s="561" t="n">
        <v>24</v>
      </c>
      <c r="Q311" s="1341">
        <f>O311*0.5</f>
        <v/>
      </c>
    </row>
    <row r="312" outlineLevel="1" ht="27.6" customHeight="1">
      <c r="A312" s="393">
        <f>'01_Preço'!$A$167</f>
        <v/>
      </c>
      <c r="B312" s="465">
        <f>'01_Preço'!A184</f>
        <v/>
      </c>
      <c r="C312" s="163">
        <f>'01_Preço'!B184</f>
        <v/>
      </c>
      <c r="D312" s="167" t="inlineStr">
        <is>
          <t>Reforma do gerador</t>
        </is>
      </c>
      <c r="E312" s="453" t="n">
        <v>40</v>
      </c>
      <c r="F312" s="1343">
        <f>VLOOKUP(E312,'Tabela de mês'!$A$1:$B$70,2,TRUE)</f>
        <v/>
      </c>
      <c r="G312" s="511" t="inlineStr">
        <is>
          <t>163-SER</t>
        </is>
      </c>
      <c r="H312" s="163" t="inlineStr">
        <is>
          <t>INSIGHT</t>
        </is>
      </c>
      <c r="I312" s="163" t="inlineStr">
        <is>
          <t>INSIGHT</t>
        </is>
      </c>
      <c r="J312" s="163" t="n"/>
      <c r="K312" s="163" t="n"/>
      <c r="L312" s="165" t="inlineStr">
        <is>
          <t>Conclusão do empilhamento do núcleo do estator e preparação para o enrolamento novo do gerador da 2ª UF</t>
        </is>
      </c>
      <c r="M312" s="416">
        <f>O312/$O$310</f>
        <v/>
      </c>
      <c r="N312" s="1344" t="n"/>
      <c r="O312" s="1373" t="n">
        <v>391632.34</v>
      </c>
      <c r="P312" s="561" t="n">
        <v>37</v>
      </c>
      <c r="Q312" s="1341">
        <f>O312*0.5</f>
        <v/>
      </c>
    </row>
    <row r="313" outlineLevel="1" ht="14.4" customFormat="1" customHeight="1" s="166">
      <c r="A313" s="466">
        <f>'01_Preço'!$A$167</f>
        <v/>
      </c>
      <c r="B313" s="441">
        <f>'01_Preço'!A186</f>
        <v/>
      </c>
      <c r="C313" s="467">
        <f>'01_Preço'!B186</f>
        <v/>
      </c>
      <c r="D313" s="442" t="inlineStr">
        <is>
          <t>Reforma do gerador</t>
        </is>
      </c>
      <c r="E313" s="462" t="n"/>
      <c r="F313" s="462" t="n"/>
      <c r="G313" s="441" t="n"/>
      <c r="H313" s="441" t="n"/>
      <c r="I313" s="441" t="n"/>
      <c r="J313" s="441" t="n"/>
      <c r="K313" s="441" t="n"/>
      <c r="L313" s="442">
        <f>'01_Preço'!E186</f>
        <v/>
      </c>
      <c r="M313" s="446">
        <f>O313/$N$274</f>
        <v/>
      </c>
      <c r="N313" s="1365" t="n"/>
      <c r="O313" s="1349">
        <f>SUM(O314:O315)</f>
        <v/>
      </c>
      <c r="P313" s="556" t="n"/>
      <c r="Q313" s="1349" t="n"/>
    </row>
    <row r="314" outlineLevel="1" ht="14.4" customHeight="1">
      <c r="A314" s="393">
        <f>'01_Preço'!$A$167</f>
        <v/>
      </c>
      <c r="B314" s="465">
        <f>'01_Preço'!A186</f>
        <v/>
      </c>
      <c r="C314" s="163">
        <f>'01_Preço'!B186</f>
        <v/>
      </c>
      <c r="D314" s="167" t="inlineStr">
        <is>
          <t>Reforma do gerador</t>
        </is>
      </c>
      <c r="E314" s="453" t="n">
        <v>34</v>
      </c>
      <c r="F314" s="1343">
        <f>VLOOKUP(E314,'Tabela de mês'!$A$1:$B$70,2,TRUE)</f>
        <v/>
      </c>
      <c r="G314" s="510" t="inlineStr">
        <is>
          <t>164-SER</t>
        </is>
      </c>
      <c r="H314" s="163" t="inlineStr">
        <is>
          <t>INSIGHT</t>
        </is>
      </c>
      <c r="I314" s="163" t="inlineStr">
        <is>
          <t>INSIGHT</t>
        </is>
      </c>
      <c r="J314" s="163" t="n"/>
      <c r="K314" s="163" t="n"/>
      <c r="L314" s="165" t="inlineStr">
        <is>
          <t>Conclusão da montagem do novo enrolamento estatórico do gerador da 1ª UF</t>
        </is>
      </c>
      <c r="M314" s="416">
        <f>O314/$O$313</f>
        <v/>
      </c>
      <c r="N314" s="1344" t="n"/>
      <c r="O314" s="1373" t="n">
        <v>1872617.97</v>
      </c>
      <c r="P314" s="561" t="n"/>
      <c r="Q314" s="1341" t="n"/>
    </row>
    <row r="315" outlineLevel="1" ht="14.4" customHeight="1">
      <c r="A315" s="393">
        <f>'01_Preço'!$A$167</f>
        <v/>
      </c>
      <c r="B315" s="465">
        <f>'01_Preço'!A186</f>
        <v/>
      </c>
      <c r="C315" s="163">
        <f>'01_Preço'!B186</f>
        <v/>
      </c>
      <c r="D315" s="167" t="inlineStr">
        <is>
          <t>Reforma do gerador</t>
        </is>
      </c>
      <c r="E315" s="453" t="n">
        <v>46</v>
      </c>
      <c r="F315" s="1343">
        <f>VLOOKUP(E315,'Tabela de mês'!$A$1:$B$70,2,TRUE)</f>
        <v/>
      </c>
      <c r="G315" s="510" t="inlineStr">
        <is>
          <t>165-SER</t>
        </is>
      </c>
      <c r="H315" s="163" t="inlineStr">
        <is>
          <t>INSIGHT</t>
        </is>
      </c>
      <c r="I315" s="163" t="inlineStr">
        <is>
          <t>INSIGHT</t>
        </is>
      </c>
      <c r="J315" s="163" t="n"/>
      <c r="K315" s="163" t="n"/>
      <c r="L315" s="165" t="inlineStr">
        <is>
          <t>Conclusão da montagem do novo enrolamento estatórico do gerador da 2ª UF</t>
        </is>
      </c>
      <c r="M315" s="416">
        <f>O315/$O$313</f>
        <v/>
      </c>
      <c r="N315" s="1344" t="n"/>
      <c r="O315" s="1373" t="n">
        <v>1872617.97</v>
      </c>
      <c r="P315" s="561" t="n"/>
      <c r="Q315" s="1341" t="n"/>
    </row>
    <row r="316" outlineLevel="1" ht="14.4" customFormat="1" customHeight="1" s="166">
      <c r="A316" s="466">
        <f>'01_Preço'!$A$167</f>
        <v/>
      </c>
      <c r="B316" s="441">
        <f>'01_Preço'!A188</f>
        <v/>
      </c>
      <c r="C316" s="467">
        <f>'01_Preço'!B188</f>
        <v/>
      </c>
      <c r="D316" s="442" t="inlineStr">
        <is>
          <t>Reforma do gerador</t>
        </is>
      </c>
      <c r="E316" s="462" t="n"/>
      <c r="F316" s="462" t="n"/>
      <c r="G316" s="441" t="n"/>
      <c r="H316" s="441" t="n"/>
      <c r="I316" s="441" t="n"/>
      <c r="J316" s="441" t="n"/>
      <c r="K316" s="441" t="n"/>
      <c r="L316" s="442">
        <f>'01_Preço'!E188</f>
        <v/>
      </c>
      <c r="M316" s="446">
        <f>O316/$N$274</f>
        <v/>
      </c>
      <c r="N316" s="1365" t="n"/>
      <c r="O316" s="1349">
        <f>SUM(O317:O318)</f>
        <v/>
      </c>
      <c r="P316" s="556" t="n"/>
      <c r="Q316" s="1349" t="n"/>
    </row>
    <row r="317" outlineLevel="1" ht="14.4" customHeight="1">
      <c r="A317" s="393">
        <f>'01_Preço'!$A$167</f>
        <v/>
      </c>
      <c r="B317" s="465">
        <f>'01_Preço'!A188</f>
        <v/>
      </c>
      <c r="C317" s="163">
        <f>'01_Preço'!B188</f>
        <v/>
      </c>
      <c r="D317" s="167" t="inlineStr">
        <is>
          <t>Reforma do gerador</t>
        </is>
      </c>
      <c r="E317" s="453" t="n">
        <v>34</v>
      </c>
      <c r="F317" s="1343">
        <f>VLOOKUP(E317,'Tabela de mês'!$A$1:$B$70,2,TRUE)</f>
        <v/>
      </c>
      <c r="G317" s="511" t="inlineStr">
        <is>
          <t>166-SER</t>
        </is>
      </c>
      <c r="H317" s="163" t="inlineStr">
        <is>
          <t>INSIGHT</t>
        </is>
      </c>
      <c r="I317" s="163" t="inlineStr">
        <is>
          <t>INSIGHT</t>
        </is>
      </c>
      <c r="J317" s="163" t="n"/>
      <c r="K317" s="163" t="n"/>
      <c r="L317" s="165" t="inlineStr">
        <is>
          <t>Conclusão da remontagem dos pólos no rotor do gerador da 1ª UF</t>
        </is>
      </c>
      <c r="M317" s="416">
        <f>O317/$O$316</f>
        <v/>
      </c>
      <c r="N317" s="1344" t="n"/>
      <c r="O317" s="1373" t="n">
        <v>174467.51</v>
      </c>
      <c r="P317" s="561" t="n"/>
      <c r="Q317" s="1341" t="n"/>
    </row>
    <row r="318" outlineLevel="1" ht="14.4" customHeight="1">
      <c r="A318" s="393">
        <f>'01_Preço'!$A$167</f>
        <v/>
      </c>
      <c r="B318" s="465">
        <f>'01_Preço'!A188</f>
        <v/>
      </c>
      <c r="C318" s="163">
        <f>'01_Preço'!B188</f>
        <v/>
      </c>
      <c r="D318" s="167" t="inlineStr">
        <is>
          <t>Reforma do gerador</t>
        </is>
      </c>
      <c r="E318" s="453" t="n">
        <v>46</v>
      </c>
      <c r="F318" s="1343">
        <f>VLOOKUP(E318,'Tabela de mês'!$A$1:$B$70,2,TRUE)</f>
        <v/>
      </c>
      <c r="G318" s="511" t="inlineStr">
        <is>
          <t>167-SER</t>
        </is>
      </c>
      <c r="H318" s="163" t="inlineStr">
        <is>
          <t>INSIGHT</t>
        </is>
      </c>
      <c r="I318" s="163" t="inlineStr">
        <is>
          <t>INSIGHT</t>
        </is>
      </c>
      <c r="J318" s="163" t="n"/>
      <c r="K318" s="163" t="n"/>
      <c r="L318" s="165" t="inlineStr">
        <is>
          <t>Conclusão da remontagem dos pólos no rotor do gerador da 2ª UF</t>
        </is>
      </c>
      <c r="M318" s="416">
        <f>O318/$O$316</f>
        <v/>
      </c>
      <c r="N318" s="1344" t="n"/>
      <c r="O318" s="1373" t="n">
        <v>174467.51</v>
      </c>
      <c r="P318" s="561" t="n"/>
      <c r="Q318" s="1341" t="n"/>
    </row>
    <row r="319" outlineLevel="1" ht="41.4" customFormat="1" customHeight="1" s="166">
      <c r="A319" s="466">
        <f>'01_Preço'!$A$167</f>
        <v/>
      </c>
      <c r="B319" s="441">
        <f>'01_Preço'!A190</f>
        <v/>
      </c>
      <c r="C319" s="467">
        <f>'01_Preço'!B190</f>
        <v/>
      </c>
      <c r="D319" s="442" t="inlineStr">
        <is>
          <t>Reforma do gerador</t>
        </is>
      </c>
      <c r="E319" s="462" t="n"/>
      <c r="F319" s="462" t="n"/>
      <c r="G319" s="441" t="n"/>
      <c r="H319" s="441" t="n"/>
      <c r="I319" s="441" t="n"/>
      <c r="J319" s="441" t="n"/>
      <c r="K319" s="441" t="n"/>
      <c r="L319" s="442">
        <f>'01_Preço'!E190</f>
        <v/>
      </c>
      <c r="M319" s="446">
        <f>O319/$N$274</f>
        <v/>
      </c>
      <c r="N319" s="1365" t="n"/>
      <c r="O319" s="1349">
        <f>SUM(O320:O321)</f>
        <v/>
      </c>
      <c r="P319" s="556" t="n"/>
      <c r="Q319" s="1349" t="n"/>
    </row>
    <row r="320" outlineLevel="1" ht="41.4" customHeight="1">
      <c r="A320" s="393">
        <f>'01_Preço'!$A$167</f>
        <v/>
      </c>
      <c r="B320" s="465">
        <f>'01_Preço'!A190</f>
        <v/>
      </c>
      <c r="C320" s="163">
        <f>'01_Preço'!B190</f>
        <v/>
      </c>
      <c r="D320" s="167" t="inlineStr">
        <is>
          <t>Reforma do gerador</t>
        </is>
      </c>
      <c r="E320" s="453" t="n">
        <v>34</v>
      </c>
      <c r="F320" s="1343">
        <f>VLOOKUP(E320,'Tabela de mês'!$A$1:$B$70,2,TRUE)</f>
        <v/>
      </c>
      <c r="G320" s="511" t="inlineStr">
        <is>
          <t>168-SER</t>
        </is>
      </c>
      <c r="H320" s="163" t="inlineStr">
        <is>
          <t>INSIGHT</t>
        </is>
      </c>
      <c r="I320" s="163" t="inlineStr">
        <is>
          <t>INSIGHT</t>
        </is>
      </c>
      <c r="J320" s="163" t="n"/>
      <c r="K320" s="163" t="n"/>
      <c r="L320" s="342" t="inlineStr">
        <is>
          <t>Transferência do rotor para o poço do gerador, verificação e conferência da circularidade e concentricidade do estator e medição de entreferro do gerador da 1ª UF</t>
        </is>
      </c>
      <c r="M320" s="416">
        <f>O320/$O$319</f>
        <v/>
      </c>
      <c r="N320" s="1344" t="n"/>
      <c r="O320" s="1373" t="n">
        <v>268118.46</v>
      </c>
      <c r="P320" s="561" t="n"/>
      <c r="Q320" s="1341" t="n"/>
    </row>
    <row r="321" outlineLevel="1" ht="41.4" customHeight="1">
      <c r="A321" s="393">
        <f>'01_Preço'!$A$167</f>
        <v/>
      </c>
      <c r="B321" s="465">
        <f>'01_Preço'!A190</f>
        <v/>
      </c>
      <c r="C321" s="163">
        <f>'01_Preço'!B190</f>
        <v/>
      </c>
      <c r="D321" s="167" t="inlineStr">
        <is>
          <t>Reforma do gerador</t>
        </is>
      </c>
      <c r="E321" s="453" t="n">
        <v>46</v>
      </c>
      <c r="F321" s="1343">
        <f>VLOOKUP(E321,'Tabela de mês'!$A$1:$B$70,2,TRUE)</f>
        <v/>
      </c>
      <c r="G321" s="511" t="inlineStr">
        <is>
          <t>169-SER</t>
        </is>
      </c>
      <c r="H321" s="163" t="inlineStr">
        <is>
          <t>INSIGHT</t>
        </is>
      </c>
      <c r="I321" s="163" t="inlineStr">
        <is>
          <t>INSIGHT</t>
        </is>
      </c>
      <c r="J321" s="163" t="n"/>
      <c r="K321" s="163" t="n"/>
      <c r="L321" s="342" t="inlineStr">
        <is>
          <t>Transferência do rotor para o poço do gerador, verificação e conferência da circularidade e concentricidade do estator e medição de entreferro do gerador da 2ª UF</t>
        </is>
      </c>
      <c r="M321" s="416">
        <f>O321/$O$319</f>
        <v/>
      </c>
      <c r="N321" s="1344" t="n"/>
      <c r="O321" s="1373" t="n">
        <v>268118.46</v>
      </c>
      <c r="P321" s="561" t="n"/>
      <c r="Q321" s="1341" t="n"/>
    </row>
    <row r="322" outlineLevel="1" ht="27.6" customFormat="1" customHeight="1" s="166">
      <c r="A322" s="466">
        <f>'01_Preço'!$A$167</f>
        <v/>
      </c>
      <c r="B322" s="441">
        <f>'01_Preço'!A192</f>
        <v/>
      </c>
      <c r="C322" s="467">
        <f>'01_Preço'!B192</f>
        <v/>
      </c>
      <c r="D322" s="442" t="inlineStr">
        <is>
          <t>Reforma do gerador</t>
        </is>
      </c>
      <c r="E322" s="462" t="n"/>
      <c r="F322" s="462" t="n"/>
      <c r="G322" s="441" t="n"/>
      <c r="H322" s="441" t="n"/>
      <c r="I322" s="441" t="n"/>
      <c r="J322" s="441" t="n"/>
      <c r="K322" s="441" t="n"/>
      <c r="L322" s="442">
        <f>'01_Preço'!E192</f>
        <v/>
      </c>
      <c r="M322" s="446">
        <f>O322/$N$274</f>
        <v/>
      </c>
      <c r="N322" s="1365" t="n"/>
      <c r="O322" s="1349">
        <f>SUM(O323:O324)</f>
        <v/>
      </c>
      <c r="P322" s="556" t="n"/>
      <c r="Q322" s="1349" t="n"/>
    </row>
    <row r="323" outlineLevel="1" ht="27.6" customHeight="1">
      <c r="A323" s="393">
        <f>'01_Preço'!$A$167</f>
        <v/>
      </c>
      <c r="B323" s="465">
        <f>'01_Preço'!A192</f>
        <v/>
      </c>
      <c r="C323" s="163">
        <f>'01_Preço'!B192</f>
        <v/>
      </c>
      <c r="D323" s="167" t="inlineStr">
        <is>
          <t>Reforma do gerador</t>
        </is>
      </c>
      <c r="E323" s="453" t="n">
        <v>34</v>
      </c>
      <c r="F323" s="1343">
        <f>VLOOKUP(E323,'Tabela de mês'!$A$1:$B$70,2,TRUE)</f>
        <v/>
      </c>
      <c r="G323" s="510" t="inlineStr">
        <is>
          <t>170-SER</t>
        </is>
      </c>
      <c r="H323" s="163" t="inlineStr">
        <is>
          <t>INSIGHT</t>
        </is>
      </c>
      <c r="I323" s="163" t="inlineStr">
        <is>
          <t>INSIGHT</t>
        </is>
      </c>
      <c r="J323" s="163" t="n"/>
      <c r="K323" s="163" t="n"/>
      <c r="L323" s="165" t="inlineStr">
        <is>
          <t>Conclusão do serviço de montagem do sistema de iluminação interna do barril e do sistema de aquecimento de máquina parada do gerador da1ª UF</t>
        </is>
      </c>
      <c r="M323" s="416">
        <f>O323/$O$322</f>
        <v/>
      </c>
      <c r="N323" s="1344" t="n"/>
      <c r="O323" s="1373" t="n">
        <v>159087.9</v>
      </c>
      <c r="P323" s="561" t="n"/>
      <c r="Q323" s="1341" t="n"/>
      <c r="U323" s="1327" t="n"/>
    </row>
    <row r="324" outlineLevel="1" ht="27.6" customHeight="1">
      <c r="A324" s="393">
        <f>'01_Preço'!$A$167</f>
        <v/>
      </c>
      <c r="B324" s="465">
        <f>'01_Preço'!A192</f>
        <v/>
      </c>
      <c r="C324" s="163">
        <f>'01_Preço'!B192</f>
        <v/>
      </c>
      <c r="D324" s="167" t="inlineStr">
        <is>
          <t>Reforma do gerador</t>
        </is>
      </c>
      <c r="E324" s="453" t="n">
        <v>46</v>
      </c>
      <c r="F324" s="1343">
        <f>VLOOKUP(E324,'Tabela de mês'!$A$1:$B$70,2,TRUE)</f>
        <v/>
      </c>
      <c r="G324" s="510" t="inlineStr">
        <is>
          <t>171-SER</t>
        </is>
      </c>
      <c r="H324" s="163" t="inlineStr">
        <is>
          <t>INSIGHT</t>
        </is>
      </c>
      <c r="I324" s="163" t="inlineStr">
        <is>
          <t>INSIGHT</t>
        </is>
      </c>
      <c r="J324" s="163" t="n"/>
      <c r="K324" s="163" t="n"/>
      <c r="L324" s="175" t="inlineStr">
        <is>
          <t>Conclusão do serviço de montagem do sistema de iluminação interna do barril e do sistema de aquecimento de máquina parada do gerador da 2ª UF</t>
        </is>
      </c>
      <c r="M324" s="416">
        <f>O324/$O$322</f>
        <v/>
      </c>
      <c r="N324" s="1344" t="n"/>
      <c r="O324" s="1373" t="n">
        <v>159087.9</v>
      </c>
      <c r="P324" s="561" t="n"/>
      <c r="Q324" s="1341" t="n"/>
    </row>
    <row r="325" outlineLevel="1" ht="27.6" customFormat="1" customHeight="1" s="166">
      <c r="A325" s="466">
        <f>'01_Preço'!$A$167</f>
        <v/>
      </c>
      <c r="B325" s="441">
        <f>'01_Preço'!A194</f>
        <v/>
      </c>
      <c r="C325" s="467">
        <f>'01_Preço'!B194</f>
        <v/>
      </c>
      <c r="D325" s="442" t="inlineStr">
        <is>
          <t>Reforma do gerador</t>
        </is>
      </c>
      <c r="E325" s="462" t="n"/>
      <c r="F325" s="462" t="n"/>
      <c r="G325" s="441" t="n"/>
      <c r="H325" s="441" t="n"/>
      <c r="I325" s="441" t="n"/>
      <c r="J325" s="441" t="n"/>
      <c r="K325" s="441" t="n"/>
      <c r="L325" s="442">
        <f>'01_Preço'!E194</f>
        <v/>
      </c>
      <c r="M325" s="446">
        <f>O325/$N$274</f>
        <v/>
      </c>
      <c r="N325" s="1365" t="n"/>
      <c r="O325" s="1349">
        <f>SUM(O326:O327)</f>
        <v/>
      </c>
      <c r="P325" s="556" t="n"/>
      <c r="Q325" s="1349" t="n"/>
    </row>
    <row r="326" outlineLevel="1" ht="27.6" customHeight="1">
      <c r="A326" s="393">
        <f>'01_Preço'!$A$167</f>
        <v/>
      </c>
      <c r="B326" s="465">
        <f>'01_Preço'!A194</f>
        <v/>
      </c>
      <c r="C326" s="163">
        <f>'01_Preço'!B194</f>
        <v/>
      </c>
      <c r="D326" s="167" t="inlineStr">
        <is>
          <t>Reforma do gerador</t>
        </is>
      </c>
      <c r="E326" s="453" t="n">
        <v>34</v>
      </c>
      <c r="F326" s="1343">
        <f>VLOOKUP(E326,'Tabela de mês'!$A$1:$B$70,2,TRUE)</f>
        <v/>
      </c>
      <c r="G326" s="511" t="inlineStr">
        <is>
          <t>172-SER</t>
        </is>
      </c>
      <c r="H326" s="163" t="inlineStr">
        <is>
          <t>INSIGHT</t>
        </is>
      </c>
      <c r="I326" s="163" t="inlineStr">
        <is>
          <t>INSIGHT</t>
        </is>
      </c>
      <c r="J326" s="163" t="n"/>
      <c r="K326" s="163" t="n"/>
      <c r="L326" s="175" t="inlineStr">
        <is>
          <t>Verificação do alinhamento da unidade, execução dos ajustes necessários e testes de “run-out” nas partes rotativas do gerador da 1ª UF</t>
        </is>
      </c>
      <c r="M326" s="416">
        <f>O326/$O$325</f>
        <v/>
      </c>
      <c r="N326" s="1344" t="n"/>
      <c r="O326" s="1373" t="n">
        <v>194368.44</v>
      </c>
      <c r="P326" s="561" t="n"/>
      <c r="Q326" s="1341" t="n"/>
    </row>
    <row r="327" outlineLevel="1" ht="27.6" customHeight="1">
      <c r="A327" s="393">
        <f>'01_Preço'!$A$167</f>
        <v/>
      </c>
      <c r="B327" s="465">
        <f>'01_Preço'!A194</f>
        <v/>
      </c>
      <c r="C327" s="163">
        <f>'01_Preço'!B194</f>
        <v/>
      </c>
      <c r="D327" s="167" t="inlineStr">
        <is>
          <t>Reforma do gerador</t>
        </is>
      </c>
      <c r="E327" s="453" t="n">
        <v>46</v>
      </c>
      <c r="F327" s="1343">
        <f>VLOOKUP(E327,'Tabela de mês'!$A$1:$B$70,2,TRUE)</f>
        <v/>
      </c>
      <c r="G327" s="511" t="inlineStr">
        <is>
          <t>173-SER</t>
        </is>
      </c>
      <c r="H327" s="163" t="inlineStr">
        <is>
          <t>INSIGHT</t>
        </is>
      </c>
      <c r="I327" s="163" t="inlineStr">
        <is>
          <t>INSIGHT</t>
        </is>
      </c>
      <c r="J327" s="163" t="n"/>
      <c r="K327" s="163" t="n"/>
      <c r="L327" s="175" t="inlineStr">
        <is>
          <t>Verificação do alinhamento da unidade, execução dos ajustes necessários e testes de “run-out” nas partes rotativas do gerador da2ª UF</t>
        </is>
      </c>
      <c r="M327" s="416">
        <f>O327/$O$325</f>
        <v/>
      </c>
      <c r="N327" s="1344" t="n"/>
      <c r="O327" s="1373" t="n">
        <v>194368.44</v>
      </c>
      <c r="P327" s="561" t="n"/>
      <c r="Q327" s="1341" t="n"/>
    </row>
    <row r="328" outlineLevel="1" ht="41.4" customFormat="1" customHeight="1" s="166">
      <c r="A328" s="466">
        <f>'01_Preço'!$A$167</f>
        <v/>
      </c>
      <c r="B328" s="441">
        <f>'01_Preço'!A196</f>
        <v/>
      </c>
      <c r="C328" s="467">
        <f>'01_Preço'!B196</f>
        <v/>
      </c>
      <c r="D328" s="442" t="inlineStr">
        <is>
          <t>Reforma do gerador</t>
        </is>
      </c>
      <c r="E328" s="462" t="n"/>
      <c r="F328" s="462" t="n"/>
      <c r="G328" s="441" t="n"/>
      <c r="H328" s="441" t="n"/>
      <c r="I328" s="441" t="n"/>
      <c r="J328" s="441" t="n"/>
      <c r="K328" s="441" t="n"/>
      <c r="L328" s="442">
        <f>'01_Preço'!E196</f>
        <v/>
      </c>
      <c r="M328" s="446">
        <f>O328/$N$274</f>
        <v/>
      </c>
      <c r="N328" s="1365" t="n"/>
      <c r="O328" s="1349">
        <f>SUM(O329:O330)</f>
        <v/>
      </c>
      <c r="P328" s="556" t="n"/>
      <c r="Q328" s="1349" t="n"/>
    </row>
    <row r="329" outlineLevel="1" ht="41.4" customHeight="1">
      <c r="A329" s="393">
        <f>'01_Preço'!$A$167</f>
        <v/>
      </c>
      <c r="B329" s="465">
        <f>'01_Preço'!A196</f>
        <v/>
      </c>
      <c r="C329" s="173">
        <f>'01_Preço'!B196</f>
        <v/>
      </c>
      <c r="D329" s="167" t="inlineStr">
        <is>
          <t>Reforma do gerador</t>
        </is>
      </c>
      <c r="E329" s="453" t="n">
        <v>34</v>
      </c>
      <c r="F329" s="1343">
        <f>VLOOKUP(E329,'Tabela de mês'!$A$1:$B$70,2,TRUE)</f>
        <v/>
      </c>
      <c r="G329" s="511" t="inlineStr">
        <is>
          <t>174-SER</t>
        </is>
      </c>
      <c r="H329" s="163" t="inlineStr">
        <is>
          <t>INSIGHT</t>
        </is>
      </c>
      <c r="I329" s="163" t="inlineStr">
        <is>
          <t>INSIGHT</t>
        </is>
      </c>
      <c r="J329" s="163" t="n"/>
      <c r="K329" s="163" t="n"/>
      <c r="L329" s="175" t="inlineStr">
        <is>
          <t>Conclusão da montagem da unidade (incluindo-se cruzeta superior, mancal de escora, guias de ar, tampas, anel coletor e porta escovas, acoplamento turbina e gerador, macacos de freio, radiadores, dentre outros) da 1ª UF</t>
        </is>
      </c>
      <c r="M329" s="416">
        <f>O329/$O$328</f>
        <v/>
      </c>
      <c r="N329" s="1344" t="n"/>
      <c r="O329" s="1373" t="n">
        <v>1320389.53</v>
      </c>
      <c r="P329" s="561" t="n"/>
      <c r="Q329" s="1341" t="n"/>
    </row>
    <row r="330" outlineLevel="1" ht="41.4" customHeight="1">
      <c r="A330" s="393">
        <f>'01_Preço'!$A$167</f>
        <v/>
      </c>
      <c r="B330" s="465">
        <f>'01_Preço'!A196</f>
        <v/>
      </c>
      <c r="C330" s="173">
        <f>'01_Preço'!B196</f>
        <v/>
      </c>
      <c r="D330" s="167" t="inlineStr">
        <is>
          <t>Reforma do gerador</t>
        </is>
      </c>
      <c r="E330" s="453" t="n">
        <v>46</v>
      </c>
      <c r="F330" s="1343">
        <f>VLOOKUP(E330,'Tabela de mês'!$A$1:$B$70,2,TRUE)</f>
        <v/>
      </c>
      <c r="G330" s="511" t="inlineStr">
        <is>
          <t>175-SER</t>
        </is>
      </c>
      <c r="H330" s="163" t="inlineStr">
        <is>
          <t>INSIGHT</t>
        </is>
      </c>
      <c r="I330" s="163" t="inlineStr">
        <is>
          <t>INSIGHT</t>
        </is>
      </c>
      <c r="J330" s="163" t="n"/>
      <c r="K330" s="163" t="n"/>
      <c r="L330" s="175" t="inlineStr">
        <is>
          <t>Conclusão da montagem da unidade (incluindo-se cruzeta superior, mancal de escora, guias de ar, tampas, anel coletor e porta escovas, acoplamento turbina e gerador, macacos de freio, radiadores, dentre outros) da 2ª UF</t>
        </is>
      </c>
      <c r="M330" s="416">
        <f>O330/$O$328</f>
        <v/>
      </c>
      <c r="N330" s="1344" t="n"/>
      <c r="O330" s="1373" t="n">
        <v>1320389.53</v>
      </c>
      <c r="P330" s="561" t="n"/>
      <c r="Q330" s="1341" t="n"/>
    </row>
    <row r="331" outlineLevel="1" ht="14.4" customFormat="1" customHeight="1" s="166">
      <c r="A331" s="466">
        <f>'01_Preço'!$A$167</f>
        <v/>
      </c>
      <c r="B331" s="441">
        <f>'01_Preço'!A198</f>
        <v/>
      </c>
      <c r="C331" s="467">
        <f>'01_Preço'!B198</f>
        <v/>
      </c>
      <c r="D331" s="442" t="inlineStr">
        <is>
          <t>Reforma do gerador</t>
        </is>
      </c>
      <c r="E331" s="462" t="n"/>
      <c r="F331" s="462" t="n"/>
      <c r="G331" s="441" t="n"/>
      <c r="H331" s="441" t="n"/>
      <c r="I331" s="441" t="n"/>
      <c r="J331" s="441" t="n"/>
      <c r="K331" s="441" t="n"/>
      <c r="L331" s="442">
        <f>'01_Preço'!E198</f>
        <v/>
      </c>
      <c r="M331" s="446">
        <f>O331/$N$274</f>
        <v/>
      </c>
      <c r="N331" s="1365" t="n"/>
      <c r="O331" s="1349">
        <f>SUM(O332:O333)</f>
        <v/>
      </c>
      <c r="P331" s="556" t="n"/>
      <c r="Q331" s="1349" t="n"/>
    </row>
    <row r="332" outlineLevel="1" ht="27.6" customHeight="1">
      <c r="A332" s="393">
        <f>'01_Preço'!$A$167</f>
        <v/>
      </c>
      <c r="B332" s="465">
        <f>'01_Preço'!A198</f>
        <v/>
      </c>
      <c r="C332" s="173">
        <f>'01_Preço'!B198</f>
        <v/>
      </c>
      <c r="D332" s="167" t="inlineStr">
        <is>
          <t>Reforma do gerador</t>
        </is>
      </c>
      <c r="E332" s="453" t="n">
        <v>34</v>
      </c>
      <c r="F332" s="1343">
        <f>VLOOKUP(E332,'Tabela de mês'!$A$1:$B$70,2,TRUE)</f>
        <v/>
      </c>
      <c r="G332" s="511" t="inlineStr">
        <is>
          <t>176-SER</t>
        </is>
      </c>
      <c r="H332" s="163" t="inlineStr">
        <is>
          <t>INSIGHT</t>
        </is>
      </c>
      <c r="I332" s="163" t="inlineStr">
        <is>
          <t>INSIGHT</t>
        </is>
      </c>
      <c r="J332" s="163" t="n"/>
      <c r="K332" s="163" t="n"/>
      <c r="L332" s="175" t="inlineStr">
        <is>
          <t>Conclusão da manutenção geral do anel coletor e porta-escovas do gerador da 1ª UF</t>
        </is>
      </c>
      <c r="M332" s="416">
        <f>O332/$O$331</f>
        <v/>
      </c>
      <c r="N332" s="1344" t="n"/>
      <c r="O332" s="1373" t="n">
        <v>348935.02</v>
      </c>
      <c r="P332" s="561" t="n">
        <v>32</v>
      </c>
      <c r="Q332" s="1341">
        <f>O332*0.5</f>
        <v/>
      </c>
    </row>
    <row r="333" outlineLevel="1" ht="27.6" customHeight="1">
      <c r="A333" s="393">
        <f>'01_Preço'!$A$167</f>
        <v/>
      </c>
      <c r="B333" s="389">
        <f>'01_Preço'!A198</f>
        <v/>
      </c>
      <c r="C333" s="163">
        <f>'01_Preço'!B198</f>
        <v/>
      </c>
      <c r="D333" s="167" t="inlineStr">
        <is>
          <t>Reforma do gerador</t>
        </is>
      </c>
      <c r="E333" s="453" t="n">
        <v>47</v>
      </c>
      <c r="F333" s="1343">
        <f>VLOOKUP(E333,'Tabela de mês'!$A$1:$B$70,2,TRUE)</f>
        <v/>
      </c>
      <c r="G333" s="511" t="inlineStr">
        <is>
          <t>177-SER</t>
        </is>
      </c>
      <c r="H333" s="163" t="inlineStr">
        <is>
          <t>INSIGHT</t>
        </is>
      </c>
      <c r="I333" s="163" t="inlineStr">
        <is>
          <t>INSIGHT</t>
        </is>
      </c>
      <c r="J333" s="163" t="n"/>
      <c r="K333" s="163" t="n"/>
      <c r="L333" s="175" t="inlineStr">
        <is>
          <t>Conclusão da manutenção geral do anel coletor e porta-escovas do gerador da 2ª UF</t>
        </is>
      </c>
      <c r="M333" s="416">
        <f>O333/$O$331</f>
        <v/>
      </c>
      <c r="N333" s="1344" t="n"/>
      <c r="O333" s="1373" t="n">
        <v>348935.02</v>
      </c>
      <c r="P333" s="561" t="n">
        <v>45</v>
      </c>
      <c r="Q333" s="1341">
        <f>O333*0.5</f>
        <v/>
      </c>
    </row>
    <row r="334" outlineLevel="1" ht="27.6" customFormat="1" customHeight="1" s="166">
      <c r="A334" s="466">
        <f>'01_Preço'!$A$167</f>
        <v/>
      </c>
      <c r="B334" s="441">
        <f>'01_Preço'!A200</f>
        <v/>
      </c>
      <c r="C334" s="467">
        <f>'01_Preço'!B200</f>
        <v/>
      </c>
      <c r="D334" s="442" t="inlineStr">
        <is>
          <t>Reforma do gerador</t>
        </is>
      </c>
      <c r="E334" s="462" t="n"/>
      <c r="F334" s="462" t="n"/>
      <c r="G334" s="441" t="n"/>
      <c r="H334" s="441" t="n"/>
      <c r="I334" s="441" t="n"/>
      <c r="J334" s="441" t="n"/>
      <c r="K334" s="441" t="n"/>
      <c r="L334" s="442">
        <f>'01_Preço'!E200</f>
        <v/>
      </c>
      <c r="M334" s="446">
        <f>O334/$N$274</f>
        <v/>
      </c>
      <c r="N334" s="1365" t="n"/>
      <c r="O334" s="1349">
        <f>SUM(O335:O338)</f>
        <v/>
      </c>
      <c r="P334" s="556" t="n"/>
      <c r="Q334" s="1349" t="n"/>
    </row>
    <row r="335" outlineLevel="1" ht="14.4" customHeight="1">
      <c r="A335" s="393">
        <f>'01_Preço'!$A$167</f>
        <v/>
      </c>
      <c r="B335" s="389">
        <f>'01_Preço'!A200</f>
        <v/>
      </c>
      <c r="C335" s="163">
        <f>'01_Preço'!B200</f>
        <v/>
      </c>
      <c r="D335" s="167" t="inlineStr">
        <is>
          <t>Reforma do gerador</t>
        </is>
      </c>
      <c r="E335" s="453" t="n">
        <v>33</v>
      </c>
      <c r="F335" s="1343">
        <f>VLOOKUP(E335,'Tabela de mês'!$A$1:$B$70,2,TRUE)</f>
        <v/>
      </c>
      <c r="G335" s="511" t="inlineStr">
        <is>
          <t>178-SER</t>
        </is>
      </c>
      <c r="H335" s="163" t="inlineStr">
        <is>
          <t>INSIGHT</t>
        </is>
      </c>
      <c r="I335" s="163" t="inlineStr">
        <is>
          <t>INSIGHT</t>
        </is>
      </c>
      <c r="J335" s="163" t="n"/>
      <c r="K335" s="163" t="n"/>
      <c r="L335" s="175" t="inlineStr">
        <is>
          <t>Conclusão da reforma do sistema de frenagem e levantamento da 1ª UF</t>
        </is>
      </c>
      <c r="M335" s="416">
        <f>O335/$O$334</f>
        <v/>
      </c>
      <c r="N335" s="1344" t="n"/>
      <c r="O335" s="1373" t="n">
        <v>455941.77</v>
      </c>
      <c r="P335" s="561" t="n">
        <v>32</v>
      </c>
      <c r="Q335" s="1341">
        <f>O335*0.5</f>
        <v/>
      </c>
    </row>
    <row r="336" outlineLevel="1" ht="14.4" customHeight="1">
      <c r="A336" s="393">
        <f>'01_Preço'!$A$167</f>
        <v/>
      </c>
      <c r="B336" s="389">
        <f>'01_Preço'!A200</f>
        <v/>
      </c>
      <c r="C336" s="163">
        <f>'01_Preço'!B200</f>
        <v/>
      </c>
      <c r="D336" s="167" t="inlineStr">
        <is>
          <t>Reforma do gerador</t>
        </is>
      </c>
      <c r="E336" s="453" t="n">
        <v>45</v>
      </c>
      <c r="F336" s="1343">
        <f>VLOOKUP(E336,'Tabela de mês'!$A$1:$B$70,2,TRUE)</f>
        <v/>
      </c>
      <c r="G336" s="511" t="inlineStr">
        <is>
          <t>179-SER</t>
        </is>
      </c>
      <c r="H336" s="163" t="inlineStr">
        <is>
          <t>INSIGHT</t>
        </is>
      </c>
      <c r="I336" s="163" t="inlineStr">
        <is>
          <t>INSIGHT</t>
        </is>
      </c>
      <c r="J336" s="163" t="n"/>
      <c r="K336" s="163" t="n"/>
      <c r="L336" s="175" t="inlineStr">
        <is>
          <t>Conclusão da reforma do sistema de frenagem e levantamento da 2ª UF</t>
        </is>
      </c>
      <c r="M336" s="416">
        <f>O336/$O$334</f>
        <v/>
      </c>
      <c r="N336" s="1344" t="n"/>
      <c r="O336" s="1373" t="n">
        <v>455941.77</v>
      </c>
      <c r="P336" s="561" t="n">
        <v>45</v>
      </c>
      <c r="Q336" s="1341">
        <f>O336*0.5</f>
        <v/>
      </c>
    </row>
    <row r="337" outlineLevel="1" ht="14.4" customHeight="1">
      <c r="A337" s="393">
        <f>'01_Preço'!$A$167</f>
        <v/>
      </c>
      <c r="B337" s="389">
        <f>'01_Preço'!A200</f>
        <v/>
      </c>
      <c r="C337" s="163">
        <f>'01_Preço'!B200</f>
        <v/>
      </c>
      <c r="D337" s="167" t="inlineStr">
        <is>
          <t>Reforma do gerador</t>
        </is>
      </c>
      <c r="E337" s="453" t="n">
        <v>54</v>
      </c>
      <c r="F337" s="1343">
        <f>VLOOKUP(E337,'Tabela de mês'!$A$1:$B$70,2,TRUE)</f>
        <v/>
      </c>
      <c r="G337" s="511" t="inlineStr">
        <is>
          <t>180-SER</t>
        </is>
      </c>
      <c r="H337" s="163" t="inlineStr">
        <is>
          <t>INSIGHT</t>
        </is>
      </c>
      <c r="I337" s="163" t="inlineStr">
        <is>
          <t>INSIGHT</t>
        </is>
      </c>
      <c r="J337" s="163" t="n"/>
      <c r="K337" s="163" t="n"/>
      <c r="L337" s="175" t="inlineStr">
        <is>
          <t>Conclusão da reforma do sistema de frenagem e levantamento da 3ª UF</t>
        </is>
      </c>
      <c r="M337" s="416">
        <f>O337/$O$334</f>
        <v/>
      </c>
      <c r="N337" s="1344" t="n"/>
      <c r="O337" s="1373" t="n">
        <v>455941.77</v>
      </c>
      <c r="P337" s="561" t="n">
        <v>52</v>
      </c>
      <c r="Q337" s="1341">
        <f>O337*0.5</f>
        <v/>
      </c>
    </row>
    <row r="338" outlineLevel="1" ht="14.4" customHeight="1">
      <c r="A338" s="393">
        <f>'01_Preço'!$A$167</f>
        <v/>
      </c>
      <c r="B338" s="389">
        <f>'01_Preço'!A200</f>
        <v/>
      </c>
      <c r="C338" s="163">
        <f>'01_Preço'!B200</f>
        <v/>
      </c>
      <c r="D338" s="167" t="inlineStr">
        <is>
          <t>Reforma do gerador</t>
        </is>
      </c>
      <c r="E338" s="453" t="n">
        <v>63</v>
      </c>
      <c r="F338" s="1343">
        <f>VLOOKUP(E338,'Tabela de mês'!$A$1:$B$70,2,TRUE)</f>
        <v/>
      </c>
      <c r="G338" s="511" t="inlineStr">
        <is>
          <t>181-SER</t>
        </is>
      </c>
      <c r="H338" s="163" t="inlineStr">
        <is>
          <t>INSIGHT</t>
        </is>
      </c>
      <c r="I338" s="163" t="inlineStr">
        <is>
          <t>INSIGHT</t>
        </is>
      </c>
      <c r="J338" s="163" t="n"/>
      <c r="K338" s="163" t="n"/>
      <c r="L338" s="175" t="inlineStr">
        <is>
          <t>Conclusão da reforma do sistema de frenagem e levantamento da 4ª UF</t>
        </is>
      </c>
      <c r="M338" s="416">
        <f>O338/$O$334</f>
        <v/>
      </c>
      <c r="N338" s="1344" t="n"/>
      <c r="O338" s="1373" t="n">
        <v>455941.77</v>
      </c>
      <c r="P338" s="561" t="n">
        <v>59</v>
      </c>
      <c r="Q338" s="1341">
        <f>O338*0.5</f>
        <v/>
      </c>
    </row>
    <row r="339" outlineLevel="1" ht="41.4" customFormat="1" customHeight="1" s="166">
      <c r="A339" s="466">
        <f>'01_Preço'!$A$167</f>
        <v/>
      </c>
      <c r="B339" s="441">
        <f>'01_Preço'!A202</f>
        <v/>
      </c>
      <c r="C339" s="467">
        <f>'01_Preço'!B202</f>
        <v/>
      </c>
      <c r="D339" s="442" t="inlineStr">
        <is>
          <t>Reforma do gerador</t>
        </is>
      </c>
      <c r="E339" s="462" t="n"/>
      <c r="F339" s="462" t="n"/>
      <c r="G339" s="441" t="n"/>
      <c r="H339" s="441" t="n"/>
      <c r="I339" s="441" t="n"/>
      <c r="J339" s="441" t="n"/>
      <c r="K339" s="441" t="n"/>
      <c r="L339" s="442">
        <f>'01_Preço'!E202</f>
        <v/>
      </c>
      <c r="M339" s="446">
        <f>O339/$N$274</f>
        <v/>
      </c>
      <c r="N339" s="1365" t="n"/>
      <c r="O339" s="1349">
        <f>SUM(O340:O341)</f>
        <v/>
      </c>
      <c r="P339" s="556" t="n"/>
      <c r="Q339" s="1349" t="n"/>
    </row>
    <row r="340" outlineLevel="1" ht="41.4" customHeight="1">
      <c r="A340" s="393">
        <f>'01_Preço'!$A$167</f>
        <v/>
      </c>
      <c r="B340" s="389">
        <f>'01_Preço'!A202</f>
        <v/>
      </c>
      <c r="C340" s="163">
        <f>'01_Preço'!B202</f>
        <v/>
      </c>
      <c r="D340" s="167" t="inlineStr">
        <is>
          <t>Reforma do gerador</t>
        </is>
      </c>
      <c r="E340" s="453" t="n">
        <v>34</v>
      </c>
      <c r="F340" s="1343">
        <f>VLOOKUP(E340,'Tabela de mês'!$A$1:$B$70,2,TRUE)</f>
        <v/>
      </c>
      <c r="G340" s="511" t="inlineStr">
        <is>
          <t>182-SER</t>
        </is>
      </c>
      <c r="H340" s="163" t="inlineStr">
        <is>
          <t>INSIGHT</t>
        </is>
      </c>
      <c r="I340" s="163" t="inlineStr">
        <is>
          <t>INSIGHT</t>
        </is>
      </c>
      <c r="J340" s="163" t="n"/>
      <c r="K340" s="163" t="n"/>
      <c r="L340" s="175" t="inlineStr">
        <is>
          <t>Conclusão da reforma dos mancais do gerador e adaptação/fornecimento das sapatas de escora do mancal combinado para a implantação do sistema de injeção de óleo sob pressão da 1ª UF</t>
        </is>
      </c>
      <c r="M340" s="416">
        <f>O340/$O$339</f>
        <v/>
      </c>
      <c r="N340" s="1344" t="n"/>
      <c r="O340" s="1373" t="n">
        <v>204708.55</v>
      </c>
      <c r="P340" s="561" t="n">
        <v>31</v>
      </c>
      <c r="Q340" s="1341">
        <f>O340*0.5</f>
        <v/>
      </c>
    </row>
    <row r="341" outlineLevel="1" ht="41.4" customHeight="1">
      <c r="A341" s="393">
        <f>'01_Preço'!$A$167</f>
        <v/>
      </c>
      <c r="B341" s="389">
        <f>'01_Preço'!A202</f>
        <v/>
      </c>
      <c r="C341" s="163">
        <f>'01_Preço'!B202</f>
        <v/>
      </c>
      <c r="D341" s="167" t="inlineStr">
        <is>
          <t>Reforma do gerador</t>
        </is>
      </c>
      <c r="E341" s="453" t="n">
        <v>46</v>
      </c>
      <c r="F341" s="1343">
        <f>VLOOKUP(E341,'Tabela de mês'!$A$1:$B$70,2,TRUE)</f>
        <v/>
      </c>
      <c r="G341" s="511" t="inlineStr">
        <is>
          <t>183-SER</t>
        </is>
      </c>
      <c r="H341" s="163" t="inlineStr">
        <is>
          <t>INSIGHT</t>
        </is>
      </c>
      <c r="I341" s="163" t="inlineStr">
        <is>
          <t>INSIGHT</t>
        </is>
      </c>
      <c r="J341" s="163" t="n"/>
      <c r="K341" s="163" t="n"/>
      <c r="L341" s="175" t="inlineStr">
        <is>
          <t>Conclusão da reforma dos mancais do gerador e adaptação/fornecimento das sapatas de escora do mancal combinado para a implantação do sistema de injeção de óleo sob pressão da 2ª UF</t>
        </is>
      </c>
      <c r="M341" s="416">
        <f>O341/$O$339</f>
        <v/>
      </c>
      <c r="N341" s="1344" t="n"/>
      <c r="O341" s="1373" t="n">
        <v>204708.55</v>
      </c>
      <c r="P341" s="561" t="n">
        <v>40</v>
      </c>
      <c r="Q341" s="1341">
        <f>O341*0.5</f>
        <v/>
      </c>
    </row>
    <row r="342" outlineLevel="1" ht="27.6" customFormat="1" customHeight="1" s="166">
      <c r="A342" s="466">
        <f>'01_Preço'!$A$167</f>
        <v/>
      </c>
      <c r="B342" s="441">
        <f>'01_Preço'!A204</f>
        <v/>
      </c>
      <c r="C342" s="467">
        <f>'01_Preço'!B204</f>
        <v/>
      </c>
      <c r="D342" s="442" t="inlineStr">
        <is>
          <t>Reforma do gerador</t>
        </is>
      </c>
      <c r="E342" s="462" t="n"/>
      <c r="F342" s="462" t="n"/>
      <c r="G342" s="441" t="n"/>
      <c r="H342" s="441" t="n"/>
      <c r="I342" s="441" t="n"/>
      <c r="J342" s="441" t="n"/>
      <c r="K342" s="441" t="n"/>
      <c r="L342" s="442">
        <f>'01_Preço'!E204</f>
        <v/>
      </c>
      <c r="M342" s="446">
        <f>O342/$N$274</f>
        <v/>
      </c>
      <c r="N342" s="1365" t="n"/>
      <c r="O342" s="1349">
        <f>SUM(O343:O344)</f>
        <v/>
      </c>
      <c r="P342" s="556" t="n"/>
      <c r="Q342" s="1349" t="n"/>
    </row>
    <row r="343" outlineLevel="1" ht="41.4" customHeight="1">
      <c r="A343" s="393">
        <f>'01_Preço'!$A$167</f>
        <v/>
      </c>
      <c r="B343" s="389">
        <f>'01_Preço'!A204</f>
        <v/>
      </c>
      <c r="C343" s="163">
        <f>'01_Preço'!B204</f>
        <v/>
      </c>
      <c r="D343" s="167" t="inlineStr">
        <is>
          <t>Reforma do gerador</t>
        </is>
      </c>
      <c r="E343" s="453" t="n">
        <v>34</v>
      </c>
      <c r="F343" s="1343">
        <f>VLOOKUP(E343,'Tabela de mês'!$A$1:$B$70,2,TRUE)</f>
        <v/>
      </c>
      <c r="G343" s="511" t="inlineStr">
        <is>
          <t>184-SER</t>
        </is>
      </c>
      <c r="H343" s="163" t="inlineStr">
        <is>
          <t>INSIGHT</t>
        </is>
      </c>
      <c r="I343" s="163" t="inlineStr">
        <is>
          <t>INSIGHT</t>
        </is>
      </c>
      <c r="J343" s="163" t="n"/>
      <c r="K343" s="163" t="n"/>
      <c r="L343" s="175" t="inlineStr">
        <is>
          <t>Conclusão da adaptação/fornecimento das sapatas de escora do mancal combinado para a implantação do sistema de injeção de óleo sob pressão da 1ª UF</t>
        </is>
      </c>
      <c r="M343" s="416">
        <f>O343/$O$342</f>
        <v/>
      </c>
      <c r="N343" s="1344" t="n"/>
      <c r="O343" s="1373" t="n">
        <v>204708.55</v>
      </c>
      <c r="P343" s="561" t="n">
        <v>30</v>
      </c>
      <c r="Q343" s="1341">
        <f>O343*0.5</f>
        <v/>
      </c>
    </row>
    <row r="344" outlineLevel="1" ht="41.4" customHeight="1">
      <c r="A344" s="393">
        <f>'01_Preço'!$A$167</f>
        <v/>
      </c>
      <c r="B344" s="389">
        <f>'01_Preço'!A204</f>
        <v/>
      </c>
      <c r="C344" s="163">
        <f>'01_Preço'!B204</f>
        <v/>
      </c>
      <c r="D344" s="167" t="inlineStr">
        <is>
          <t>Reforma do gerador</t>
        </is>
      </c>
      <c r="E344" s="453" t="n">
        <v>46</v>
      </c>
      <c r="F344" s="1343">
        <f>VLOOKUP(E344,'Tabela de mês'!$A$1:$B$70,2,TRUE)</f>
        <v/>
      </c>
      <c r="G344" s="511" t="inlineStr">
        <is>
          <t>185-SER</t>
        </is>
      </c>
      <c r="H344" s="163" t="inlineStr">
        <is>
          <t>INSIGHT</t>
        </is>
      </c>
      <c r="I344" s="163" t="inlineStr">
        <is>
          <t>INSIGHT</t>
        </is>
      </c>
      <c r="J344" s="163" t="n"/>
      <c r="K344" s="163" t="n"/>
      <c r="L344" s="175" t="inlineStr">
        <is>
          <t>Conclusão da adaptação/fornecimento das sapatas de escora do mancal combinado para a implantação do sistema de injeção de óleo sob pressão da 2ª UF</t>
        </is>
      </c>
      <c r="M344" s="416">
        <f>O344/$O$342</f>
        <v/>
      </c>
      <c r="N344" s="1344" t="n"/>
      <c r="O344" s="1373" t="n">
        <v>204708.55</v>
      </c>
      <c r="P344" s="561" t="n">
        <v>40</v>
      </c>
      <c r="Q344" s="1341">
        <f>O344*0.5</f>
        <v/>
      </c>
    </row>
    <row r="345" outlineLevel="1" ht="27.6" customFormat="1" customHeight="1" s="166">
      <c r="A345" s="466">
        <f>'01_Preço'!$A$167</f>
        <v/>
      </c>
      <c r="B345" s="441">
        <f>'01_Preço'!A206</f>
        <v/>
      </c>
      <c r="C345" s="467">
        <f>'01_Preço'!B206</f>
        <v/>
      </c>
      <c r="D345" s="442" t="inlineStr">
        <is>
          <t>Reforma do gerador</t>
        </is>
      </c>
      <c r="E345" s="462" t="n"/>
      <c r="F345" s="462" t="n"/>
      <c r="G345" s="441" t="n"/>
      <c r="H345" s="441" t="n"/>
      <c r="I345" s="441" t="n"/>
      <c r="J345" s="441" t="n"/>
      <c r="K345" s="441" t="n"/>
      <c r="L345" s="442">
        <f>'01_Preço'!E206</f>
        <v/>
      </c>
      <c r="M345" s="446">
        <f>O345/$N$274</f>
        <v/>
      </c>
      <c r="N345" s="1365" t="n"/>
      <c r="O345" s="1349">
        <f>SUM(O346:O349)</f>
        <v/>
      </c>
      <c r="P345" s="556" t="n"/>
      <c r="Q345" s="1349" t="n"/>
    </row>
    <row r="346" outlineLevel="1" ht="14.4" customHeight="1">
      <c r="A346" s="393">
        <f>'01_Preço'!$A$167</f>
        <v/>
      </c>
      <c r="B346" s="389">
        <f>'01_Preço'!A206</f>
        <v/>
      </c>
      <c r="C346" s="163">
        <f>'01_Preço'!B206</f>
        <v/>
      </c>
      <c r="D346" s="167" t="inlineStr">
        <is>
          <t>Reforma do gerador</t>
        </is>
      </c>
      <c r="E346" s="453" t="n">
        <v>34</v>
      </c>
      <c r="F346" s="1343">
        <f>VLOOKUP(E346,'Tabela de mês'!$A$1:$B$70,2,TRUE)</f>
        <v/>
      </c>
      <c r="G346" s="510" t="inlineStr">
        <is>
          <t>186-SER</t>
        </is>
      </c>
      <c r="H346" s="163" t="inlineStr">
        <is>
          <t>INSIGHT</t>
        </is>
      </c>
      <c r="I346" s="163" t="inlineStr">
        <is>
          <t>INSIGHT</t>
        </is>
      </c>
      <c r="J346" s="163" t="n"/>
      <c r="K346" s="163" t="n"/>
      <c r="L346" s="175" t="inlineStr">
        <is>
          <t>Conclusão da implantação do sistema de injeção de óleo sob pressão da 1ª UF</t>
        </is>
      </c>
      <c r="M346" s="416">
        <f>O346/$O$345</f>
        <v/>
      </c>
      <c r="N346" s="1344" t="n"/>
      <c r="O346" s="1373" t="n">
        <v>465246.69</v>
      </c>
      <c r="P346" s="561" t="n">
        <v>33</v>
      </c>
      <c r="Q346" s="1341">
        <f>O346*0.4</f>
        <v/>
      </c>
    </row>
    <row r="347" outlineLevel="1" ht="14.4" customHeight="1">
      <c r="A347" s="393">
        <f>'01_Preço'!$A$167</f>
        <v/>
      </c>
      <c r="B347" s="389">
        <f>'01_Preço'!A206</f>
        <v/>
      </c>
      <c r="C347" s="163">
        <f>'01_Preço'!B206</f>
        <v/>
      </c>
      <c r="D347" s="167" t="inlineStr">
        <is>
          <t>Reforma do gerador</t>
        </is>
      </c>
      <c r="E347" s="453" t="n">
        <v>46</v>
      </c>
      <c r="F347" s="1343">
        <f>VLOOKUP(E347,'Tabela de mês'!$A$1:$B$70,2,TRUE)</f>
        <v/>
      </c>
      <c r="G347" s="510" t="inlineStr">
        <is>
          <t>187-SER</t>
        </is>
      </c>
      <c r="H347" s="163" t="inlineStr">
        <is>
          <t>INSIGHT</t>
        </is>
      </c>
      <c r="I347" s="163" t="inlineStr">
        <is>
          <t>INSIGHT</t>
        </is>
      </c>
      <c r="J347" s="163" t="n"/>
      <c r="K347" s="163" t="n"/>
      <c r="L347" s="175" t="inlineStr">
        <is>
          <t>Conclusão da implantação do sistema de injeção de óleo sob pressão da 2ª UF</t>
        </is>
      </c>
      <c r="M347" s="416">
        <f>O347/$O$345</f>
        <v/>
      </c>
      <c r="N347" s="1344" t="n"/>
      <c r="O347" s="1373" t="n">
        <v>465246.69</v>
      </c>
      <c r="P347" s="561" t="n">
        <v>44</v>
      </c>
      <c r="Q347" s="1341">
        <f>O347*0.4</f>
        <v/>
      </c>
    </row>
    <row r="348" outlineLevel="1" ht="14.4" customHeight="1">
      <c r="A348" s="393">
        <f>'01_Preço'!$A$167</f>
        <v/>
      </c>
      <c r="B348" s="389">
        <f>'01_Preço'!A206</f>
        <v/>
      </c>
      <c r="C348" s="163">
        <f>'01_Preço'!B206</f>
        <v/>
      </c>
      <c r="D348" s="167" t="inlineStr">
        <is>
          <t>Reforma do gerador</t>
        </is>
      </c>
      <c r="E348" s="453" t="n">
        <v>54</v>
      </c>
      <c r="F348" s="1343">
        <f>VLOOKUP(E348,'Tabela de mês'!$A$1:$B$70,2,TRUE)</f>
        <v/>
      </c>
      <c r="G348" s="510" t="inlineStr">
        <is>
          <t>188-SER</t>
        </is>
      </c>
      <c r="H348" s="163" t="inlineStr">
        <is>
          <t>INSIGHT</t>
        </is>
      </c>
      <c r="I348" s="163" t="inlineStr">
        <is>
          <t>INSIGHT</t>
        </is>
      </c>
      <c r="J348" s="163" t="n"/>
      <c r="K348" s="163" t="n"/>
      <c r="L348" s="175" t="inlineStr">
        <is>
          <t>Conclusão da implantação do sistema de injeção de óleo sob pressão da 3ª UF</t>
        </is>
      </c>
      <c r="M348" s="416">
        <f>O348/$O$345</f>
        <v/>
      </c>
      <c r="N348" s="1344" t="n"/>
      <c r="O348" s="1373" t="n">
        <v>465246.69</v>
      </c>
      <c r="P348" s="561" t="n">
        <v>55</v>
      </c>
      <c r="Q348" s="1341">
        <f>O348*0.4</f>
        <v/>
      </c>
    </row>
    <row r="349" outlineLevel="1" ht="14.4" customHeight="1">
      <c r="A349" s="393">
        <f>'01_Preço'!$A$167</f>
        <v/>
      </c>
      <c r="B349" s="389">
        <f>'01_Preço'!A206</f>
        <v/>
      </c>
      <c r="C349" s="163">
        <f>'01_Preço'!B206</f>
        <v/>
      </c>
      <c r="D349" s="167" t="inlineStr">
        <is>
          <t>Reforma do gerador</t>
        </is>
      </c>
      <c r="E349" s="453" t="n">
        <v>63</v>
      </c>
      <c r="F349" s="1343">
        <f>VLOOKUP(E349,'Tabela de mês'!$A$1:$B$70,2,TRUE)</f>
        <v/>
      </c>
      <c r="G349" s="510" t="inlineStr">
        <is>
          <t>189-SER</t>
        </is>
      </c>
      <c r="H349" s="163" t="inlineStr">
        <is>
          <t>INSIGHT</t>
        </is>
      </c>
      <c r="I349" s="163" t="inlineStr">
        <is>
          <t>INSIGHT</t>
        </is>
      </c>
      <c r="J349" s="163" t="n"/>
      <c r="K349" s="163" t="n"/>
      <c r="L349" s="175" t="inlineStr">
        <is>
          <t>Conclusão da implantação do sistema de injeção de óleo sob pressão da 4ª UF</t>
        </is>
      </c>
      <c r="M349" s="416">
        <f>O349/$O$345</f>
        <v/>
      </c>
      <c r="N349" s="1344" t="n"/>
      <c r="O349" s="1373" t="n">
        <v>465246.69</v>
      </c>
      <c r="P349" s="561" t="n">
        <v>65</v>
      </c>
      <c r="Q349" s="1341">
        <f>O349*0.4</f>
        <v/>
      </c>
    </row>
    <row r="350" outlineLevel="1" ht="27.6" customFormat="1" customHeight="1" s="166">
      <c r="A350" s="466">
        <f>'01_Preço'!$A$167</f>
        <v/>
      </c>
      <c r="B350" s="441">
        <f>'01_Preço'!A208</f>
        <v/>
      </c>
      <c r="C350" s="467">
        <f>'01_Preço'!B208</f>
        <v/>
      </c>
      <c r="D350" s="442" t="inlineStr">
        <is>
          <t>Reforma do gerador</t>
        </is>
      </c>
      <c r="E350" s="462" t="n"/>
      <c r="F350" s="462" t="n"/>
      <c r="G350" s="441" t="n"/>
      <c r="H350" s="441" t="n"/>
      <c r="I350" s="441" t="n"/>
      <c r="J350" s="441" t="n"/>
      <c r="K350" s="441" t="n"/>
      <c r="L350" s="442">
        <f>'01_Preço'!E208</f>
        <v/>
      </c>
      <c r="M350" s="446">
        <f>O350/$N$274</f>
        <v/>
      </c>
      <c r="N350" s="1365" t="n"/>
      <c r="O350" s="1349">
        <f>SUM(O351:O354)</f>
        <v/>
      </c>
      <c r="P350" s="556" t="n"/>
      <c r="Q350" s="1349" t="n"/>
    </row>
    <row r="351" outlineLevel="1" ht="69" customHeight="1">
      <c r="A351" s="393">
        <f>'01_Preço'!$A$167</f>
        <v/>
      </c>
      <c r="B351" s="389">
        <f>'01_Preço'!A208</f>
        <v/>
      </c>
      <c r="C351" s="163">
        <f>'01_Preço'!B208</f>
        <v/>
      </c>
      <c r="D351" s="167" t="inlineStr">
        <is>
          <t>Reforma do gerador</t>
        </is>
      </c>
      <c r="E351" s="453" t="n">
        <v>34</v>
      </c>
      <c r="F351" s="1343">
        <f>VLOOKUP(E351,'Tabela de mês'!$A$1:$B$70,2,TRUE)</f>
        <v/>
      </c>
      <c r="G351" s="511" t="inlineStr">
        <is>
          <t>190-SER</t>
        </is>
      </c>
      <c r="H351" s="163" t="inlineStr">
        <is>
          <t>INSIGHT</t>
        </is>
      </c>
      <c r="I351" s="163" t="inlineStr">
        <is>
          <t>INSIGHT</t>
        </is>
      </c>
      <c r="J351" s="163" t="n"/>
      <c r="K351" s="163" t="n"/>
      <c r="L351" s="175" t="inlineStr">
        <is>
          <t>Conclusão da instalação dos acopladores para o Sistema de Descargas Parciais; da substituição das caixas terminais e barramentos de interligação dos terminais de fase e neutro do gerador; da instalação dos TCs de fase e de neutro; e da substituição dos cabos de média tensão entre gerador e transformador da 1ª UF</t>
        </is>
      </c>
      <c r="M351" s="416">
        <f>O351/$O$350</f>
        <v/>
      </c>
      <c r="N351" s="1344" t="n"/>
      <c r="O351" s="1373" t="n">
        <v>76765.71000000001</v>
      </c>
      <c r="P351" s="561" t="n">
        <v>32</v>
      </c>
      <c r="Q351" s="1341">
        <f>O351*0.5</f>
        <v/>
      </c>
    </row>
    <row r="352" outlineLevel="1" ht="69" customHeight="1">
      <c r="A352" s="393">
        <f>'01_Preço'!$A$167</f>
        <v/>
      </c>
      <c r="B352" s="389">
        <f>'01_Preço'!A208</f>
        <v/>
      </c>
      <c r="C352" s="163">
        <f>'01_Preço'!B208</f>
        <v/>
      </c>
      <c r="D352" s="167" t="inlineStr">
        <is>
          <t>Reforma do gerador</t>
        </is>
      </c>
      <c r="E352" s="453" t="n">
        <v>46</v>
      </c>
      <c r="F352" s="1343">
        <f>VLOOKUP(E352,'Tabela de mês'!$A$1:$B$70,2,TRUE)</f>
        <v/>
      </c>
      <c r="G352" s="511" t="inlineStr">
        <is>
          <t>191-SER</t>
        </is>
      </c>
      <c r="H352" s="163" t="inlineStr">
        <is>
          <t>INSIGHT</t>
        </is>
      </c>
      <c r="I352" s="163" t="inlineStr">
        <is>
          <t>INSIGHT</t>
        </is>
      </c>
      <c r="J352" s="163" t="n"/>
      <c r="K352" s="163" t="n"/>
      <c r="L352" s="175" t="inlineStr">
        <is>
          <t>Conclusão da instalação dos acopladores para o Sistema de Descargas Parciais; da substituição das caixas terminais e barramentos de interligação dos terminais de fase e neutro do gerador; da instalação dos TCs de fase e de neutro; e da substituição dos cabos de média tensão entre gerador e transformador da  2ª UF</t>
        </is>
      </c>
      <c r="M352" s="416">
        <f>O352/$O$350</f>
        <v/>
      </c>
      <c r="N352" s="1344" t="n"/>
      <c r="O352" s="1373" t="n">
        <v>76765.71000000001</v>
      </c>
      <c r="P352" s="561" t="n">
        <v>45</v>
      </c>
      <c r="Q352" s="1341">
        <f>O352*0.5</f>
        <v/>
      </c>
    </row>
    <row r="353" outlineLevel="1" ht="69" customHeight="1">
      <c r="A353" s="393">
        <f>'01_Preço'!$A$167</f>
        <v/>
      </c>
      <c r="B353" s="389">
        <f>'01_Preço'!A208</f>
        <v/>
      </c>
      <c r="C353" s="163">
        <f>'01_Preço'!B208</f>
        <v/>
      </c>
      <c r="D353" s="167" t="inlineStr">
        <is>
          <t>Reforma do gerador</t>
        </is>
      </c>
      <c r="E353" s="453" t="n">
        <v>54</v>
      </c>
      <c r="F353" s="1343">
        <f>VLOOKUP(E353,'Tabela de mês'!$A$1:$B$70,2,TRUE)</f>
        <v/>
      </c>
      <c r="G353" s="511" t="inlineStr">
        <is>
          <t>192-SER</t>
        </is>
      </c>
      <c r="H353" s="163" t="inlineStr">
        <is>
          <t>INSIGHT</t>
        </is>
      </c>
      <c r="I353" s="163" t="inlineStr">
        <is>
          <t>INSIGHT</t>
        </is>
      </c>
      <c r="J353" s="163" t="n"/>
      <c r="K353" s="163" t="n"/>
      <c r="L353" s="175" t="inlineStr">
        <is>
          <t>Conclusão da instalação dos acopladores para o Sistema de Descargas Parciais; da substituição das caixas terminais e barramentos de interligação dos terminais de fase e neutro do gerador; da instalação dos TCs de fase e de neutro; e da substituição dos cabos de média tensão entre gerador e transformador da 3ª UF</t>
        </is>
      </c>
      <c r="M353" s="416">
        <f>O353/$O$350</f>
        <v/>
      </c>
      <c r="N353" s="1344" t="n"/>
      <c r="O353" s="1373" t="n">
        <v>76765.71000000001</v>
      </c>
      <c r="P353" s="561" t="n">
        <v>52</v>
      </c>
      <c r="Q353" s="1341">
        <f>O353*0.5</f>
        <v/>
      </c>
    </row>
    <row r="354" outlineLevel="1" ht="69" customHeight="1">
      <c r="A354" s="393">
        <f>'01_Preço'!$A$167</f>
        <v/>
      </c>
      <c r="B354" s="389">
        <f>'01_Preço'!A208</f>
        <v/>
      </c>
      <c r="C354" s="163">
        <f>'01_Preço'!B208</f>
        <v/>
      </c>
      <c r="D354" s="167" t="inlineStr">
        <is>
          <t>Reforma do gerador</t>
        </is>
      </c>
      <c r="E354" s="453" t="n">
        <v>63</v>
      </c>
      <c r="F354" s="1343">
        <f>VLOOKUP(E354,'Tabela de mês'!$A$1:$B$70,2,TRUE)</f>
        <v/>
      </c>
      <c r="G354" s="511" t="inlineStr">
        <is>
          <t>193-SER</t>
        </is>
      </c>
      <c r="H354" s="163" t="inlineStr">
        <is>
          <t>INSIGHT</t>
        </is>
      </c>
      <c r="I354" s="163" t="inlineStr">
        <is>
          <t>INSIGHT</t>
        </is>
      </c>
      <c r="J354" s="163" t="n"/>
      <c r="K354" s="163" t="n"/>
      <c r="L354" s="175" t="inlineStr">
        <is>
          <t>Conclusão da instalação dos acopladores para o Sistema de Descargas Parciais; da substituição das caixas terminais e barramentos de interligação dos terminais de fase e neutro do gerador; da instalação dos TCs de fase e de neutro; e da substituição dos cabos de média tensão entre gerador e transformador da 4ª UF</t>
        </is>
      </c>
      <c r="M354" s="416">
        <f>O354/$O$350</f>
        <v/>
      </c>
      <c r="N354" s="1344" t="n"/>
      <c r="O354" s="1342" t="n">
        <v>76765.71000000001</v>
      </c>
      <c r="P354" s="561" t="n">
        <v>59</v>
      </c>
      <c r="Q354" s="1341">
        <f>O354*0.5</f>
        <v/>
      </c>
    </row>
    <row r="355" outlineLevel="1" ht="69" customFormat="1" customHeight="1" s="166">
      <c r="A355" s="466">
        <f>'01_Preço'!$A$167</f>
        <v/>
      </c>
      <c r="B355" s="441">
        <f>CONCATENATE('01_Preço'!$A$210," e ",'01_Preço'!$A$212)</f>
        <v/>
      </c>
      <c r="C355" s="467">
        <f>'01_Preço'!B210</f>
        <v/>
      </c>
      <c r="D355" s="442" t="inlineStr">
        <is>
          <t>Reforma do gerador</t>
        </is>
      </c>
      <c r="E355" s="462" t="n"/>
      <c r="F355" s="462" t="n"/>
      <c r="G355" s="441" t="n"/>
      <c r="H355" s="441" t="n"/>
      <c r="I355" s="441" t="n"/>
      <c r="J355" s="441" t="n"/>
      <c r="K355" s="441" t="n"/>
      <c r="L355" s="442">
        <f>CONCATENATE('01_Preço'!$E$210," e ",'01_Preço'!$E$212)</f>
        <v/>
      </c>
      <c r="M355" s="446">
        <f>O355/$N$274</f>
        <v/>
      </c>
      <c r="N355" s="1365" t="n"/>
      <c r="O355" s="1349">
        <f>SUM(O356:O359)</f>
        <v/>
      </c>
      <c r="P355" s="556" t="n"/>
      <c r="Q355" s="1349" t="n"/>
    </row>
    <row r="356" outlineLevel="1" ht="41.4" customHeight="1">
      <c r="A356" s="393">
        <f>'01_Preço'!$A$167</f>
        <v/>
      </c>
      <c r="B356" s="389">
        <f>CONCATENATE('01_Preço'!$A$210," e ",'01_Preço'!$A$212)</f>
        <v/>
      </c>
      <c r="C356" s="163">
        <f>'01_Preço'!B210</f>
        <v/>
      </c>
      <c r="D356" s="167" t="inlineStr">
        <is>
          <t>Reforma do gerador</t>
        </is>
      </c>
      <c r="E356" s="453" t="n">
        <v>34</v>
      </c>
      <c r="F356" s="1343">
        <f>VLOOKUP(E356,'Tabela de mês'!$A$1:$B$70,2,TRUE)</f>
        <v/>
      </c>
      <c r="G356" s="510" t="inlineStr">
        <is>
          <t>156-SER</t>
        </is>
      </c>
      <c r="H356" s="163" t="inlineStr">
        <is>
          <t>INSIGHT</t>
        </is>
      </c>
      <c r="I356" s="163" t="inlineStr">
        <is>
          <t>INSIGHT</t>
        </is>
      </c>
      <c r="J356" s="163" t="n"/>
      <c r="K356" s="163" t="n"/>
      <c r="L356" s="342" t="inlineStr">
        <is>
          <t>Conclusão da desmontagem e descarte de todo o sistema de proteção contra incêndio (CO2) dos geradores e da desativação da excitatriz rotativa e equipamentos associados da 1ª UF</t>
        </is>
      </c>
      <c r="M356" s="416">
        <f>O356/$O$355</f>
        <v/>
      </c>
      <c r="N356" s="1344" t="n"/>
      <c r="O356" s="1373" t="n">
        <v>397785.9275</v>
      </c>
      <c r="P356" s="561" t="n">
        <v>32</v>
      </c>
      <c r="Q356" s="1341">
        <f>O356*0.5</f>
        <v/>
      </c>
    </row>
    <row r="357" outlineLevel="1" ht="41.4" customHeight="1">
      <c r="A357" s="393">
        <f>'01_Preço'!$A$167</f>
        <v/>
      </c>
      <c r="B357" s="389">
        <f>CONCATENATE('01_Preço'!$A$210," e ",'01_Preço'!$A$212)</f>
        <v/>
      </c>
      <c r="C357" s="163">
        <f>'01_Preço'!B210</f>
        <v/>
      </c>
      <c r="D357" s="167" t="inlineStr">
        <is>
          <t>Reforma do gerador</t>
        </is>
      </c>
      <c r="E357" s="453" t="n">
        <v>46</v>
      </c>
      <c r="F357" s="1343">
        <f>VLOOKUP(E357,'Tabela de mês'!$A$1:$B$70,2,TRUE)</f>
        <v/>
      </c>
      <c r="G357" s="510" t="inlineStr">
        <is>
          <t>157-SER</t>
        </is>
      </c>
      <c r="H357" s="163" t="inlineStr">
        <is>
          <t>INSIGHT</t>
        </is>
      </c>
      <c r="I357" s="163" t="inlineStr">
        <is>
          <t>INSIGHT</t>
        </is>
      </c>
      <c r="J357" s="163" t="n"/>
      <c r="K357" s="163" t="n"/>
      <c r="L357" s="342" t="inlineStr">
        <is>
          <t>Conclusão da desmontagem e descarte de todo o sistema de proteção contra incêndio (CO2) dos geradores e da desativação da excitatriz rotativa e equipamentos associados da 2ª UF</t>
        </is>
      </c>
      <c r="M357" s="416">
        <f>O357/$O$355</f>
        <v/>
      </c>
      <c r="N357" s="1344" t="n"/>
      <c r="O357" s="1373" t="n">
        <v>397785.9275</v>
      </c>
      <c r="P357" s="561" t="n">
        <v>45</v>
      </c>
      <c r="Q357" s="1341">
        <f>O357*0.5</f>
        <v/>
      </c>
    </row>
    <row r="358" outlineLevel="1" ht="41.4" customHeight="1">
      <c r="A358" s="393">
        <f>'01_Preço'!$A$167</f>
        <v/>
      </c>
      <c r="B358" s="389">
        <f>CONCATENATE('01_Preço'!$A$210," e ",'01_Preço'!$A$212)</f>
        <v/>
      </c>
      <c r="C358" s="163">
        <f>'01_Preço'!B210</f>
        <v/>
      </c>
      <c r="D358" s="167" t="inlineStr">
        <is>
          <t>Reforma do gerador</t>
        </is>
      </c>
      <c r="E358" s="453" t="n">
        <v>54</v>
      </c>
      <c r="F358" s="1343">
        <f>VLOOKUP(E358,'Tabela de mês'!$A$1:$B$70,2,TRUE)</f>
        <v/>
      </c>
      <c r="G358" s="510" t="inlineStr">
        <is>
          <t>158-SER</t>
        </is>
      </c>
      <c r="H358" s="163" t="inlineStr">
        <is>
          <t>INSIGHT</t>
        </is>
      </c>
      <c r="I358" s="163" t="inlineStr">
        <is>
          <t>INSIGHT</t>
        </is>
      </c>
      <c r="J358" s="163" t="n"/>
      <c r="K358" s="163" t="n"/>
      <c r="L358" s="342" t="inlineStr">
        <is>
          <t>Conclusão da desmontagem e descarte de todo o sistema de proteção contra incêndio (CO2) dos geradores e da desativação da excitatriz rotativa e equipamentos associados da 3ª UF</t>
        </is>
      </c>
      <c r="M358" s="416">
        <f>O358/$O$355</f>
        <v/>
      </c>
      <c r="N358" s="1344" t="n"/>
      <c r="O358" s="1373" t="n">
        <v>397785.9275</v>
      </c>
      <c r="P358" s="561" t="n">
        <v>52</v>
      </c>
      <c r="Q358" s="1341">
        <f>O358*0.5</f>
        <v/>
      </c>
    </row>
    <row r="359" outlineLevel="1" ht="41.4" customHeight="1">
      <c r="A359" s="393">
        <f>'01_Preço'!$A$167</f>
        <v/>
      </c>
      <c r="B359" s="389">
        <f>CONCATENATE('01_Preço'!$A$210," e ",'01_Preço'!$A$212)</f>
        <v/>
      </c>
      <c r="C359" s="163">
        <f>'01_Preço'!B210</f>
        <v/>
      </c>
      <c r="D359" s="167" t="inlineStr">
        <is>
          <t>Reforma do gerador</t>
        </is>
      </c>
      <c r="E359" s="453" t="n">
        <v>63</v>
      </c>
      <c r="F359" s="1343">
        <f>VLOOKUP(E359,'Tabela de mês'!$A$1:$B$70,2,TRUE)</f>
        <v/>
      </c>
      <c r="G359" s="510" t="inlineStr">
        <is>
          <t>159-SER</t>
        </is>
      </c>
      <c r="H359" s="163" t="inlineStr">
        <is>
          <t>INSIGHT</t>
        </is>
      </c>
      <c r="I359" s="163" t="inlineStr">
        <is>
          <t>INSIGHT</t>
        </is>
      </c>
      <c r="J359" s="163" t="n"/>
      <c r="K359" s="163" t="n"/>
      <c r="L359" s="342" t="inlineStr">
        <is>
          <t>Conclusão da desmontagem e descarte de todo o sistema de proteção contra incêndio (CO2) dos geradores e da desativação da excitatriz rotativa e equipamentos associados da 4ª UF</t>
        </is>
      </c>
      <c r="M359" s="416">
        <f>O359/$O$355</f>
        <v/>
      </c>
      <c r="N359" s="1344" t="n"/>
      <c r="O359" s="1373" t="n">
        <v>397785.9275</v>
      </c>
      <c r="P359" s="561" t="n">
        <v>59</v>
      </c>
      <c r="Q359" s="1341">
        <f>O359*0.5</f>
        <v/>
      </c>
    </row>
    <row r="360" outlineLevel="1" ht="14.4" customFormat="1" customHeight="1" s="166">
      <c r="A360" s="466">
        <f>'01_Preço'!$A$167</f>
        <v/>
      </c>
      <c r="B360" s="441">
        <f>'01_Preço'!A214</f>
        <v/>
      </c>
      <c r="C360" s="467">
        <f>'01_Preço'!B214</f>
        <v/>
      </c>
      <c r="D360" s="442" t="inlineStr">
        <is>
          <t>Reforma do gerador</t>
        </is>
      </c>
      <c r="E360" s="462" t="n"/>
      <c r="F360" s="462" t="n"/>
      <c r="G360" s="441" t="n"/>
      <c r="H360" s="441" t="n"/>
      <c r="I360" s="441" t="n"/>
      <c r="J360" s="441" t="n"/>
      <c r="K360" s="441" t="n"/>
      <c r="L360" s="442">
        <f>'01_Preço'!E214</f>
        <v/>
      </c>
      <c r="M360" s="446">
        <f>O360/$N$274</f>
        <v/>
      </c>
      <c r="N360" s="1365" t="n"/>
      <c r="O360" s="1349">
        <f>SUM(O361:O362)</f>
        <v/>
      </c>
      <c r="P360" s="556" t="n"/>
      <c r="Q360" s="1349" t="n"/>
    </row>
    <row r="361" outlineLevel="1" ht="27.6" customHeight="1">
      <c r="A361" s="393">
        <f>'01_Preço'!$A$167</f>
        <v/>
      </c>
      <c r="B361" s="389">
        <f>'01_Preço'!A214</f>
        <v/>
      </c>
      <c r="C361" s="163">
        <f>'01_Preço'!B214</f>
        <v/>
      </c>
      <c r="D361" s="167" t="inlineStr">
        <is>
          <t>Reforma do gerador</t>
        </is>
      </c>
      <c r="E361" s="453" t="n">
        <v>34</v>
      </c>
      <c r="F361" s="1343">
        <f>VLOOKUP(E361,'Tabela de mês'!$A$1:$B$70,2,TRUE)</f>
        <v/>
      </c>
      <c r="G361" s="510" t="inlineStr">
        <is>
          <t>144-MAT A</t>
        </is>
      </c>
      <c r="H361" s="489" t="inlineStr">
        <is>
          <t>INSIGHT</t>
        </is>
      </c>
      <c r="I361" s="489" t="inlineStr">
        <is>
          <t>INSIGHT</t>
        </is>
      </c>
      <c r="J361" s="482" t="n"/>
      <c r="K361" s="750" t="inlineStr">
        <is>
          <t>x</t>
        </is>
      </c>
      <c r="L361" s="342" t="inlineStr">
        <is>
          <t xml:space="preserve">Entrega em campo dos materiais, equipamentos e componentes para reforma do gerador 1ª UF </t>
        </is>
      </c>
      <c r="M361" s="416">
        <f>O361/$O$360</f>
        <v/>
      </c>
      <c r="N361" s="1344" t="n"/>
      <c r="O361" s="1355" t="n">
        <v>864650.92</v>
      </c>
      <c r="P361" s="553" t="n"/>
      <c r="Q361" s="1341" t="n"/>
    </row>
    <row r="362" outlineLevel="1" ht="27.6" customHeight="1">
      <c r="A362" s="393">
        <f>'01_Preço'!$A$167</f>
        <v/>
      </c>
      <c r="B362" s="389">
        <f>'01_Preço'!A214</f>
        <v/>
      </c>
      <c r="C362" s="163">
        <f>'01_Preço'!B214</f>
        <v/>
      </c>
      <c r="D362" s="167" t="inlineStr">
        <is>
          <t>Reforma do gerador</t>
        </is>
      </c>
      <c r="E362" s="453" t="n">
        <v>46</v>
      </c>
      <c r="F362" s="1343">
        <f>VLOOKUP(E362,'Tabela de mês'!$A$1:$B$70,2,TRUE)</f>
        <v/>
      </c>
      <c r="G362" s="510" t="inlineStr">
        <is>
          <t>145-MAT A</t>
        </is>
      </c>
      <c r="H362" s="489" t="inlineStr">
        <is>
          <t>INSIGHT</t>
        </is>
      </c>
      <c r="I362" s="489" t="inlineStr">
        <is>
          <t>INSIGHT</t>
        </is>
      </c>
      <c r="J362" s="482" t="n"/>
      <c r="K362" s="482" t="n"/>
      <c r="L362" s="342" t="inlineStr">
        <is>
          <t>Entrega em campo dos materias, equipamentos e componentes para reforma do gerador 2ª UF</t>
        </is>
      </c>
      <c r="M362" s="416">
        <f>O362/$O$360</f>
        <v/>
      </c>
      <c r="N362" s="1344" t="n"/>
      <c r="O362" s="1355" t="n">
        <v>864650.92</v>
      </c>
      <c r="P362" s="553" t="n"/>
      <c r="Q362" s="1341" t="n"/>
    </row>
    <row r="363" outlineLevel="1" ht="14.4" customFormat="1" customHeight="1" s="166">
      <c r="A363" s="466">
        <f>'01_Preço'!$A$167</f>
        <v/>
      </c>
      <c r="B363" s="441">
        <f>'01_Preço'!A216</f>
        <v/>
      </c>
      <c r="C363" s="467">
        <f>'01_Preço'!B216</f>
        <v/>
      </c>
      <c r="D363" s="442" t="inlineStr">
        <is>
          <t>Reforma do gerador</t>
        </is>
      </c>
      <c r="E363" s="462" t="n"/>
      <c r="F363" s="462" t="n"/>
      <c r="G363" s="441" t="n"/>
      <c r="H363" s="490" t="n"/>
      <c r="I363" s="490" t="n"/>
      <c r="J363" s="441" t="n"/>
      <c r="K363" s="441" t="n"/>
      <c r="L363" s="442">
        <f>'01_Preço'!E216</f>
        <v/>
      </c>
      <c r="M363" s="446">
        <f>O363/$N$274</f>
        <v/>
      </c>
      <c r="N363" s="1365" t="n"/>
      <c r="O363" s="1349">
        <f>SUM(O364:O365)</f>
        <v/>
      </c>
      <c r="P363" s="553" t="n"/>
      <c r="Q363" s="1341" t="n"/>
    </row>
    <row r="364" outlineLevel="1" ht="27.6" customHeight="1">
      <c r="A364" s="393">
        <f>'01_Preço'!$A$167</f>
        <v/>
      </c>
      <c r="B364" s="389">
        <f>'01_Preço'!A216</f>
        <v/>
      </c>
      <c r="C364" s="163">
        <f>'01_Preço'!B222</f>
        <v/>
      </c>
      <c r="D364" s="167" t="inlineStr">
        <is>
          <t>Reforma do gerador</t>
        </is>
      </c>
      <c r="E364" s="453" t="n">
        <v>34</v>
      </c>
      <c r="F364" s="1343">
        <f>VLOOKUP(E364,'Tabela de mês'!$A$1:$B$70,2,TRUE)</f>
        <v/>
      </c>
      <c r="G364" s="510" t="inlineStr">
        <is>
          <t>144-MAT B</t>
        </is>
      </c>
      <c r="H364" s="489" t="inlineStr">
        <is>
          <t>INSIGHT</t>
        </is>
      </c>
      <c r="I364" s="489" t="inlineStr">
        <is>
          <t>INSIGHT</t>
        </is>
      </c>
      <c r="J364" s="482" t="n"/>
      <c r="K364" s="482" t="n"/>
      <c r="L364" s="342" t="inlineStr">
        <is>
          <t xml:space="preserve">Entrega em campo dos materiais, equipamentos e componentes para reforma do gerador 1ª UF </t>
        </is>
      </c>
      <c r="M364" s="416">
        <f>O364/$O$363</f>
        <v/>
      </c>
      <c r="N364" s="1344" t="n"/>
      <c r="O364" s="1355" t="n">
        <v>383185.84</v>
      </c>
      <c r="P364" s="553" t="n"/>
      <c r="Q364" s="1341" t="n"/>
    </row>
    <row r="365" outlineLevel="1" ht="27.6" customHeight="1">
      <c r="A365" s="393">
        <f>'01_Preço'!$A$167</f>
        <v/>
      </c>
      <c r="B365" s="389">
        <f>'01_Preço'!A216</f>
        <v/>
      </c>
      <c r="C365" s="163">
        <f>'01_Preço'!B222</f>
        <v/>
      </c>
      <c r="D365" s="167" t="inlineStr">
        <is>
          <t>Reforma do gerador</t>
        </is>
      </c>
      <c r="E365" s="453" t="n">
        <v>46</v>
      </c>
      <c r="F365" s="1343">
        <f>VLOOKUP(E365,'Tabela de mês'!$A$1:$B$70,2,TRUE)</f>
        <v/>
      </c>
      <c r="G365" s="510" t="inlineStr">
        <is>
          <t>145-MAT B</t>
        </is>
      </c>
      <c r="H365" s="489" t="inlineStr">
        <is>
          <t>INSIGHT</t>
        </is>
      </c>
      <c r="I365" s="489" t="inlineStr">
        <is>
          <t>INSIGHT</t>
        </is>
      </c>
      <c r="J365" s="482" t="n"/>
      <c r="K365" s="482" t="n"/>
      <c r="L365" s="342" t="inlineStr">
        <is>
          <t xml:space="preserve">Entrega em campo dos materiais, equipamentos e componentes para reforma do gerador 2ª UF </t>
        </is>
      </c>
      <c r="M365" s="416">
        <f>O365/$O$363</f>
        <v/>
      </c>
      <c r="N365" s="1344" t="n"/>
      <c r="O365" s="1355" t="n">
        <v>383185.84</v>
      </c>
      <c r="P365" s="556" t="n"/>
      <c r="Q365" s="1349" t="n"/>
    </row>
    <row r="366" outlineLevel="1" ht="51" customFormat="1" customHeight="1" s="166">
      <c r="A366" s="466">
        <f>'01_Preço'!$A$167</f>
        <v/>
      </c>
      <c r="B366" s="441">
        <f>CONCATENATE('01_Preço'!$A$218," e ",'01_Preço'!$A$220," e ",'01_Preço'!$A$222)</f>
        <v/>
      </c>
      <c r="C366" s="467">
        <f>'01_Preço'!B218</f>
        <v/>
      </c>
      <c r="D366" s="442" t="inlineStr">
        <is>
          <t>Reforma do gerador</t>
        </is>
      </c>
      <c r="E366" s="462" t="n"/>
      <c r="F366" s="441" t="n"/>
      <c r="G366" s="441" t="n"/>
      <c r="H366" s="441" t="inlineStr">
        <is>
          <t>INSIGHT</t>
        </is>
      </c>
      <c r="I366" s="441" t="inlineStr">
        <is>
          <t>INSIGHT</t>
        </is>
      </c>
      <c r="J366" s="441" t="n"/>
      <c r="K366" s="441" t="n"/>
      <c r="L366" s="442">
        <f>CONCATENATE('01_Preço'!$E$218," e ",'01_Preço'!$E$220," e ",'01_Preço'!$E$222)</f>
        <v/>
      </c>
      <c r="M366" s="446">
        <f>O366/$N$274</f>
        <v/>
      </c>
      <c r="N366" s="1365" t="n"/>
      <c r="O366" s="1349">
        <f>SUM(O367:O368)</f>
        <v/>
      </c>
      <c r="P366" s="553" t="n"/>
      <c r="Q366" s="1341" t="n"/>
    </row>
    <row r="367" outlineLevel="1" ht="41.4" customHeight="1">
      <c r="A367" s="393">
        <f>'01_Preço'!$A$167</f>
        <v/>
      </c>
      <c r="B367" s="389">
        <f>CONCATENATE('01_Preço'!$A$218," e ",'01_Preço'!$A$220," e ",'01_Preço'!$A$222)</f>
        <v/>
      </c>
      <c r="C367" s="163">
        <f>'01_Preço'!B218</f>
        <v/>
      </c>
      <c r="D367" s="167" t="inlineStr">
        <is>
          <t>Reforma do gerador</t>
        </is>
      </c>
      <c r="E367" s="453" t="n">
        <v>34</v>
      </c>
      <c r="F367" s="1343">
        <f>VLOOKUP(E367,'Tabela de mês'!$A$1:$B$70,2,TRUE)</f>
        <v/>
      </c>
      <c r="G367" s="511" t="inlineStr">
        <is>
          <t>146-MAT</t>
        </is>
      </c>
      <c r="H367" s="489" t="inlineStr">
        <is>
          <t>INSIGHT</t>
        </is>
      </c>
      <c r="I367" s="489" t="inlineStr">
        <is>
          <t>INSIGHT</t>
        </is>
      </c>
      <c r="J367" s="482" t="n"/>
      <c r="K367" s="482" t="n"/>
      <c r="L367" s="342" t="inlineStr">
        <is>
          <t>Entrega em campo dos materiais, equipamentos e componentes para reforma do gerador 1ª UF - Parcela 1</t>
        </is>
      </c>
      <c r="M367" s="416">
        <f>O367/$O$363</f>
        <v/>
      </c>
      <c r="N367" s="1344" t="n"/>
      <c r="O367" s="1342" t="n">
        <v>118637.91</v>
      </c>
      <c r="P367" s="553" t="n"/>
      <c r="Q367" s="1341" t="n"/>
    </row>
    <row r="368" outlineLevel="1" ht="41.4" customHeight="1">
      <c r="A368" s="393">
        <f>'01_Preço'!$A$167</f>
        <v/>
      </c>
      <c r="B368" s="389">
        <f>CONCATENATE('01_Preço'!$A$218," e ",'01_Preço'!$A$220," e ",'01_Preço'!$A$222)</f>
        <v/>
      </c>
      <c r="C368" s="163">
        <f>'01_Preço'!B218</f>
        <v/>
      </c>
      <c r="D368" s="167" t="inlineStr">
        <is>
          <t>Reforma do gerador</t>
        </is>
      </c>
      <c r="E368" s="453" t="n">
        <v>46</v>
      </c>
      <c r="F368" s="1343">
        <f>VLOOKUP(E368,'Tabela de mês'!$A$1:$B$70,2,TRUE)</f>
        <v/>
      </c>
      <c r="G368" s="511" t="inlineStr">
        <is>
          <t>147-MAT</t>
        </is>
      </c>
      <c r="H368" s="489" t="inlineStr">
        <is>
          <t>INSIGHT</t>
        </is>
      </c>
      <c r="I368" s="489" t="inlineStr">
        <is>
          <t>INSIGHT</t>
        </is>
      </c>
      <c r="J368" s="482" t="n"/>
      <c r="K368" s="482" t="n"/>
      <c r="L368" s="342" t="inlineStr">
        <is>
          <t>Entrega em campo dos materiais, equipamentos e componentes para reforma do gerador 2ª UF - Parcela 1</t>
        </is>
      </c>
      <c r="M368" s="416">
        <f>O368/$O$363</f>
        <v/>
      </c>
      <c r="N368" s="1344" t="n"/>
      <c r="O368" s="1373" t="n">
        <v>118637.91</v>
      </c>
      <c r="P368" s="556" t="n"/>
      <c r="Q368" s="1349" t="n"/>
    </row>
    <row r="369" outlineLevel="1" ht="82.8" customFormat="1" customHeight="1" s="166">
      <c r="A369" s="466">
        <f>'01_Preço'!$A$167</f>
        <v/>
      </c>
      <c r="B369" s="441">
        <f>CONCATENATE('01_Preço'!$A$224," e ",'01_Preço'!$A$226," e ",'01_Preço'!$A$228," e ",'01_Preço'!$A$230)</f>
        <v/>
      </c>
      <c r="C369" s="467">
        <f>'01_Preço'!B224</f>
        <v/>
      </c>
      <c r="D369" s="442" t="inlineStr">
        <is>
          <t>Equipamentos e materiais</t>
        </is>
      </c>
      <c r="E369" s="462" t="n"/>
      <c r="F369" s="462" t="n"/>
      <c r="G369" s="441" t="n"/>
      <c r="H369" s="441" t="n"/>
      <c r="I369" s="441" t="n"/>
      <c r="J369" s="441" t="n"/>
      <c r="K369" s="441" t="n"/>
      <c r="L369" s="442">
        <f>CONCATENATE('01_Preço'!$E$224," e ",'01_Preço'!$E$226," e ",'01_Preço'!$E$228," e ",'01_Preço'!$E$230)</f>
        <v/>
      </c>
      <c r="M369" s="446">
        <f>O369/$N$274</f>
        <v/>
      </c>
      <c r="N369" s="1365" t="n"/>
      <c r="O369" s="1349">
        <f>SUM(O370:O373)</f>
        <v/>
      </c>
      <c r="P369" s="553" t="n"/>
      <c r="Q369" s="1341" t="n"/>
    </row>
    <row r="370" outlineLevel="1" ht="55.2" customHeight="1">
      <c r="A370" s="393">
        <f>'01_Preço'!$A$167</f>
        <v/>
      </c>
      <c r="B370" s="389">
        <f>CONCATENATE('01_Preço'!$A$224," e ",'01_Preço'!$A$226," e ",'01_Preço'!$A$228," e ",'01_Preço'!$A$230)</f>
        <v/>
      </c>
      <c r="C370" s="163">
        <f>'01_Preço'!$B$224</f>
        <v/>
      </c>
      <c r="D370" s="167" t="inlineStr">
        <is>
          <t>Equipamentos e materiais</t>
        </is>
      </c>
      <c r="E370" s="453" t="n">
        <v>34</v>
      </c>
      <c r="F370" s="1343">
        <f>VLOOKUP(E370,'Tabela de mês'!$A$1:$B$70,2,TRUE)</f>
        <v/>
      </c>
      <c r="G370" s="510" t="inlineStr">
        <is>
          <t>148-MAT</t>
        </is>
      </c>
      <c r="H370" s="163" t="inlineStr">
        <is>
          <t>INSIGHT</t>
        </is>
      </c>
      <c r="I370" s="163" t="inlineStr">
        <is>
          <t>INSIGHT</t>
        </is>
      </c>
      <c r="J370" s="163" t="n"/>
      <c r="K370" s="163" t="n"/>
      <c r="L370" s="342" t="inlineStr">
        <is>
          <t>Entrega em campo dos materiais, equipamentos e componentes para reforma do gerador 1ª UF</t>
        </is>
      </c>
      <c r="M370" s="416">
        <f>O370/$O$369</f>
        <v/>
      </c>
      <c r="N370" s="1344" t="n"/>
      <c r="O370" s="1373" t="n">
        <v>2714506.15</v>
      </c>
      <c r="P370" s="553" t="n"/>
      <c r="Q370" s="1341" t="n"/>
    </row>
    <row r="371" outlineLevel="1" ht="55.2" customHeight="1">
      <c r="A371" s="393">
        <f>'01_Preço'!$A$167</f>
        <v/>
      </c>
      <c r="B371" s="389">
        <f>CONCATENATE('01_Preço'!$A$224," e ",'01_Preço'!$A$226," e ",'01_Preço'!$A$228," e ",'01_Preço'!$A$230)</f>
        <v/>
      </c>
      <c r="C371" s="163">
        <f>'01_Preço'!$B$224</f>
        <v/>
      </c>
      <c r="D371" s="167" t="inlineStr">
        <is>
          <t>Equipamentos e materiais</t>
        </is>
      </c>
      <c r="E371" s="453" t="n">
        <v>46</v>
      </c>
      <c r="F371" s="1343">
        <f>VLOOKUP(E371,'Tabela de mês'!$A$1:$B$70,2,TRUE)</f>
        <v/>
      </c>
      <c r="G371" s="510" t="inlineStr">
        <is>
          <t>149-MAT</t>
        </is>
      </c>
      <c r="H371" s="163" t="inlineStr">
        <is>
          <t>INSIGHT</t>
        </is>
      </c>
      <c r="I371" s="163" t="inlineStr">
        <is>
          <t>INSIGHT</t>
        </is>
      </c>
      <c r="J371" s="163" t="n"/>
      <c r="K371" s="163" t="n"/>
      <c r="L371" s="342" t="inlineStr">
        <is>
          <t>Entrega em campo dos materiais, equipamentos e componentes para reforma do gerador 2ª UF</t>
        </is>
      </c>
      <c r="M371" s="416">
        <f>O371/$O$369</f>
        <v/>
      </c>
      <c r="N371" s="1344" t="n"/>
      <c r="O371" s="1373" t="n">
        <v>2714506.15</v>
      </c>
      <c r="P371" s="556" t="n"/>
      <c r="Q371" s="1349" t="n"/>
    </row>
    <row r="372" outlineLevel="1" ht="55.2" customHeight="1">
      <c r="A372" s="393">
        <f>'01_Preço'!$A$167</f>
        <v/>
      </c>
      <c r="B372" s="389">
        <f>CONCATENATE('01_Preço'!$A$224," e ",'01_Preço'!$A$226," e ",'01_Preço'!$A$228," e ",'01_Preço'!$A$230)</f>
        <v/>
      </c>
      <c r="C372" s="163">
        <f>'01_Preço'!$B$224</f>
        <v/>
      </c>
      <c r="D372" s="167" t="inlineStr">
        <is>
          <t>Equipamentos e materiais</t>
        </is>
      </c>
      <c r="E372" s="453" t="n">
        <v>54</v>
      </c>
      <c r="F372" s="1343">
        <f>VLOOKUP(E372,'Tabela de mês'!$A$1:$B$70,2,TRUE)</f>
        <v/>
      </c>
      <c r="G372" s="510" t="inlineStr">
        <is>
          <t>150-MAT</t>
        </is>
      </c>
      <c r="H372" s="163" t="inlineStr">
        <is>
          <t>INSIGHT</t>
        </is>
      </c>
      <c r="I372" s="163" t="inlineStr">
        <is>
          <t>INSIGHT</t>
        </is>
      </c>
      <c r="J372" s="163" t="n"/>
      <c r="K372" s="163" t="n"/>
      <c r="L372" s="342" t="inlineStr">
        <is>
          <t>Entrega em campo dos materiais, equipamentos e componentes para reforma do gerador 3ª UF</t>
        </is>
      </c>
      <c r="M372" s="416">
        <f>O372/$O$369</f>
        <v/>
      </c>
      <c r="N372" s="1344" t="n"/>
      <c r="O372" s="1373">
        <f>771502.05+150000</f>
        <v/>
      </c>
      <c r="P372" s="553" t="n"/>
      <c r="Q372" s="1341" t="n"/>
    </row>
    <row r="373" outlineLevel="1" ht="55.2" customHeight="1">
      <c r="A373" s="393">
        <f>'01_Preço'!$A$167</f>
        <v/>
      </c>
      <c r="B373" s="389">
        <f>CONCATENATE('01_Preço'!$A$224," e ",'01_Preço'!$A$226," e ",'01_Preço'!$A$228," e ",'01_Preço'!$A$230)</f>
        <v/>
      </c>
      <c r="C373" s="163">
        <f>'01_Preço'!$B$224</f>
        <v/>
      </c>
      <c r="D373" s="167" t="inlineStr">
        <is>
          <t>Equipamentos e materiais</t>
        </is>
      </c>
      <c r="E373" s="453" t="n">
        <v>63</v>
      </c>
      <c r="F373" s="1343">
        <f>VLOOKUP(E373,'Tabela de mês'!$A$1:$B$70,2,TRUE)</f>
        <v/>
      </c>
      <c r="G373" s="510" t="inlineStr">
        <is>
          <t>151-MAT</t>
        </is>
      </c>
      <c r="H373" s="163" t="inlineStr">
        <is>
          <t>INSIGHT</t>
        </is>
      </c>
      <c r="I373" s="163" t="inlineStr">
        <is>
          <t>INSIGHT</t>
        </is>
      </c>
      <c r="J373" s="163" t="n"/>
      <c r="K373" s="163" t="n"/>
      <c r="L373" s="342" t="inlineStr">
        <is>
          <t>Entrega em campo dos materiais, equipamentos e componentes para reforma do gerador 4ª UF</t>
        </is>
      </c>
      <c r="M373" s="416">
        <f>O373/$O$369</f>
        <v/>
      </c>
      <c r="N373" s="1344" t="n"/>
      <c r="O373" s="1373" t="n">
        <v>921502.05</v>
      </c>
      <c r="P373" s="553" t="n"/>
      <c r="Q373" s="1341" t="n"/>
    </row>
    <row r="374" outlineLevel="1" ht="14.4" customFormat="1" customHeight="1" s="166">
      <c r="A374" s="466">
        <f>'01_Preço'!$A$167</f>
        <v/>
      </c>
      <c r="B374" s="441">
        <f>'01_Preço'!A236</f>
        <v/>
      </c>
      <c r="C374" s="467">
        <f>'01_Preço'!B236</f>
        <v/>
      </c>
      <c r="D374" s="442" t="inlineStr">
        <is>
          <t>Equipamentos e materiais</t>
        </is>
      </c>
      <c r="E374" s="462" t="n"/>
      <c r="F374" s="462" t="n"/>
      <c r="G374" s="441" t="n"/>
      <c r="H374" s="441" t="n"/>
      <c r="I374" s="441" t="n"/>
      <c r="J374" s="441" t="n"/>
      <c r="K374" s="441" t="n"/>
      <c r="L374" s="442">
        <f>'01_Preço'!E236</f>
        <v/>
      </c>
      <c r="M374" s="446">
        <f>O374/$N$274</f>
        <v/>
      </c>
      <c r="N374" s="1365" t="n"/>
      <c r="O374" s="1349">
        <f>SUM(O375:O378)</f>
        <v/>
      </c>
      <c r="P374" s="556" t="n"/>
      <c r="Q374" s="1349" t="n"/>
    </row>
    <row r="375" outlineLevel="1" ht="27.6" customHeight="1">
      <c r="A375" s="393">
        <f>'01_Preço'!$A$167</f>
        <v/>
      </c>
      <c r="B375" s="389">
        <f>'01_Preço'!A236</f>
        <v/>
      </c>
      <c r="C375" s="389">
        <f>'01_Preço'!$B$224</f>
        <v/>
      </c>
      <c r="D375" s="423" t="inlineStr">
        <is>
          <t>Equipamentos e materiais</t>
        </is>
      </c>
      <c r="E375" s="453" t="n">
        <v>34</v>
      </c>
      <c r="F375" s="1343">
        <f>VLOOKUP(E375,'Tabela de mês'!$A$1:$B$70,2,TRUE)</f>
        <v/>
      </c>
      <c r="G375" s="510" t="inlineStr">
        <is>
          <t>484-MAT</t>
        </is>
      </c>
      <c r="H375" s="389" t="inlineStr">
        <is>
          <t>AQTECH</t>
        </is>
      </c>
      <c r="I375" s="497" t="inlineStr">
        <is>
          <t>FAT. DIRETO</t>
        </is>
      </c>
      <c r="J375" s="389" t="n"/>
      <c r="K375" s="389" t="n"/>
      <c r="L375" s="342" t="inlineStr">
        <is>
          <t>Entrega em campo dos materiais, equipamentos e componentes do sistema de monitoramento e vibração da 1ªUF, quadro PAD# e SMC</t>
        </is>
      </c>
      <c r="M375" s="416">
        <f>O375/$O$369</f>
        <v/>
      </c>
      <c r="N375" s="1376" t="n"/>
      <c r="O375" s="1355" t="n">
        <v>249000</v>
      </c>
      <c r="P375" s="553" t="n"/>
      <c r="Q375" s="1341" t="n"/>
    </row>
    <row r="376" outlineLevel="1" ht="27.6" customHeight="1">
      <c r="A376" s="393">
        <f>'01_Preço'!$A$167</f>
        <v/>
      </c>
      <c r="B376" s="389">
        <f>'01_Preço'!A236</f>
        <v/>
      </c>
      <c r="C376" s="389">
        <f>'01_Preço'!$B$224</f>
        <v/>
      </c>
      <c r="D376" s="423" t="inlineStr">
        <is>
          <t>Equipamentos e materiais</t>
        </is>
      </c>
      <c r="E376" s="453" t="n">
        <v>46</v>
      </c>
      <c r="F376" s="1343">
        <f>VLOOKUP(E376,'Tabela de mês'!$A$1:$B$70,2,TRUE)</f>
        <v/>
      </c>
      <c r="G376" s="510" t="inlineStr">
        <is>
          <t>485-MAT</t>
        </is>
      </c>
      <c r="H376" s="389" t="inlineStr">
        <is>
          <t>AQTECH</t>
        </is>
      </c>
      <c r="I376" s="497" t="inlineStr">
        <is>
          <t>FAT. DIRETO</t>
        </is>
      </c>
      <c r="J376" s="389" t="n"/>
      <c r="K376" s="389" t="n"/>
      <c r="L376" s="342" t="inlineStr">
        <is>
          <t>Entrega em campo dos materiais, equipamentos e componentes do sistema de monitoramento e vibração da 2ªUF, quadro PAD# e SMC</t>
        </is>
      </c>
      <c r="M376" s="416">
        <f>O376/$O$369</f>
        <v/>
      </c>
      <c r="N376" s="1376" t="n"/>
      <c r="O376" s="1355" t="n">
        <v>249000</v>
      </c>
      <c r="P376" s="553" t="n"/>
      <c r="Q376" s="1341" t="n"/>
    </row>
    <row r="377" outlineLevel="1" ht="27.6" customHeight="1">
      <c r="A377" s="393">
        <f>'01_Preço'!$A$167</f>
        <v/>
      </c>
      <c r="B377" s="389">
        <f>'01_Preço'!A236</f>
        <v/>
      </c>
      <c r="C377" s="389">
        <f>'01_Preço'!$B$224</f>
        <v/>
      </c>
      <c r="D377" s="423" t="inlineStr">
        <is>
          <t>Equipamentos e materiais</t>
        </is>
      </c>
      <c r="E377" s="453" t="n">
        <v>54</v>
      </c>
      <c r="F377" s="1343">
        <f>VLOOKUP(E377,'Tabela de mês'!$A$1:$B$70,2,TRUE)</f>
        <v/>
      </c>
      <c r="G377" s="510" t="inlineStr">
        <is>
          <t>486-MAT</t>
        </is>
      </c>
      <c r="H377" s="389" t="inlineStr">
        <is>
          <t>AQTECH</t>
        </is>
      </c>
      <c r="I377" s="497" t="inlineStr">
        <is>
          <t>FAT. DIRETO</t>
        </is>
      </c>
      <c r="J377" s="389" t="n"/>
      <c r="K377" s="389" t="n"/>
      <c r="L377" s="342" t="inlineStr">
        <is>
          <t>Entrega em campo dos materiais, equipamentos e componentes do sistema de monitoramento e vibração da 3ªUF, quadro PAD# e SMC</t>
        </is>
      </c>
      <c r="M377" s="416">
        <f>O377/$O$369</f>
        <v/>
      </c>
      <c r="N377" s="1376" t="n"/>
      <c r="O377" s="1355" t="n">
        <v>249000</v>
      </c>
      <c r="P377" s="553" t="n"/>
      <c r="Q377" s="1341" t="n"/>
    </row>
    <row r="378" outlineLevel="1" ht="27.6" customHeight="1">
      <c r="A378" s="393">
        <f>'01_Preço'!$A$167</f>
        <v/>
      </c>
      <c r="B378" s="389">
        <f>'01_Preço'!A236</f>
        <v/>
      </c>
      <c r="C378" s="389">
        <f>'01_Preço'!$B$224</f>
        <v/>
      </c>
      <c r="D378" s="423" t="inlineStr">
        <is>
          <t>Equipamentos e materiais</t>
        </is>
      </c>
      <c r="E378" s="453" t="n">
        <v>63</v>
      </c>
      <c r="F378" s="1343">
        <f>VLOOKUP(E378,'Tabela de mês'!$A$1:$B$70,2,TRUE)</f>
        <v/>
      </c>
      <c r="G378" s="510" t="inlineStr">
        <is>
          <t>487-MAT</t>
        </is>
      </c>
      <c r="H378" s="389" t="inlineStr">
        <is>
          <t>AQTECH</t>
        </is>
      </c>
      <c r="I378" s="497" t="inlineStr">
        <is>
          <t>FAT. DIRETO</t>
        </is>
      </c>
      <c r="J378" s="389" t="n"/>
      <c r="K378" s="389" t="n"/>
      <c r="L378" s="342" t="inlineStr">
        <is>
          <t>Entrega em campo dos materiais, equipamentos e componentes do sistema de monitoramento e vibração da 4ªUF, quadro PAD# e SMC</t>
        </is>
      </c>
      <c r="M378" s="416">
        <f>O378/$O$369</f>
        <v/>
      </c>
      <c r="N378" s="1376" t="n"/>
      <c r="O378" s="1355" t="n">
        <v>249000</v>
      </c>
      <c r="P378" s="553" t="n"/>
      <c r="Q378" s="1341" t="n"/>
    </row>
    <row r="379" outlineLevel="1" ht="14.4" customFormat="1" customHeight="1" s="166">
      <c r="A379" s="466">
        <f>'01_Preço'!$A$167</f>
        <v/>
      </c>
      <c r="B379" s="441">
        <f>'01_Preço'!A232</f>
        <v/>
      </c>
      <c r="C379" s="467">
        <f>'01_Preço'!B232</f>
        <v/>
      </c>
      <c r="D379" s="442" t="inlineStr">
        <is>
          <t>Reforma do gerador</t>
        </is>
      </c>
      <c r="E379" s="462" t="n"/>
      <c r="F379" s="462" t="n"/>
      <c r="G379" s="441" t="n"/>
      <c r="H379" s="441" t="n"/>
      <c r="I379" s="441" t="n"/>
      <c r="J379" s="441" t="n"/>
      <c r="K379" s="441" t="n"/>
      <c r="L379" s="442">
        <f>'01_Preço'!E232</f>
        <v/>
      </c>
      <c r="M379" s="446">
        <f>O379/$N$274</f>
        <v/>
      </c>
      <c r="N379" s="1365" t="n"/>
      <c r="O379" s="1349">
        <f>SUM(O380:O383)</f>
        <v/>
      </c>
      <c r="P379" s="556" t="n"/>
      <c r="Q379" s="1349" t="n"/>
    </row>
    <row r="380" outlineLevel="1" ht="27.6" customHeight="1">
      <c r="A380" s="393">
        <f>'01_Preço'!$A$167</f>
        <v/>
      </c>
      <c r="B380" s="389">
        <f>'01_Preço'!A232</f>
        <v/>
      </c>
      <c r="C380" s="163">
        <f>'01_Preço'!$B$232</f>
        <v/>
      </c>
      <c r="D380" s="167" t="inlineStr">
        <is>
          <t>Reforma do gerador</t>
        </is>
      </c>
      <c r="E380" s="453" t="n">
        <v>34</v>
      </c>
      <c r="F380" s="1343">
        <f>VLOOKUP(E380,'Tabela de mês'!$A$1:$B$70,2,TRUE)</f>
        <v/>
      </c>
      <c r="G380" s="510" t="inlineStr">
        <is>
          <t>152-MAT A</t>
        </is>
      </c>
      <c r="H380" s="163" t="inlineStr">
        <is>
          <t>INSIGHT</t>
        </is>
      </c>
      <c r="I380" s="163" t="inlineStr">
        <is>
          <t>INSIGHT</t>
        </is>
      </c>
      <c r="J380" s="163" t="n"/>
      <c r="K380" s="163" t="n"/>
      <c r="L380" s="342" t="inlineStr">
        <is>
          <t>Entrega em campo dos materiais, equipamentos e componentes para reforma do gerador 1ª UF</t>
        </is>
      </c>
      <c r="M380" s="416">
        <f>O380/$O$379</f>
        <v/>
      </c>
      <c r="N380" s="1344" t="n"/>
      <c r="O380" s="1355" t="n">
        <v>351345.38</v>
      </c>
      <c r="P380" s="561" t="n">
        <v>32</v>
      </c>
      <c r="Q380" s="1341">
        <f>O380*0.5</f>
        <v/>
      </c>
    </row>
    <row r="381" outlineLevel="1" ht="27.6" customHeight="1">
      <c r="A381" s="393">
        <f>'01_Preço'!$A$167</f>
        <v/>
      </c>
      <c r="B381" s="389">
        <f>'01_Preço'!A232</f>
        <v/>
      </c>
      <c r="C381" s="163">
        <f>'01_Preço'!$B$232</f>
        <v/>
      </c>
      <c r="D381" s="167" t="inlineStr">
        <is>
          <t>Reforma do gerador</t>
        </is>
      </c>
      <c r="E381" s="453" t="n">
        <v>46</v>
      </c>
      <c r="F381" s="1343">
        <f>VLOOKUP(E381,'Tabela de mês'!$A$1:$B$70,2,TRUE)</f>
        <v/>
      </c>
      <c r="G381" s="510" t="inlineStr">
        <is>
          <t>153-MAT A</t>
        </is>
      </c>
      <c r="H381" s="163" t="inlineStr">
        <is>
          <t>INSIGHT</t>
        </is>
      </c>
      <c r="I381" s="163" t="inlineStr">
        <is>
          <t>INSIGHT</t>
        </is>
      </c>
      <c r="J381" s="163" t="n"/>
      <c r="K381" s="163" t="n"/>
      <c r="L381" s="342" t="inlineStr">
        <is>
          <t>Entrega em campo dos materiais, equipamentos e componentes para reforma do gerador 2ª UF</t>
        </is>
      </c>
      <c r="M381" s="416">
        <f>O381/$O$379</f>
        <v/>
      </c>
      <c r="N381" s="1344" t="n"/>
      <c r="O381" s="1355" t="n">
        <v>351345.38</v>
      </c>
      <c r="P381" s="561" t="n">
        <v>45</v>
      </c>
      <c r="Q381" s="1341">
        <f>O381*0.5</f>
        <v/>
      </c>
    </row>
    <row r="382" outlineLevel="1" ht="27.6" customHeight="1">
      <c r="A382" s="393">
        <f>'01_Preço'!$A$167</f>
        <v/>
      </c>
      <c r="B382" s="389">
        <f>'01_Preço'!A232</f>
        <v/>
      </c>
      <c r="C382" s="163">
        <f>'01_Preço'!$B$232</f>
        <v/>
      </c>
      <c r="D382" s="167" t="inlineStr">
        <is>
          <t>Reforma do gerador</t>
        </is>
      </c>
      <c r="E382" s="453" t="n">
        <v>54</v>
      </c>
      <c r="F382" s="1343">
        <f>VLOOKUP(E382,'Tabela de mês'!$A$1:$B$70,2,TRUE)</f>
        <v/>
      </c>
      <c r="G382" s="510" t="inlineStr">
        <is>
          <t>154-MAT A</t>
        </is>
      </c>
      <c r="H382" s="163" t="inlineStr">
        <is>
          <t>INSIGHT</t>
        </is>
      </c>
      <c r="I382" s="163" t="inlineStr">
        <is>
          <t>INSIGHT</t>
        </is>
      </c>
      <c r="J382" s="163" t="n"/>
      <c r="K382" s="163" t="n"/>
      <c r="L382" s="342" t="inlineStr">
        <is>
          <t>Entrega em campo dos materiais, equipamentos e componentes para reforma do gerador 3ª UF</t>
        </is>
      </c>
      <c r="M382" s="416">
        <f>O382/$O$379</f>
        <v/>
      </c>
      <c r="N382" s="1344" t="n"/>
      <c r="O382" s="1355" t="n">
        <v>351345.38</v>
      </c>
      <c r="P382" s="561" t="n">
        <v>52</v>
      </c>
      <c r="Q382" s="1341">
        <f>O382*0.5</f>
        <v/>
      </c>
    </row>
    <row r="383" outlineLevel="1" ht="27.6" customHeight="1">
      <c r="A383" s="393">
        <f>'01_Preço'!$A$167</f>
        <v/>
      </c>
      <c r="B383" s="389">
        <f>'01_Preço'!A232</f>
        <v/>
      </c>
      <c r="C383" s="163">
        <f>'01_Preço'!$B$232</f>
        <v/>
      </c>
      <c r="D383" s="167" t="inlineStr">
        <is>
          <t>Reforma do gerador</t>
        </is>
      </c>
      <c r="E383" s="453" t="n">
        <v>63</v>
      </c>
      <c r="F383" s="1343">
        <f>VLOOKUP(E383,'Tabela de mês'!$A$1:$B$70,2,TRUE)</f>
        <v/>
      </c>
      <c r="G383" s="510" t="inlineStr">
        <is>
          <t>155-MAT A</t>
        </is>
      </c>
      <c r="H383" s="163" t="inlineStr">
        <is>
          <t>INSIGHT</t>
        </is>
      </c>
      <c r="I383" s="163" t="inlineStr">
        <is>
          <t>INSIGHT</t>
        </is>
      </c>
      <c r="J383" s="163" t="n"/>
      <c r="K383" s="163" t="n"/>
      <c r="L383" s="342" t="inlineStr">
        <is>
          <t>Entrega em campo dos materiais, equipamentos e componentes para reforma do gerador 4ª UF</t>
        </is>
      </c>
      <c r="M383" s="416">
        <f>O383/$O$379</f>
        <v/>
      </c>
      <c r="N383" s="1344" t="n"/>
      <c r="O383" s="1355" t="n">
        <v>351345.38</v>
      </c>
      <c r="P383" s="561" t="n">
        <v>59</v>
      </c>
      <c r="Q383" s="1341">
        <f>O383*0.5</f>
        <v/>
      </c>
    </row>
    <row r="384" outlineLevel="1" ht="14.4" customFormat="1" customHeight="1" s="166">
      <c r="A384" s="466">
        <f>'01_Preço'!$A$167</f>
        <v/>
      </c>
      <c r="B384" s="441">
        <f>'01_Preço'!A234</f>
        <v/>
      </c>
      <c r="C384" s="467">
        <f>'01_Preço'!B234</f>
        <v/>
      </c>
      <c r="D384" s="442" t="inlineStr">
        <is>
          <t>Reforma do gerador</t>
        </is>
      </c>
      <c r="E384" s="462" t="n"/>
      <c r="F384" s="462" t="n"/>
      <c r="G384" s="441" t="n"/>
      <c r="H384" s="441" t="n"/>
      <c r="I384" s="441" t="n"/>
      <c r="J384" s="441" t="n"/>
      <c r="K384" s="441" t="n"/>
      <c r="L384" s="442">
        <f>'01_Preço'!E234</f>
        <v/>
      </c>
      <c r="M384" s="446">
        <f>O384/$N$274</f>
        <v/>
      </c>
      <c r="N384" s="1365" t="n"/>
      <c r="O384" s="1349">
        <f>SUM(O385:O388)</f>
        <v/>
      </c>
      <c r="P384" s="556" t="n"/>
      <c r="Q384" s="1349" t="n"/>
    </row>
    <row r="385" outlineLevel="1" ht="27.6" customHeight="1">
      <c r="A385" s="393">
        <f>'01_Preço'!$A$167</f>
        <v/>
      </c>
      <c r="B385" s="389">
        <f>'01_Preço'!A234</f>
        <v/>
      </c>
      <c r="C385" s="163">
        <f>'01_Preço'!$B$234</f>
        <v/>
      </c>
      <c r="D385" s="167" t="inlineStr">
        <is>
          <t>Reforma do gerador</t>
        </is>
      </c>
      <c r="E385" s="453" t="n">
        <v>34</v>
      </c>
      <c r="F385" s="1343">
        <f>VLOOKUP(E385,'Tabela de mês'!$A$1:$B$70,2,TRUE)</f>
        <v/>
      </c>
      <c r="G385" s="510" t="inlineStr">
        <is>
          <t>152-MAT B</t>
        </is>
      </c>
      <c r="H385" s="163" t="inlineStr">
        <is>
          <t>INSIGHT</t>
        </is>
      </c>
      <c r="I385" s="163" t="inlineStr">
        <is>
          <t>INSIGHT</t>
        </is>
      </c>
      <c r="J385" s="163" t="n"/>
      <c r="K385" s="163" t="n"/>
      <c r="L385" s="342" t="inlineStr">
        <is>
          <t>Entrega em campo dos materiais, equipamentos e componentes para reforma do gerador 1ª UF</t>
        </is>
      </c>
      <c r="M385" s="416">
        <f>O385/$O$384</f>
        <v/>
      </c>
      <c r="N385" s="1344" t="n"/>
      <c r="O385" s="1355" t="n">
        <v>90958.98</v>
      </c>
      <c r="P385" s="561" t="n">
        <v>32</v>
      </c>
      <c r="Q385" s="1341">
        <f>O385*0.5</f>
        <v/>
      </c>
    </row>
    <row r="386" outlineLevel="1" ht="27.6" customHeight="1">
      <c r="A386" s="393">
        <f>'01_Preço'!$A$167</f>
        <v/>
      </c>
      <c r="B386" s="389">
        <f>'01_Preço'!A234</f>
        <v/>
      </c>
      <c r="C386" s="163">
        <f>'01_Preço'!$B$234</f>
        <v/>
      </c>
      <c r="D386" s="167" t="inlineStr">
        <is>
          <t>Reforma do gerador</t>
        </is>
      </c>
      <c r="E386" s="453" t="n">
        <v>46</v>
      </c>
      <c r="F386" s="1343">
        <f>VLOOKUP(E386,'Tabela de mês'!$A$1:$B$70,2,TRUE)</f>
        <v/>
      </c>
      <c r="G386" s="510" t="inlineStr">
        <is>
          <t>153-MAT B</t>
        </is>
      </c>
      <c r="H386" s="163" t="inlineStr">
        <is>
          <t>INSIGHT</t>
        </is>
      </c>
      <c r="I386" s="163" t="inlineStr">
        <is>
          <t>INSIGHT</t>
        </is>
      </c>
      <c r="J386" s="163" t="n"/>
      <c r="K386" s="163" t="n"/>
      <c r="L386" s="342" t="inlineStr">
        <is>
          <t>Entrega em campo dos materiais, equipamentos e componentes para reforma do gerador 2ª UF</t>
        </is>
      </c>
      <c r="M386" s="416">
        <f>O386/$O$384</f>
        <v/>
      </c>
      <c r="N386" s="1344" t="n"/>
      <c r="O386" s="1355" t="n">
        <v>90958.98</v>
      </c>
      <c r="P386" s="561" t="n">
        <v>45</v>
      </c>
      <c r="Q386" s="1341">
        <f>O386*0.5</f>
        <v/>
      </c>
    </row>
    <row r="387" outlineLevel="1" ht="27.6" customHeight="1">
      <c r="A387" s="393">
        <f>'01_Preço'!$A$167</f>
        <v/>
      </c>
      <c r="B387" s="389">
        <f>'01_Preço'!A234</f>
        <v/>
      </c>
      <c r="C387" s="163">
        <f>'01_Preço'!$B$234</f>
        <v/>
      </c>
      <c r="D387" s="167" t="inlineStr">
        <is>
          <t>Reforma do gerador</t>
        </is>
      </c>
      <c r="E387" s="453" t="n">
        <v>54</v>
      </c>
      <c r="F387" s="1343">
        <f>VLOOKUP(E387,'Tabela de mês'!$A$1:$B$70,2,TRUE)</f>
        <v/>
      </c>
      <c r="G387" s="510" t="inlineStr">
        <is>
          <t>154-MAT B</t>
        </is>
      </c>
      <c r="H387" s="163" t="inlineStr">
        <is>
          <t>INSIGHT</t>
        </is>
      </c>
      <c r="I387" s="163" t="inlineStr">
        <is>
          <t>INSIGHT</t>
        </is>
      </c>
      <c r="J387" s="163" t="n"/>
      <c r="K387" s="163" t="n"/>
      <c r="L387" s="342" t="inlineStr">
        <is>
          <t>Entrega em campo dos materiais, equipamentos e componentes para reforma do gerador 3ª UF</t>
        </is>
      </c>
      <c r="M387" s="416">
        <f>O387/$O$384</f>
        <v/>
      </c>
      <c r="N387" s="1344" t="n"/>
      <c r="O387" s="1355" t="n">
        <v>90958.98</v>
      </c>
      <c r="P387" s="561" t="n">
        <v>52</v>
      </c>
      <c r="Q387" s="1341">
        <f>O387*0.5</f>
        <v/>
      </c>
    </row>
    <row r="388" outlineLevel="1" ht="27.6" customHeight="1">
      <c r="A388" s="483">
        <f>'01_Preço'!$A$167</f>
        <v/>
      </c>
      <c r="B388" s="484">
        <f>'01_Preço'!A234</f>
        <v/>
      </c>
      <c r="C388" s="179">
        <f>'01_Preço'!$B$234</f>
        <v/>
      </c>
      <c r="D388" s="180" t="inlineStr">
        <is>
          <t>Reforma do gerador</t>
        </is>
      </c>
      <c r="E388" s="453" t="n">
        <v>63</v>
      </c>
      <c r="F388" s="1343">
        <f>VLOOKUP(E388,'Tabela de mês'!$A$1:$B$70,2,TRUE)</f>
        <v/>
      </c>
      <c r="G388" s="518" t="inlineStr">
        <is>
          <t>155-MAT B</t>
        </is>
      </c>
      <c r="H388" s="179" t="inlineStr">
        <is>
          <t>INSIGHT</t>
        </is>
      </c>
      <c r="I388" s="179" t="inlineStr">
        <is>
          <t>INSIGHT</t>
        </is>
      </c>
      <c r="J388" s="179" t="n"/>
      <c r="K388" s="179" t="n"/>
      <c r="L388" s="485" t="inlineStr">
        <is>
          <t>Entrega em campo dos materiais, equipamentos e componentes para reforma do gerador 4ª UF</t>
        </is>
      </c>
      <c r="M388" s="421">
        <f>O388/$O$384</f>
        <v/>
      </c>
      <c r="N388" s="1374" t="n"/>
      <c r="O388" s="1355" t="n">
        <v>90958.98</v>
      </c>
      <c r="P388" s="561" t="n">
        <v>59</v>
      </c>
      <c r="Q388" s="1341">
        <f>O388*0.5</f>
        <v/>
      </c>
    </row>
    <row r="389" outlineLevel="1" ht="14.4" customHeight="1">
      <c r="A389" s="466" t="n"/>
      <c r="B389" s="441" t="n"/>
      <c r="C389" s="469" t="n"/>
      <c r="D389" s="442" t="n"/>
      <c r="E389" s="462" t="n"/>
      <c r="F389" s="462" t="n"/>
      <c r="G389" s="441" t="n"/>
      <c r="H389" s="441" t="n"/>
      <c r="I389" s="441" t="n"/>
      <c r="J389" s="441" t="n"/>
      <c r="K389" s="441" t="n"/>
      <c r="L389" s="442" t="n"/>
      <c r="M389" s="443">
        <f>O389/$N$274</f>
        <v/>
      </c>
      <c r="N389" s="1357" t="n"/>
      <c r="O389" s="1346">
        <f>SUM(O390:O391)</f>
        <v/>
      </c>
      <c r="P389" s="556" t="n"/>
      <c r="Q389" s="1349" t="n"/>
    </row>
    <row r="390" outlineLevel="1" ht="14.4" customHeight="1">
      <c r="A390" s="483">
        <f>'01_Preço'!$A$167</f>
        <v/>
      </c>
      <c r="B390" s="484">
        <f>'01_Preço'!A236</f>
        <v/>
      </c>
      <c r="C390" s="484">
        <f>'01_Preço'!$B$234</f>
        <v/>
      </c>
      <c r="D390" s="536" t="inlineStr">
        <is>
          <t>Reforma do gerador</t>
        </is>
      </c>
      <c r="E390" s="537" t="n">
        <v>27</v>
      </c>
      <c r="F390" s="1339">
        <f>VLOOKUP(E390,'Tabela de mês'!$A$1:$B$70,2,TRUE)</f>
        <v/>
      </c>
      <c r="G390" s="510" t="inlineStr">
        <is>
          <t>488 - MAT</t>
        </is>
      </c>
      <c r="H390" s="484" t="inlineStr">
        <is>
          <t>TUBAL</t>
        </is>
      </c>
      <c r="I390" s="497" t="inlineStr">
        <is>
          <t>FAT. DIRETO</t>
        </is>
      </c>
      <c r="J390" s="389" t="n"/>
      <c r="K390" s="389" t="n"/>
      <c r="L390" s="485" t="inlineStr">
        <is>
          <t>Entrega em campo dos trocadores de calor reservas das UF's</t>
        </is>
      </c>
      <c r="M390" s="416">
        <f>O390/$O$389</f>
        <v/>
      </c>
      <c r="N390" s="1344" t="n"/>
      <c r="O390" s="1340">
        <f>906800+113445</f>
        <v/>
      </c>
      <c r="P390" s="553" t="n"/>
      <c r="Q390" s="1341" t="n"/>
      <c r="R390" s="1327" t="n"/>
      <c r="S390" s="1327" t="n"/>
      <c r="T390" s="1327" t="n"/>
    </row>
    <row r="391" outlineLevel="1" ht="15" customHeight="1" thickBot="1">
      <c r="A391" s="483">
        <f>'01_Preço'!$A$167</f>
        <v/>
      </c>
      <c r="B391" s="484">
        <f>'01_Preço'!A236</f>
        <v/>
      </c>
      <c r="C391" s="484">
        <f>'01_Preço'!$B$234</f>
        <v/>
      </c>
      <c r="D391" s="536" t="inlineStr">
        <is>
          <t>Reforma do gerador</t>
        </is>
      </c>
      <c r="E391" s="538" t="n">
        <v>47</v>
      </c>
      <c r="F391" s="1335">
        <f>VLOOKUP(E391,'Tabela de mês'!$A$1:$B$70,2,TRUE)</f>
        <v/>
      </c>
      <c r="G391" s="510" t="inlineStr">
        <is>
          <t>489 - MAT</t>
        </is>
      </c>
      <c r="H391" s="484" t="inlineStr">
        <is>
          <t>TUBAL</t>
        </is>
      </c>
      <c r="I391" s="497" t="inlineStr">
        <is>
          <t>FAT. DIRETO</t>
        </is>
      </c>
      <c r="J391" s="389" t="n"/>
      <c r="K391" s="389" t="n"/>
      <c r="L391" s="485" t="inlineStr">
        <is>
          <t>Entrega em campo das serpentinas reservas das UF's</t>
        </is>
      </c>
      <c r="M391" s="416">
        <f>O391/$O$389</f>
        <v/>
      </c>
      <c r="N391" s="1374" t="n"/>
      <c r="O391" s="1377" t="n">
        <v>151692</v>
      </c>
      <c r="P391" s="553" t="n"/>
      <c r="Q391" s="1341" t="n"/>
    </row>
    <row r="392" ht="16.2" customHeight="1" thickBot="1">
      <c r="A392" s="1332" t="inlineStr">
        <is>
          <t>2.09 - Turbina e Auxiliares</t>
        </is>
      </c>
      <c r="B392" s="1139" t="n"/>
      <c r="C392" s="1139" t="n"/>
      <c r="D392" s="1139" t="n"/>
      <c r="E392" s="1139" t="n"/>
      <c r="F392" s="1139" t="n"/>
      <c r="G392" s="1139" t="n"/>
      <c r="H392" s="1139" t="n"/>
      <c r="I392" s="1139" t="n"/>
      <c r="J392" s="1139" t="n"/>
      <c r="K392" s="1139" t="n"/>
      <c r="L392" s="1139" t="n"/>
      <c r="M392" s="1140" t="n"/>
      <c r="N392" s="1360">
        <f>SUM(O393,O403,O408,O413,O418,O423,O428,O433,O438,O443,O448,O453,O458,O463,O468,O473,O478)</f>
        <v/>
      </c>
      <c r="O392" s="503" t="n"/>
      <c r="P392" s="1053" t="n"/>
      <c r="Q392" s="424" t="n"/>
    </row>
    <row r="393" outlineLevel="1" ht="14.4" customFormat="1" customHeight="1" s="166">
      <c r="A393" s="720">
        <f>'01_Preço'!$A$240</f>
        <v/>
      </c>
      <c r="B393" s="486">
        <f>'01_Preço'!A241</f>
        <v/>
      </c>
      <c r="C393" s="486">
        <f>'01_Preço'!B241</f>
        <v/>
      </c>
      <c r="D393" s="475">
        <f>'01_Preço'!E241</f>
        <v/>
      </c>
      <c r="E393" s="479" t="n"/>
      <c r="F393" s="479" t="n"/>
      <c r="G393" s="487" t="n"/>
      <c r="H393" s="487" t="n"/>
      <c r="I393" s="487" t="n"/>
      <c r="J393" s="487" t="n"/>
      <c r="K393" s="487" t="n"/>
      <c r="L393" s="475">
        <f>'01_Preço'!E241</f>
        <v/>
      </c>
      <c r="M393" s="679">
        <f>O393/$N$392</f>
        <v/>
      </c>
      <c r="N393" s="1369" t="n"/>
      <c r="O393" s="1354">
        <f>SUM(O394:O402)</f>
        <v/>
      </c>
      <c r="P393" s="552" t="n"/>
      <c r="Q393" s="1349" t="n"/>
    </row>
    <row r="394" outlineLevel="1" ht="27.6" customHeight="1">
      <c r="A394" s="393">
        <f>'01_Preço'!$A$240</f>
        <v/>
      </c>
      <c r="B394" s="413">
        <f>'01_Preço'!A241</f>
        <v/>
      </c>
      <c r="C394" s="413">
        <f>'01_Preço'!$B$241</f>
        <v/>
      </c>
      <c r="D394" s="414">
        <f>'01_Preço'!E241</f>
        <v/>
      </c>
      <c r="E394" s="450" t="n">
        <v>16</v>
      </c>
      <c r="F394" s="1339">
        <f>VLOOKUP(E394,'Tabela de mês'!$A$1:$B$70,2,TRUE)</f>
        <v/>
      </c>
      <c r="G394" s="511" t="inlineStr">
        <is>
          <t>198-SER</t>
        </is>
      </c>
      <c r="H394" s="163" t="inlineStr">
        <is>
          <t>INSIGHT</t>
        </is>
      </c>
      <c r="I394" s="163" t="inlineStr">
        <is>
          <t>INSIGHT</t>
        </is>
      </c>
      <c r="J394" s="163" t="n"/>
      <c r="K394" s="163" t="n"/>
      <c r="L394" s="423" t="inlineStr">
        <is>
          <t>Aprovação do Plano de Emissão de Documentos da Reforma da Turbina e Auxiliares</t>
        </is>
      </c>
      <c r="M394" s="391">
        <f>O394/$O$393</f>
        <v/>
      </c>
      <c r="N394" s="1340" t="n"/>
      <c r="O394" s="1340" t="n">
        <v>78503.14999999999</v>
      </c>
      <c r="P394" s="563" t="n"/>
      <c r="Q394" s="1338" t="n"/>
      <c r="S394" s="662" t="inlineStr">
        <is>
          <t>SIM</t>
        </is>
      </c>
    </row>
    <row r="395" outlineLevel="1" ht="27.6" customHeight="1">
      <c r="A395" s="393">
        <f>'01_Preço'!$A$240</f>
        <v/>
      </c>
      <c r="B395" s="413">
        <f>'01_Preço'!A241</f>
        <v/>
      </c>
      <c r="C395" s="413">
        <f>'01_Preço'!$B$241</f>
        <v/>
      </c>
      <c r="D395" s="414">
        <f>'01_Preço'!E241</f>
        <v/>
      </c>
      <c r="E395" s="730" t="n">
        <v>22</v>
      </c>
      <c r="F395" s="1339">
        <f>VLOOKUP(E395,'Tabela de mês'!$A$1:$B$70,2,TRUE)</f>
        <v/>
      </c>
      <c r="G395" s="510" t="inlineStr">
        <is>
          <t>199-SER</t>
        </is>
      </c>
      <c r="H395" s="163" t="inlineStr">
        <is>
          <t>INSIGHT</t>
        </is>
      </c>
      <c r="I395" s="163" t="inlineStr">
        <is>
          <t>INSIGHT</t>
        </is>
      </c>
      <c r="J395" s="163" t="n"/>
      <c r="K395" s="163" t="inlineStr">
        <is>
          <t>x</t>
        </is>
      </c>
      <c r="L395" s="423" t="inlineStr">
        <is>
          <t>Aprovação completa do Projeto Executivo da Reforma das Turbinas e Auxiliares da 1ª UF</t>
        </is>
      </c>
      <c r="M395" s="391">
        <f>O395/$O$393</f>
        <v/>
      </c>
      <c r="N395" s="1340" t="n"/>
      <c r="O395" s="1340" t="n">
        <v>431393.13</v>
      </c>
      <c r="P395" s="553" t="n"/>
      <c r="Q395" s="1341" t="n"/>
    </row>
    <row r="396" outlineLevel="1" ht="27.6" customHeight="1">
      <c r="A396" s="228">
        <f>'01_Preço'!$A$240</f>
        <v/>
      </c>
      <c r="B396" s="170">
        <f>'01_Preço'!A241</f>
        <v/>
      </c>
      <c r="C396" s="426">
        <f>'01_Preço'!$B$241</f>
        <v/>
      </c>
      <c r="D396" s="171">
        <f>'01_Preço'!E241</f>
        <v/>
      </c>
      <c r="E396" s="453" t="n">
        <v>35</v>
      </c>
      <c r="F396" s="1343">
        <f>VLOOKUP(E396,'Tabela de mês'!$A$1:$B$70,2,TRUE)</f>
        <v/>
      </c>
      <c r="G396" s="695" t="inlineStr">
        <is>
          <t>200-SER</t>
        </is>
      </c>
      <c r="H396" s="177" t="inlineStr">
        <is>
          <t>INSIGHT</t>
        </is>
      </c>
      <c r="I396" s="177" t="inlineStr">
        <is>
          <t>INSIGHT</t>
        </is>
      </c>
      <c r="J396" s="161" t="n"/>
      <c r="K396" s="161" t="inlineStr">
        <is>
          <t>x</t>
        </is>
      </c>
      <c r="L396" s="162" t="inlineStr">
        <is>
          <t>Aprovação completa do Projeto Executivo da Reforma das Turbinas e Auxiliares da 2ª UF</t>
        </is>
      </c>
      <c r="M396" s="416">
        <f>O396/$O$393</f>
        <v/>
      </c>
      <c r="N396" s="1344" t="n"/>
      <c r="O396" s="1373" t="n">
        <v>431393.13</v>
      </c>
      <c r="P396" s="553" t="n"/>
      <c r="Q396" s="1341" t="n"/>
    </row>
    <row r="397" outlineLevel="1" ht="27.6" customHeight="1">
      <c r="A397" s="228">
        <f>'01_Preço'!$A$240</f>
        <v/>
      </c>
      <c r="B397" s="170">
        <f>'01_Preço'!A241</f>
        <v/>
      </c>
      <c r="C397" s="426">
        <f>'01_Preço'!$B$241</f>
        <v/>
      </c>
      <c r="D397" s="171">
        <f>'01_Preço'!E241</f>
        <v/>
      </c>
      <c r="E397" s="453" t="n">
        <v>44</v>
      </c>
      <c r="F397" s="1343">
        <f>VLOOKUP(E397,'Tabela de mês'!$A$1:$B$70,2,TRUE)</f>
        <v/>
      </c>
      <c r="G397" s="518" t="inlineStr">
        <is>
          <t>201-SER</t>
        </is>
      </c>
      <c r="H397" s="179" t="inlineStr">
        <is>
          <t>INSIGHT</t>
        </is>
      </c>
      <c r="I397" s="179" t="inlineStr">
        <is>
          <t>INSIGHT</t>
        </is>
      </c>
      <c r="J397" s="163" t="n"/>
      <c r="K397" s="161" t="n"/>
      <c r="L397" s="162" t="inlineStr">
        <is>
          <t>Aprovação completa do Projeto Executivo da Reforma das Turbinas e Auxiliares da 3ª UF</t>
        </is>
      </c>
      <c r="M397" s="416">
        <f>O397/$O$393</f>
        <v/>
      </c>
      <c r="N397" s="1344" t="n"/>
      <c r="O397" s="1373" t="n">
        <v>431393.13</v>
      </c>
      <c r="P397" s="553" t="n"/>
      <c r="Q397" s="1341" t="n"/>
    </row>
    <row r="398" outlineLevel="1" ht="27.6" customHeight="1">
      <c r="A398" s="228">
        <f>'01_Preço'!$A$240</f>
        <v/>
      </c>
      <c r="B398" s="170">
        <f>'01_Preço'!A241</f>
        <v/>
      </c>
      <c r="C398" s="426">
        <f>'01_Preço'!$B$241</f>
        <v/>
      </c>
      <c r="D398" s="171">
        <f>'01_Preço'!E241</f>
        <v/>
      </c>
      <c r="E398" s="453" t="n">
        <v>54</v>
      </c>
      <c r="F398" s="1343">
        <f>VLOOKUP(E398,'Tabela de mês'!$A$1:$B$70,2,TRUE)</f>
        <v/>
      </c>
      <c r="G398" s="518" t="inlineStr">
        <is>
          <t>202-SER</t>
        </is>
      </c>
      <c r="H398" s="179" t="inlineStr">
        <is>
          <t>INSIGHT</t>
        </is>
      </c>
      <c r="I398" s="179" t="inlineStr">
        <is>
          <t>INSIGHT</t>
        </is>
      </c>
      <c r="J398" s="163" t="n"/>
      <c r="K398" s="161" t="n"/>
      <c r="L398" s="162" t="inlineStr">
        <is>
          <t>Aprovação completa do Projeto Executivo da Reforma das Turbinas e Auxiliares da 4ª UF</t>
        </is>
      </c>
      <c r="M398" s="416">
        <f>O398/$O$393</f>
        <v/>
      </c>
      <c r="N398" s="1344" t="n"/>
      <c r="O398" s="1373" t="n">
        <v>431393.13</v>
      </c>
      <c r="P398" s="553" t="n"/>
      <c r="Q398" s="1341" t="n"/>
    </row>
    <row r="399" outlineLevel="1" ht="14.4" customHeight="1">
      <c r="A399" s="228">
        <f>'01_Preço'!$A$240</f>
        <v/>
      </c>
      <c r="B399" s="168">
        <f>'01_Preço'!A241</f>
        <v/>
      </c>
      <c r="C399" s="426">
        <f>'01_Preço'!$B$241</f>
        <v/>
      </c>
      <c r="D399" s="167">
        <f>'01_Preço'!E241</f>
        <v/>
      </c>
      <c r="E399" s="453" t="n">
        <v>40</v>
      </c>
      <c r="F399" s="1343">
        <f>VLOOKUP(E399,'Tabela de mês'!$A$1:$B$70,2,TRUE)</f>
        <v/>
      </c>
      <c r="G399" s="518" t="inlineStr">
        <is>
          <t>203-SER A</t>
        </is>
      </c>
      <c r="H399" s="179" t="inlineStr">
        <is>
          <t>INSIGHT</t>
        </is>
      </c>
      <c r="I399" s="179" t="inlineStr">
        <is>
          <t>INSIGHT</t>
        </is>
      </c>
      <c r="J399" s="163" t="n"/>
      <c r="K399" s="161" t="n"/>
      <c r="L399" s="164" t="inlineStr">
        <is>
          <t>Aprovação da versão conforme construído do Projeto das Turbinas da 1ª UF</t>
        </is>
      </c>
      <c r="M399" s="416">
        <f>O399/$O$393</f>
        <v/>
      </c>
      <c r="N399" s="1344" t="n"/>
      <c r="O399" s="1373" t="n">
        <v>39625.78</v>
      </c>
      <c r="P399" s="553" t="n"/>
      <c r="Q399" s="1341" t="n"/>
    </row>
    <row r="400" outlineLevel="1" ht="14.4" customHeight="1">
      <c r="A400" s="228">
        <f>'01_Preço'!$A$240</f>
        <v/>
      </c>
      <c r="B400" s="168">
        <f>'01_Preço'!A241</f>
        <v/>
      </c>
      <c r="C400" s="426">
        <f>'01_Preço'!$B$241</f>
        <v/>
      </c>
      <c r="D400" s="167">
        <f>'01_Preço'!E241</f>
        <v/>
      </c>
      <c r="E400" s="453" t="n">
        <v>53</v>
      </c>
      <c r="F400" s="1343">
        <f>VLOOKUP(E400,'Tabela de mês'!$A$1:$B$70,2,TRUE)</f>
        <v/>
      </c>
      <c r="G400" s="518" t="inlineStr">
        <is>
          <t>203-SER B</t>
        </is>
      </c>
      <c r="H400" s="179" t="inlineStr">
        <is>
          <t>INSIGHT</t>
        </is>
      </c>
      <c r="I400" s="179" t="inlineStr">
        <is>
          <t>INSIGHT</t>
        </is>
      </c>
      <c r="J400" s="163" t="n"/>
      <c r="K400" s="161" t="n"/>
      <c r="L400" s="164" t="inlineStr">
        <is>
          <t xml:space="preserve">Aprovação da versão conforme construído do Projeto das Turbinas da 2ª UF </t>
        </is>
      </c>
      <c r="M400" s="416">
        <f>O400/$O$393</f>
        <v/>
      </c>
      <c r="N400" s="1344" t="n"/>
      <c r="O400" s="1373" t="n">
        <v>39625.78</v>
      </c>
      <c r="P400" s="553" t="n"/>
      <c r="Q400" s="1341" t="n"/>
    </row>
    <row r="401" outlineLevel="1" ht="14.4" customHeight="1">
      <c r="A401" s="228" t="inlineStr">
        <is>
          <t>2.09 - Turbina e Auxiliares</t>
        </is>
      </c>
      <c r="B401" s="168" t="inlineStr">
        <is>
          <t>2.09.01</t>
        </is>
      </c>
      <c r="C401" s="426">
        <f>'01_Preço'!$B$241</f>
        <v/>
      </c>
      <c r="D401" s="167" t="inlineStr">
        <is>
          <t>Engenharia e projeto executivo</t>
        </is>
      </c>
      <c r="E401" s="453" t="n">
        <v>62</v>
      </c>
      <c r="F401" s="1343">
        <f>VLOOKUP(E401,'Tabela de mês'!$A$1:$B$70,2,TRUE)</f>
        <v/>
      </c>
      <c r="G401" s="518" t="inlineStr">
        <is>
          <t>204-SER A</t>
        </is>
      </c>
      <c r="H401" s="179" t="inlineStr">
        <is>
          <t>INSIGHT</t>
        </is>
      </c>
      <c r="I401" s="179" t="inlineStr">
        <is>
          <t>INSIGHT</t>
        </is>
      </c>
      <c r="J401" s="163" t="n"/>
      <c r="K401" s="161" t="n"/>
      <c r="L401" s="164" t="inlineStr">
        <is>
          <t xml:space="preserve">Aprovação da versão conforme construído do Projeto das Turbinas da 3ª UF </t>
        </is>
      </c>
      <c r="M401" s="416">
        <f>O401/$O$393</f>
        <v/>
      </c>
      <c r="N401" s="1344" t="n"/>
      <c r="O401" s="1373" t="n">
        <v>39625.78</v>
      </c>
      <c r="P401" s="553" t="n"/>
      <c r="Q401" s="1341" t="n"/>
    </row>
    <row r="402" outlineLevel="1" ht="14.4" customHeight="1">
      <c r="A402" s="228">
        <f>'01_Preço'!$A$240</f>
        <v/>
      </c>
      <c r="B402" s="168" t="inlineStr">
        <is>
          <t>2.09.01</t>
        </is>
      </c>
      <c r="C402" s="426">
        <f>'01_Preço'!$B$241</f>
        <v/>
      </c>
      <c r="D402" s="180" t="inlineStr">
        <is>
          <t>Engenharia e projeto executivo</t>
        </is>
      </c>
      <c r="E402" s="453" t="n">
        <v>68</v>
      </c>
      <c r="F402" s="1343">
        <f>VLOOKUP(E402,'Tabela de mês'!$A$1:$B$70,2,TRUE)</f>
        <v/>
      </c>
      <c r="G402" s="518" t="inlineStr">
        <is>
          <t>204-SER B</t>
        </is>
      </c>
      <c r="H402" s="179" t="inlineStr">
        <is>
          <t>INSIGHT</t>
        </is>
      </c>
      <c r="I402" s="179" t="inlineStr">
        <is>
          <t>INSIGHT</t>
        </is>
      </c>
      <c r="J402" s="163" t="n"/>
      <c r="K402" s="161" t="n"/>
      <c r="L402" s="164" t="inlineStr">
        <is>
          <t xml:space="preserve">Aprovação da versão conforme construído do Projeto das Turbinas da 4ª UF </t>
        </is>
      </c>
      <c r="M402" s="416">
        <f>O402/$O$393</f>
        <v/>
      </c>
      <c r="N402" s="1344" t="n"/>
      <c r="O402" s="1373" t="n">
        <v>39625.78</v>
      </c>
      <c r="P402" s="559" t="n"/>
      <c r="Q402" s="1341" t="n"/>
    </row>
    <row r="403" outlineLevel="1" ht="41.4" customFormat="1" customHeight="1" s="166">
      <c r="A403" s="460">
        <f>'01_Preço'!$A$240</f>
        <v/>
      </c>
      <c r="B403" s="467">
        <f>'01_Preço'!A243</f>
        <v/>
      </c>
      <c r="C403" s="467">
        <f>'01_Preço'!B243</f>
        <v/>
      </c>
      <c r="D403" s="442">
        <f>'01_Preço'!E243</f>
        <v/>
      </c>
      <c r="E403" s="449" t="n"/>
      <c r="F403" s="462" t="n"/>
      <c r="G403" s="441" t="n"/>
      <c r="H403" s="441" t="n"/>
      <c r="I403" s="441" t="n"/>
      <c r="J403" s="441" t="n"/>
      <c r="K403" s="436" t="n"/>
      <c r="L403" s="437">
        <f>'01_Preço'!E243</f>
        <v/>
      </c>
      <c r="M403" s="446">
        <f>O403/$N$392</f>
        <v/>
      </c>
      <c r="N403" s="1365" t="n"/>
      <c r="O403" s="1349">
        <f>SUM(O404:O407)</f>
        <v/>
      </c>
      <c r="P403" s="556" t="n"/>
      <c r="Q403" s="1349" t="n"/>
    </row>
    <row r="404" outlineLevel="1" ht="41.4" customHeight="1">
      <c r="A404" s="228">
        <f>'01_Preço'!$A$240</f>
        <v/>
      </c>
      <c r="B404" s="168">
        <f>'01_Preço'!A243</f>
        <v/>
      </c>
      <c r="C404" s="426">
        <f>'01_Preço'!$B$243</f>
        <v/>
      </c>
      <c r="D404" s="169">
        <f>'01_Preço'!E243</f>
        <v/>
      </c>
      <c r="E404" s="453" t="n">
        <v>29</v>
      </c>
      <c r="F404" s="1343">
        <f>VLOOKUP(E404,'Tabela de mês'!$A$1:$B$70,2,TRUE)</f>
        <v/>
      </c>
      <c r="G404" s="519" t="inlineStr">
        <is>
          <t>205-SER</t>
        </is>
      </c>
      <c r="H404" s="179" t="inlineStr">
        <is>
          <t>INSIGHT</t>
        </is>
      </c>
      <c r="I404" s="179" t="inlineStr">
        <is>
          <t>INSIGHT</t>
        </is>
      </c>
      <c r="J404" s="179" t="n"/>
      <c r="K404" s="179" t="n"/>
      <c r="L404" s="167" t="inlineStr">
        <is>
          <t>Conclusão dos serviços de desmontagem geral da turbina e auxiliares da 1ª UF</t>
        </is>
      </c>
      <c r="M404" s="416">
        <f>O404/$O$403</f>
        <v/>
      </c>
      <c r="N404" s="1344" t="n"/>
      <c r="O404" s="1373" t="n">
        <v>2098431.99</v>
      </c>
      <c r="P404" s="553" t="n"/>
      <c r="Q404" s="1341" t="n"/>
    </row>
    <row r="405" outlineLevel="1" ht="41.4" customHeight="1">
      <c r="A405" s="228">
        <f>'01_Preço'!$A$240</f>
        <v/>
      </c>
      <c r="B405" s="168">
        <f>'01_Preço'!A243</f>
        <v/>
      </c>
      <c r="C405" s="426">
        <f>'01_Preço'!$B$243</f>
        <v/>
      </c>
      <c r="D405" s="169">
        <f>'01_Preço'!E243</f>
        <v/>
      </c>
      <c r="E405" s="453" t="n">
        <v>39</v>
      </c>
      <c r="F405" s="1343">
        <f>VLOOKUP(E405,'Tabela de mês'!$A$1:$B$70,2,TRUE)</f>
        <v/>
      </c>
      <c r="G405" s="519" t="inlineStr">
        <is>
          <t>206-SER</t>
        </is>
      </c>
      <c r="H405" s="179" t="inlineStr">
        <is>
          <t>INSIGHT</t>
        </is>
      </c>
      <c r="I405" s="179" t="inlineStr">
        <is>
          <t>INSIGHT</t>
        </is>
      </c>
      <c r="J405" s="179" t="n"/>
      <c r="K405" s="179" t="n"/>
      <c r="L405" s="167" t="inlineStr">
        <is>
          <t>Conclusão dos serviços de desmontagem geral da turbina e auxiliares da 2ª UF</t>
        </is>
      </c>
      <c r="M405" s="416">
        <f>O405/$O$403</f>
        <v/>
      </c>
      <c r="N405" s="1344" t="n"/>
      <c r="O405" s="1373" t="n">
        <v>2098431.99</v>
      </c>
      <c r="P405" s="553" t="n"/>
      <c r="Q405" s="1341" t="n"/>
    </row>
    <row r="406" outlineLevel="1" ht="41.4" customHeight="1">
      <c r="A406" s="228">
        <f>'01_Preço'!$A$240</f>
        <v/>
      </c>
      <c r="B406" s="168">
        <f>'01_Preço'!A243</f>
        <v/>
      </c>
      <c r="C406" s="426">
        <f>'01_Preço'!$B$243</f>
        <v/>
      </c>
      <c r="D406" s="169">
        <f>'01_Preço'!E243</f>
        <v/>
      </c>
      <c r="E406" s="453" t="n">
        <v>49</v>
      </c>
      <c r="F406" s="1343">
        <f>VLOOKUP(E406,'Tabela de mês'!$A$1:$B$70,2,TRUE)</f>
        <v/>
      </c>
      <c r="G406" s="511" t="inlineStr">
        <is>
          <t>207-SER</t>
        </is>
      </c>
      <c r="H406" s="163" t="inlineStr">
        <is>
          <t>INSIGHT</t>
        </is>
      </c>
      <c r="I406" s="163" t="inlineStr">
        <is>
          <t>INSIGHT</t>
        </is>
      </c>
      <c r="J406" s="163" t="n"/>
      <c r="K406" s="163" t="n"/>
      <c r="L406" s="167" t="inlineStr">
        <is>
          <t>Conclusão dos serviços de desmontagem geral da turbina e auxiliares da 4ª UF</t>
        </is>
      </c>
      <c r="M406" s="416">
        <f>O406/$O$403</f>
        <v/>
      </c>
      <c r="N406" s="1344" t="n"/>
      <c r="O406" s="1373" t="n">
        <v>2098431.99</v>
      </c>
      <c r="P406" s="553" t="n"/>
      <c r="Q406" s="1341" t="n"/>
    </row>
    <row r="407" outlineLevel="1" ht="41.4" customHeight="1">
      <c r="A407" s="228">
        <f>'01_Preço'!$A$240</f>
        <v/>
      </c>
      <c r="B407" s="168">
        <f>'01_Preço'!A243</f>
        <v/>
      </c>
      <c r="C407" s="426">
        <f>'01_Preço'!$B$243</f>
        <v/>
      </c>
      <c r="D407" s="169">
        <f>'01_Preço'!E243</f>
        <v/>
      </c>
      <c r="E407" s="453" t="n">
        <v>61</v>
      </c>
      <c r="F407" s="1343">
        <f>VLOOKUP(E407,'Tabela de mês'!$A$1:$B$70,2,TRUE)</f>
        <v/>
      </c>
      <c r="G407" s="511" t="inlineStr">
        <is>
          <t>208-SER</t>
        </is>
      </c>
      <c r="H407" s="163" t="inlineStr">
        <is>
          <t>INSIGHT</t>
        </is>
      </c>
      <c r="I407" s="163" t="inlineStr">
        <is>
          <t>INSIGHT</t>
        </is>
      </c>
      <c r="J407" s="163" t="n"/>
      <c r="K407" s="163" t="n"/>
      <c r="L407" s="167" t="inlineStr">
        <is>
          <t>Conclusão dos serviços de desmontagem geral da turbina e auxiliares da 4ª UF</t>
        </is>
      </c>
      <c r="M407" s="416">
        <f>O407/$O$403</f>
        <v/>
      </c>
      <c r="N407" s="1344" t="n"/>
      <c r="O407" s="1373" t="n">
        <v>2098431.99</v>
      </c>
      <c r="P407" s="553" t="n"/>
      <c r="Q407" s="1341" t="n"/>
    </row>
    <row r="408" outlineLevel="1" ht="27.6" customFormat="1" customHeight="1" s="166">
      <c r="A408" s="460">
        <f>'01_Preço'!$A$240</f>
        <v/>
      </c>
      <c r="B408" s="467">
        <f>'01_Preço'!A245</f>
        <v/>
      </c>
      <c r="C408" s="467">
        <f>'01_Preço'!B245</f>
        <v/>
      </c>
      <c r="D408" s="442">
        <f>'01_Preço'!E245</f>
        <v/>
      </c>
      <c r="E408" s="449" t="n"/>
      <c r="F408" s="462" t="n"/>
      <c r="G408" s="441" t="n"/>
      <c r="H408" s="441" t="n"/>
      <c r="I408" s="441" t="n"/>
      <c r="J408" s="441" t="n"/>
      <c r="K408" s="441" t="n"/>
      <c r="L408" s="442">
        <f>'01_Preço'!E245</f>
        <v/>
      </c>
      <c r="M408" s="446">
        <f>O408/$N$392</f>
        <v/>
      </c>
      <c r="N408" s="1365" t="n"/>
      <c r="O408" s="1349">
        <f>SUM(O409:O412)</f>
        <v/>
      </c>
      <c r="P408" s="556" t="n"/>
      <c r="Q408" s="1349" t="n"/>
    </row>
    <row r="409" outlineLevel="1" ht="27.6" customHeight="1">
      <c r="A409" s="228">
        <f>'01_Preço'!$A$240</f>
        <v/>
      </c>
      <c r="B409" s="168">
        <f>'01_Preço'!A245</f>
        <v/>
      </c>
      <c r="C409" s="426">
        <f>'01_Preço'!$B$245</f>
        <v/>
      </c>
      <c r="D409" s="169">
        <f>'01_Preço'!E245</f>
        <v/>
      </c>
      <c r="E409" s="453" t="n">
        <v>35</v>
      </c>
      <c r="F409" s="1343">
        <f>VLOOKUP(E409,'Tabela de mês'!$A$1:$B$70,2,TRUE)</f>
        <v/>
      </c>
      <c r="G409" s="519" t="inlineStr">
        <is>
          <t>229-SER</t>
        </is>
      </c>
      <c r="H409" s="163" t="inlineStr">
        <is>
          <t>INSIGHT</t>
        </is>
      </c>
      <c r="I409" s="163" t="inlineStr">
        <is>
          <t>INSIGHT</t>
        </is>
      </c>
      <c r="J409" s="163" t="n"/>
      <c r="K409" s="163" t="n"/>
      <c r="L409" s="167" t="inlineStr">
        <is>
          <t>Conclusão do Comissionamento da Turbina e equipamentos auxiliares, integrada aos demais equipamentos e sistemas da 1ª UF</t>
        </is>
      </c>
      <c r="M409" s="416">
        <f>O409/$O$408</f>
        <v/>
      </c>
      <c r="N409" s="1364" t="n"/>
      <c r="O409" s="1342" t="n">
        <v>826445.25</v>
      </c>
      <c r="P409" s="561" t="n"/>
      <c r="Q409" s="1347" t="n"/>
    </row>
    <row r="410" outlineLevel="1" ht="27.6" customHeight="1">
      <c r="A410" s="228">
        <f>'01_Preço'!$A$240</f>
        <v/>
      </c>
      <c r="B410" s="168">
        <f>'01_Preço'!A245</f>
        <v/>
      </c>
      <c r="C410" s="426">
        <f>'01_Preço'!$B$245</f>
        <v/>
      </c>
      <c r="D410" s="169">
        <f>'01_Preço'!E245</f>
        <v/>
      </c>
      <c r="E410" s="453" t="n">
        <v>47</v>
      </c>
      <c r="F410" s="1343">
        <f>VLOOKUP(E410,'Tabela de mês'!$A$1:$B$70,2,TRUE)</f>
        <v/>
      </c>
      <c r="G410" s="519" t="inlineStr">
        <is>
          <t>230-SER</t>
        </is>
      </c>
      <c r="H410" s="163" t="inlineStr">
        <is>
          <t>INSIGHT</t>
        </is>
      </c>
      <c r="I410" s="163" t="inlineStr">
        <is>
          <t>INSIGHT</t>
        </is>
      </c>
      <c r="J410" s="163" t="n"/>
      <c r="K410" s="163" t="n"/>
      <c r="L410" s="167" t="inlineStr">
        <is>
          <t>Conclusão do Comissionamento da Turbina e equipamentos auxiliares, integrada aos demais equipamentos e sistemas da 2ª UF</t>
        </is>
      </c>
      <c r="M410" s="416">
        <f>O410/$O$408</f>
        <v/>
      </c>
      <c r="N410" s="1364" t="n"/>
      <c r="O410" s="1342" t="n">
        <v>826445.25</v>
      </c>
      <c r="P410" s="561" t="n"/>
      <c r="Q410" s="1347" t="n"/>
    </row>
    <row r="411" outlineLevel="1" ht="27.6" customHeight="1">
      <c r="A411" s="228">
        <f>'01_Preço'!$A$240</f>
        <v/>
      </c>
      <c r="B411" s="168">
        <f>'01_Preço'!A245</f>
        <v/>
      </c>
      <c r="C411" s="426">
        <f>'01_Preço'!$B$245</f>
        <v/>
      </c>
      <c r="D411" s="169">
        <f>'01_Preço'!E245</f>
        <v/>
      </c>
      <c r="E411" s="453" t="n">
        <v>57</v>
      </c>
      <c r="F411" s="1343">
        <f>VLOOKUP(E411,'Tabela de mês'!$A$1:$B$70,2,TRUE)</f>
        <v/>
      </c>
      <c r="G411" s="511" t="inlineStr">
        <is>
          <t>231-SER</t>
        </is>
      </c>
      <c r="H411" s="163" t="inlineStr">
        <is>
          <t>INSIGHT</t>
        </is>
      </c>
      <c r="I411" s="163" t="inlineStr">
        <is>
          <t>INSIGHT</t>
        </is>
      </c>
      <c r="J411" s="163" t="n"/>
      <c r="K411" s="163" t="n"/>
      <c r="L411" s="167" t="inlineStr">
        <is>
          <t>Conclusão do Comissionamento da Turbina e equipamentos auxiliares, integrada aos demais equipamentos e sistemas da 3ª UF</t>
        </is>
      </c>
      <c r="M411" s="416">
        <f>O411/$O$408</f>
        <v/>
      </c>
      <c r="N411" s="1364" t="n"/>
      <c r="O411" s="1342" t="n">
        <v>826445.25</v>
      </c>
      <c r="P411" s="561" t="n"/>
      <c r="Q411" s="1347" t="n"/>
    </row>
    <row r="412" outlineLevel="1" ht="27.6" customHeight="1">
      <c r="A412" s="228">
        <f>'01_Preço'!$A$240</f>
        <v/>
      </c>
      <c r="B412" s="168">
        <f>'01_Preço'!A245</f>
        <v/>
      </c>
      <c r="C412" s="426">
        <f>'01_Preço'!$B$245</f>
        <v/>
      </c>
      <c r="D412" s="169">
        <f>'01_Preço'!E245</f>
        <v/>
      </c>
      <c r="E412" s="453" t="n">
        <v>67</v>
      </c>
      <c r="F412" s="1343">
        <f>VLOOKUP(E412,'Tabela de mês'!$A$1:$B$70,2,TRUE)</f>
        <v/>
      </c>
      <c r="G412" s="511" t="inlineStr">
        <is>
          <t>232-SER</t>
        </is>
      </c>
      <c r="H412" s="163" t="inlineStr">
        <is>
          <t>INSIGHT</t>
        </is>
      </c>
      <c r="I412" s="163" t="inlineStr">
        <is>
          <t>INSIGHT</t>
        </is>
      </c>
      <c r="J412" s="163" t="n"/>
      <c r="K412" s="163" t="n"/>
      <c r="L412" s="167" t="inlineStr">
        <is>
          <t>Conclusão do Comissionamento da Turbina e equipamentos auxiliares, integrada aos demais equipamentos e sistemas da 4ª UF</t>
        </is>
      </c>
      <c r="M412" s="416">
        <f>O412/$O$408</f>
        <v/>
      </c>
      <c r="N412" s="1364" t="n"/>
      <c r="O412" s="1342" t="n">
        <v>826445.25</v>
      </c>
      <c r="P412" s="561" t="n"/>
      <c r="Q412" s="1347" t="n"/>
    </row>
    <row r="413" outlineLevel="1" ht="27.6" customFormat="1" customHeight="1" s="166">
      <c r="A413" s="460">
        <f>'01_Preço'!$A$240</f>
        <v/>
      </c>
      <c r="B413" s="467">
        <f>'01_Preço'!A247</f>
        <v/>
      </c>
      <c r="C413" s="467">
        <f>'01_Preço'!B247</f>
        <v/>
      </c>
      <c r="D413" s="442">
        <f>'01_Preço'!E247</f>
        <v/>
      </c>
      <c r="E413" s="449" t="n"/>
      <c r="F413" s="462" t="n"/>
      <c r="G413" s="441" t="n"/>
      <c r="H413" s="441" t="n"/>
      <c r="I413" s="441" t="n"/>
      <c r="J413" s="441" t="n"/>
      <c r="K413" s="441" t="n"/>
      <c r="L413" s="442">
        <f>'01_Preço'!E247</f>
        <v/>
      </c>
      <c r="M413" s="446">
        <f>O413/$N$392</f>
        <v/>
      </c>
      <c r="N413" s="1365" t="n"/>
      <c r="O413" s="1349">
        <f>SUM(O414:O417)</f>
        <v/>
      </c>
      <c r="P413" s="556" t="n"/>
      <c r="Q413" s="1349" t="n"/>
    </row>
    <row r="414" outlineLevel="1" ht="27.6" customHeight="1">
      <c r="A414" s="228">
        <f>'01_Preço'!$A$240</f>
        <v/>
      </c>
      <c r="B414" s="168">
        <f>'01_Preço'!A247</f>
        <v/>
      </c>
      <c r="C414" s="426">
        <f>'01_Preço'!$B$247</f>
        <v/>
      </c>
      <c r="D414" s="169">
        <f>'01_Preço'!E247</f>
        <v/>
      </c>
      <c r="E414" s="453" t="n">
        <v>33</v>
      </c>
      <c r="F414" s="1343">
        <f>VLOOKUP(E414,'Tabela de mês'!$A$1:$B$70,2,TRUE)</f>
        <v/>
      </c>
      <c r="G414" s="518" t="inlineStr">
        <is>
          <t>213-SER A</t>
        </is>
      </c>
      <c r="H414" s="163" t="inlineStr">
        <is>
          <t>INSIGHT</t>
        </is>
      </c>
      <c r="I414" s="163" t="inlineStr">
        <is>
          <t>INSIGHT</t>
        </is>
      </c>
      <c r="J414" s="163" t="n"/>
      <c r="K414" s="163" t="n"/>
      <c r="L414" s="167" t="inlineStr">
        <is>
          <t>Entrega e montagem em campo dos equipamentos e componentes reformados das caixas espirais, curvas e tubos de sucção da 1ª UF</t>
        </is>
      </c>
      <c r="M414" s="416">
        <f>O414/$O$413</f>
        <v/>
      </c>
      <c r="N414" s="1364" t="n"/>
      <c r="O414" s="1342" t="n">
        <v>943258.9</v>
      </c>
      <c r="P414" s="561" t="n">
        <v>32</v>
      </c>
      <c r="Q414" s="1341" t="n">
        <v>2500000</v>
      </c>
    </row>
    <row r="415" outlineLevel="1" ht="27.6" customHeight="1">
      <c r="A415" s="228">
        <f>'01_Preço'!$A$240</f>
        <v/>
      </c>
      <c r="B415" s="168">
        <f>'01_Preço'!A247</f>
        <v/>
      </c>
      <c r="C415" s="426">
        <f>'01_Preço'!$B$247</f>
        <v/>
      </c>
      <c r="D415" s="169">
        <f>'01_Preço'!E247</f>
        <v/>
      </c>
      <c r="E415" s="453" t="n">
        <v>45</v>
      </c>
      <c r="F415" s="1343">
        <f>VLOOKUP(E415,'Tabela de mês'!$A$1:$B$70,2,TRUE)</f>
        <v/>
      </c>
      <c r="G415" s="518" t="inlineStr">
        <is>
          <t>214-SER A</t>
        </is>
      </c>
      <c r="H415" s="163" t="inlineStr">
        <is>
          <t>INSIGHT</t>
        </is>
      </c>
      <c r="I415" s="163" t="inlineStr">
        <is>
          <t>INSIGHT</t>
        </is>
      </c>
      <c r="J415" s="163" t="n"/>
      <c r="K415" s="163" t="n"/>
      <c r="L415" s="167" t="inlineStr">
        <is>
          <t>Entrega e montagem em campo dos equipamentos e componentes reformados das caixas espirais, curvas e tubos de sucção da 2ª UF</t>
        </is>
      </c>
      <c r="M415" s="416">
        <f>O415/$O$413</f>
        <v/>
      </c>
      <c r="N415" s="1364" t="n"/>
      <c r="O415" s="1342" t="n">
        <v>943258.9</v>
      </c>
      <c r="P415" s="561" t="n">
        <v>45</v>
      </c>
      <c r="Q415" s="1341" t="n">
        <v>2500000</v>
      </c>
    </row>
    <row r="416" outlineLevel="1" ht="27.6" customHeight="1">
      <c r="A416" s="228">
        <f>'01_Preço'!$A$240</f>
        <v/>
      </c>
      <c r="B416" s="168">
        <f>'01_Preço'!A247</f>
        <v/>
      </c>
      <c r="C416" s="426">
        <f>'01_Preço'!$B$247</f>
        <v/>
      </c>
      <c r="D416" s="169">
        <f>'01_Preço'!E247</f>
        <v/>
      </c>
      <c r="E416" s="453" t="n">
        <v>55</v>
      </c>
      <c r="F416" s="1343">
        <f>VLOOKUP(E416,'Tabela de mês'!$A$1:$B$70,2,TRUE)</f>
        <v/>
      </c>
      <c r="G416" s="510" t="inlineStr">
        <is>
          <t>215-SER A</t>
        </is>
      </c>
      <c r="H416" s="163" t="inlineStr">
        <is>
          <t>INSIGHT</t>
        </is>
      </c>
      <c r="I416" s="163" t="inlineStr">
        <is>
          <t>INSIGHT</t>
        </is>
      </c>
      <c r="J416" s="163" t="n"/>
      <c r="K416" s="163" t="n"/>
      <c r="L416" s="167" t="inlineStr">
        <is>
          <t>Entrega e montagem em campo dos equipamentos e componentes reformados das caixas espirais, curvas e tubos de sucção da 3ª UF</t>
        </is>
      </c>
      <c r="M416" s="416">
        <f>O416/$O$413</f>
        <v/>
      </c>
      <c r="N416" s="1364" t="n"/>
      <c r="O416" s="1342" t="n">
        <v>943258.9</v>
      </c>
      <c r="P416" s="561" t="n">
        <v>52</v>
      </c>
      <c r="Q416" s="1341" t="n">
        <v>2500000</v>
      </c>
    </row>
    <row r="417" outlineLevel="1" ht="27.6" customHeight="1">
      <c r="A417" s="228">
        <f>'01_Preço'!$A$240</f>
        <v/>
      </c>
      <c r="B417" s="168">
        <f>'01_Preço'!A247</f>
        <v/>
      </c>
      <c r="C417" s="426">
        <f>'01_Preço'!$B$247</f>
        <v/>
      </c>
      <c r="D417" s="169">
        <f>'01_Preço'!E247</f>
        <v/>
      </c>
      <c r="E417" s="453" t="n">
        <v>65</v>
      </c>
      <c r="F417" s="1343">
        <f>VLOOKUP(E417,'Tabela de mês'!$A$1:$B$70,2,TRUE)</f>
        <v/>
      </c>
      <c r="G417" s="510" t="inlineStr">
        <is>
          <t>216-SER A</t>
        </is>
      </c>
      <c r="H417" s="163" t="inlineStr">
        <is>
          <t>INSIGHT</t>
        </is>
      </c>
      <c r="I417" s="163" t="inlineStr">
        <is>
          <t>INSIGHT</t>
        </is>
      </c>
      <c r="J417" s="163" t="n"/>
      <c r="K417" s="163" t="n"/>
      <c r="L417" s="167" t="inlineStr">
        <is>
          <t>Entrega e montagem em campo dos equipamentos e componentes reformados das caixas espirais, curvas e tubos de sucção da 4ª UF</t>
        </is>
      </c>
      <c r="M417" s="416">
        <f>O417/$O$413</f>
        <v/>
      </c>
      <c r="N417" s="1364" t="n"/>
      <c r="O417" s="1342" t="n">
        <v>943258.9</v>
      </c>
      <c r="P417" s="561" t="n">
        <v>59</v>
      </c>
      <c r="Q417" s="1341" t="n">
        <v>2500000</v>
      </c>
    </row>
    <row r="418" outlineLevel="1" ht="27.6" customFormat="1" customHeight="1" s="166">
      <c r="A418" s="460">
        <f>'01_Preço'!$A$240</f>
        <v/>
      </c>
      <c r="B418" s="467">
        <f>'01_Preço'!A249</f>
        <v/>
      </c>
      <c r="C418" s="467">
        <f>'01_Preço'!B249</f>
        <v/>
      </c>
      <c r="D418" s="442">
        <f>'01_Preço'!E249</f>
        <v/>
      </c>
      <c r="E418" s="449" t="n"/>
      <c r="F418" s="462" t="n"/>
      <c r="G418" s="441" t="n"/>
      <c r="H418" s="441" t="n"/>
      <c r="I418" s="441" t="n"/>
      <c r="J418" s="441" t="n"/>
      <c r="K418" s="441" t="n"/>
      <c r="L418" s="442">
        <f>'01_Preço'!E249</f>
        <v/>
      </c>
      <c r="M418" s="446">
        <f>O418/$N$392</f>
        <v/>
      </c>
      <c r="N418" s="1365" t="n"/>
      <c r="O418" s="1349">
        <f>SUM(O419:O422)</f>
        <v/>
      </c>
      <c r="P418" s="552" t="n"/>
      <c r="Q418" s="1349" t="n"/>
    </row>
    <row r="419" outlineLevel="1" ht="27.6" customHeight="1">
      <c r="A419" s="228">
        <f>'01_Preço'!$A$240</f>
        <v/>
      </c>
      <c r="B419" s="168">
        <f>'01_Preço'!A249</f>
        <v/>
      </c>
      <c r="C419" s="426">
        <f>'01_Preço'!$B$249</f>
        <v/>
      </c>
      <c r="D419" s="169">
        <f>'01_Preço'!E249</f>
        <v/>
      </c>
      <c r="E419" s="453" t="n">
        <v>33</v>
      </c>
      <c r="F419" s="1343">
        <f>VLOOKUP(E419,'Tabela de mês'!$A$1:$B$70,2,TRUE)</f>
        <v/>
      </c>
      <c r="G419" s="518" t="inlineStr">
        <is>
          <t>213-SER B</t>
        </is>
      </c>
      <c r="H419" s="163" t="inlineStr">
        <is>
          <t>INSIGHT</t>
        </is>
      </c>
      <c r="I419" s="163" t="inlineStr">
        <is>
          <t>INSIGHT</t>
        </is>
      </c>
      <c r="J419" s="163" t="n"/>
      <c r="K419" s="163" t="n"/>
      <c r="L419" s="167" t="inlineStr">
        <is>
          <t>Entrega e montagem em campo dos equipamentos e componentes reformados do braço de interligação servomotor/aro de regulação da 1ª UF</t>
        </is>
      </c>
      <c r="M419" s="416">
        <f>O419/$O$418</f>
        <v/>
      </c>
      <c r="N419" s="1364" t="n"/>
      <c r="O419" s="1342" t="n">
        <v>131183.3</v>
      </c>
      <c r="P419" s="553" t="n"/>
      <c r="Q419" s="1347" t="n"/>
    </row>
    <row r="420" outlineLevel="1" ht="27.6" customHeight="1">
      <c r="A420" s="228">
        <f>'01_Preço'!$A$240</f>
        <v/>
      </c>
      <c r="B420" s="168">
        <f>'01_Preço'!A249</f>
        <v/>
      </c>
      <c r="C420" s="426">
        <f>'01_Preço'!$B$249</f>
        <v/>
      </c>
      <c r="D420" s="169">
        <f>'01_Preço'!E249</f>
        <v/>
      </c>
      <c r="E420" s="453" t="n">
        <v>45</v>
      </c>
      <c r="F420" s="1343">
        <f>VLOOKUP(E420,'Tabela de mês'!$A$1:$B$70,2,TRUE)</f>
        <v/>
      </c>
      <c r="G420" s="518" t="inlineStr">
        <is>
          <t>214-SER B</t>
        </is>
      </c>
      <c r="H420" s="163" t="inlineStr">
        <is>
          <t>INSIGHT</t>
        </is>
      </c>
      <c r="I420" s="163" t="inlineStr">
        <is>
          <t>INSIGHT</t>
        </is>
      </c>
      <c r="J420" s="163" t="n"/>
      <c r="K420" s="163" t="n"/>
      <c r="L420" s="167" t="inlineStr">
        <is>
          <t>Entrega e montagem em campo dos equipamentos e componentes reformados braço de interligação servomotor/aro de regulação da 2ª UF</t>
        </is>
      </c>
      <c r="M420" s="416">
        <f>O420/$O$418</f>
        <v/>
      </c>
      <c r="N420" s="1364" t="n"/>
      <c r="O420" s="1342" t="n">
        <v>131183.3</v>
      </c>
      <c r="P420" s="553" t="n"/>
      <c r="Q420" s="1347" t="n"/>
    </row>
    <row r="421" outlineLevel="1" ht="27.6" customHeight="1">
      <c r="A421" s="228">
        <f>'01_Preço'!$A$240</f>
        <v/>
      </c>
      <c r="B421" s="168">
        <f>'01_Preço'!A249</f>
        <v/>
      </c>
      <c r="C421" s="426">
        <f>'01_Preço'!$B$249</f>
        <v/>
      </c>
      <c r="D421" s="169">
        <f>'01_Preço'!E249</f>
        <v/>
      </c>
      <c r="E421" s="453" t="n">
        <v>55</v>
      </c>
      <c r="F421" s="1343">
        <f>VLOOKUP(E421,'Tabela de mês'!$A$1:$B$70,2,TRUE)</f>
        <v/>
      </c>
      <c r="G421" s="510" t="inlineStr">
        <is>
          <t>215-SER B</t>
        </is>
      </c>
      <c r="H421" s="163" t="inlineStr">
        <is>
          <t>INSIGHT</t>
        </is>
      </c>
      <c r="I421" s="163" t="inlineStr">
        <is>
          <t>INSIGHT</t>
        </is>
      </c>
      <c r="J421" s="163" t="n"/>
      <c r="K421" s="163" t="n"/>
      <c r="L421" s="167" t="inlineStr">
        <is>
          <t>Entrega e montagem em campo dos equipamentos e componentes reformados do braço de interligação servomotor/aro de regulação da 3ª UF</t>
        </is>
      </c>
      <c r="M421" s="416">
        <f>O421/$O$418</f>
        <v/>
      </c>
      <c r="N421" s="1364" t="n"/>
      <c r="O421" s="1342" t="n">
        <v>131183.3</v>
      </c>
      <c r="P421" s="553" t="n"/>
      <c r="Q421" s="1347" t="n"/>
    </row>
    <row r="422" outlineLevel="1" ht="27.6" customHeight="1">
      <c r="A422" s="228">
        <f>'01_Preço'!$A$240</f>
        <v/>
      </c>
      <c r="B422" s="168">
        <f>'01_Preço'!A249</f>
        <v/>
      </c>
      <c r="C422" s="426">
        <f>'01_Preço'!$B$249</f>
        <v/>
      </c>
      <c r="D422" s="169">
        <f>'01_Preço'!E249</f>
        <v/>
      </c>
      <c r="E422" s="453" t="n">
        <v>65</v>
      </c>
      <c r="F422" s="1343">
        <f>VLOOKUP(E422,'Tabela de mês'!$A$1:$B$70,2,TRUE)</f>
        <v/>
      </c>
      <c r="G422" s="510" t="inlineStr">
        <is>
          <t>216-SER B</t>
        </is>
      </c>
      <c r="H422" s="163" t="inlineStr">
        <is>
          <t>INSIGHT</t>
        </is>
      </c>
      <c r="I422" s="163" t="inlineStr">
        <is>
          <t>INSIGHT</t>
        </is>
      </c>
      <c r="J422" s="163" t="n"/>
      <c r="K422" s="163" t="n"/>
      <c r="L422" s="167" t="inlineStr">
        <is>
          <t>Entrega e montagem em campo dos equipamentos e componentes reformados do braço de interligação servomotor/aro de regulação da 4ª UF</t>
        </is>
      </c>
      <c r="M422" s="416">
        <f>O422/$O$418</f>
        <v/>
      </c>
      <c r="N422" s="1364" t="n"/>
      <c r="O422" s="1342" t="n">
        <v>131183.3</v>
      </c>
      <c r="P422" s="553" t="n"/>
      <c r="Q422" s="1347" t="n"/>
    </row>
    <row r="423" outlineLevel="1" ht="14.4" customFormat="1" customHeight="1" s="166">
      <c r="A423" s="460">
        <f>'01_Preço'!$A$240</f>
        <v/>
      </c>
      <c r="B423" s="467">
        <f>'01_Preço'!A251</f>
        <v/>
      </c>
      <c r="C423" s="467">
        <f>'01_Preço'!B251</f>
        <v/>
      </c>
      <c r="D423" s="442">
        <f>'01_Preço'!E251</f>
        <v/>
      </c>
      <c r="E423" s="449" t="n"/>
      <c r="F423" s="462" t="n"/>
      <c r="G423" s="441" t="n"/>
      <c r="H423" s="441" t="n"/>
      <c r="I423" s="441" t="n"/>
      <c r="J423" s="436" t="n"/>
      <c r="K423" s="436" t="n"/>
      <c r="L423" s="437">
        <f>'01_Preço'!E251</f>
        <v/>
      </c>
      <c r="M423" s="446">
        <f>O423/$N$392</f>
        <v/>
      </c>
      <c r="N423" s="1365" t="n"/>
      <c r="O423" s="1349">
        <f>SUM(O424:O427)</f>
        <v/>
      </c>
      <c r="P423" s="552" t="n"/>
      <c r="Q423" s="1349" t="n"/>
    </row>
    <row r="424" outlineLevel="1" ht="27.6" customHeight="1">
      <c r="A424" s="228">
        <f>'01_Preço'!$A$240</f>
        <v/>
      </c>
      <c r="B424" s="168">
        <f>'01_Preço'!A251</f>
        <v/>
      </c>
      <c r="C424" s="426">
        <f>'01_Preço'!$B$251</f>
        <v/>
      </c>
      <c r="D424" s="169">
        <f>'01_Preço'!E251</f>
        <v/>
      </c>
      <c r="E424" s="453" t="n">
        <v>33</v>
      </c>
      <c r="F424" s="1343">
        <f>VLOOKUP(E424,'Tabela de mês'!$A$1:$B$70,2,TRUE)</f>
        <v/>
      </c>
      <c r="G424" s="518" t="inlineStr">
        <is>
          <t>213-SER C</t>
        </is>
      </c>
      <c r="H424" s="163" t="inlineStr">
        <is>
          <t>INSIGHT</t>
        </is>
      </c>
      <c r="I424" s="163" t="inlineStr">
        <is>
          <t>INSIGHT</t>
        </is>
      </c>
      <c r="J424" s="163" t="n"/>
      <c r="K424" s="163" t="n"/>
      <c r="L424" s="167" t="inlineStr">
        <is>
          <t>Entrega e montagem em campo dos equipamentos e componentes reformados das palhetas diretrizes da 1ª UF</t>
        </is>
      </c>
      <c r="M424" s="416">
        <f>O424/$O$423</f>
        <v/>
      </c>
      <c r="N424" s="1364" t="n"/>
      <c r="O424" s="1342" t="n">
        <v>295386.23</v>
      </c>
      <c r="P424" s="553" t="n"/>
      <c r="Q424" s="1347" t="n"/>
    </row>
    <row r="425" outlineLevel="1" ht="27.6" customHeight="1">
      <c r="A425" s="228">
        <f>'01_Preço'!$A$240</f>
        <v/>
      </c>
      <c r="B425" s="168">
        <f>'01_Preço'!A251</f>
        <v/>
      </c>
      <c r="C425" s="426">
        <f>'01_Preço'!$B$251</f>
        <v/>
      </c>
      <c r="D425" s="169">
        <f>'01_Preço'!E251</f>
        <v/>
      </c>
      <c r="E425" s="453" t="n">
        <v>45</v>
      </c>
      <c r="F425" s="1343">
        <f>VLOOKUP(E425,'Tabela de mês'!$A$1:$B$70,2,TRUE)</f>
        <v/>
      </c>
      <c r="G425" s="518" t="inlineStr">
        <is>
          <t>214-SER C</t>
        </is>
      </c>
      <c r="H425" s="163" t="inlineStr">
        <is>
          <t>INSIGHT</t>
        </is>
      </c>
      <c r="I425" s="163" t="inlineStr">
        <is>
          <t>INSIGHT</t>
        </is>
      </c>
      <c r="J425" s="163" t="n"/>
      <c r="K425" s="163" t="n"/>
      <c r="L425" s="167" t="inlineStr">
        <is>
          <t>Entrega e montagem em campo dos equipamentos e componentes reformados das palhetas diretrizes da 2ª UF</t>
        </is>
      </c>
      <c r="M425" s="416">
        <f>O425/$O$423</f>
        <v/>
      </c>
      <c r="N425" s="1364" t="n"/>
      <c r="O425" s="1342" t="n">
        <v>295386.23</v>
      </c>
      <c r="P425" s="553" t="n"/>
      <c r="Q425" s="1347" t="n"/>
    </row>
    <row r="426" outlineLevel="1" ht="27.6" customHeight="1">
      <c r="A426" s="228">
        <f>'01_Preço'!$A$240</f>
        <v/>
      </c>
      <c r="B426" s="168">
        <f>'01_Preço'!A251</f>
        <v/>
      </c>
      <c r="C426" s="426">
        <f>'01_Preço'!$B$251</f>
        <v/>
      </c>
      <c r="D426" s="169">
        <f>'01_Preço'!E251</f>
        <v/>
      </c>
      <c r="E426" s="453" t="n">
        <v>55</v>
      </c>
      <c r="F426" s="1343">
        <f>VLOOKUP(E426,'Tabela de mês'!$A$1:$B$70,2,TRUE)</f>
        <v/>
      </c>
      <c r="G426" s="510" t="inlineStr">
        <is>
          <t>215-SER C</t>
        </is>
      </c>
      <c r="H426" s="163" t="inlineStr">
        <is>
          <t>INSIGHT</t>
        </is>
      </c>
      <c r="I426" s="163" t="inlineStr">
        <is>
          <t>INSIGHT</t>
        </is>
      </c>
      <c r="J426" s="163" t="n"/>
      <c r="K426" s="163" t="n"/>
      <c r="L426" s="167" t="inlineStr">
        <is>
          <t>Entrega e montagem em campo dos equipamentos e componentes reformados das palhetas diretrizes da 3ª UF</t>
        </is>
      </c>
      <c r="M426" s="416">
        <f>O426/$O$423</f>
        <v/>
      </c>
      <c r="N426" s="1364" t="n"/>
      <c r="O426" s="1342" t="n">
        <v>295386.23</v>
      </c>
      <c r="P426" s="553" t="n"/>
      <c r="Q426" s="1347" t="n"/>
    </row>
    <row r="427" outlineLevel="1" ht="27.6" customHeight="1">
      <c r="A427" s="228">
        <f>'01_Preço'!$A$240</f>
        <v/>
      </c>
      <c r="B427" s="168">
        <f>'01_Preço'!A251</f>
        <v/>
      </c>
      <c r="C427" s="426">
        <f>'01_Preço'!$B$251</f>
        <v/>
      </c>
      <c r="D427" s="169">
        <f>'01_Preço'!E251</f>
        <v/>
      </c>
      <c r="E427" s="453" t="n">
        <v>65</v>
      </c>
      <c r="F427" s="1343">
        <f>VLOOKUP(E427,'Tabela de mês'!$A$1:$B$70,2,TRUE)</f>
        <v/>
      </c>
      <c r="G427" s="510" t="inlineStr">
        <is>
          <t>216-SER C</t>
        </is>
      </c>
      <c r="H427" s="163" t="inlineStr">
        <is>
          <t>INSIGHT</t>
        </is>
      </c>
      <c r="I427" s="163" t="inlineStr">
        <is>
          <t>INSIGHT</t>
        </is>
      </c>
      <c r="J427" s="163" t="n"/>
      <c r="K427" s="163" t="n"/>
      <c r="L427" s="167" t="inlineStr">
        <is>
          <t>Entrega e montagem em campo dos equipamentos e componentes reformados das palhetas diretrizes da 4ª UF</t>
        </is>
      </c>
      <c r="M427" s="416">
        <f>O427/$O$423</f>
        <v/>
      </c>
      <c r="N427" s="1364" t="n"/>
      <c r="O427" s="1342" t="n">
        <v>295386.23</v>
      </c>
      <c r="P427" s="553" t="n"/>
      <c r="Q427" s="1347" t="n"/>
    </row>
    <row r="428" outlineLevel="1" ht="14.4" customFormat="1" customHeight="1" s="166">
      <c r="A428" s="460">
        <f>'01_Preço'!$A$240</f>
        <v/>
      </c>
      <c r="B428" s="467">
        <f>'01_Preço'!A253</f>
        <v/>
      </c>
      <c r="C428" s="467">
        <f>'01_Preço'!B253</f>
        <v/>
      </c>
      <c r="D428" s="442" t="inlineStr">
        <is>
          <t>Reforma da turbina e auxiliares</t>
        </is>
      </c>
      <c r="E428" s="449" t="n"/>
      <c r="F428" s="462" t="n"/>
      <c r="G428" s="441" t="n"/>
      <c r="H428" s="441" t="n"/>
      <c r="I428" s="441" t="n"/>
      <c r="J428" s="436" t="n"/>
      <c r="K428" s="436" t="n"/>
      <c r="L428" s="437">
        <f>'01_Preço'!E253</f>
        <v/>
      </c>
      <c r="M428" s="446">
        <f>O428/$N$392</f>
        <v/>
      </c>
      <c r="N428" s="1365" t="n"/>
      <c r="O428" s="1349">
        <f>SUM(O429:O432)</f>
        <v/>
      </c>
      <c r="P428" s="552" t="n"/>
      <c r="Q428" s="1349" t="n"/>
    </row>
    <row r="429" outlineLevel="1" ht="27.6" customHeight="1">
      <c r="A429" s="228">
        <f>'01_Preço'!$A$240</f>
        <v/>
      </c>
      <c r="B429" s="168">
        <f>'01_Preço'!A253</f>
        <v/>
      </c>
      <c r="C429" s="426">
        <f>'01_Preço'!$B$253</f>
        <v/>
      </c>
      <c r="D429" s="169">
        <f>'01_Preço'!E253</f>
        <v/>
      </c>
      <c r="E429" s="453" t="n">
        <v>33</v>
      </c>
      <c r="F429" s="1343">
        <f>VLOOKUP(E429,'Tabela de mês'!$A$1:$B$70,2,TRUE)</f>
        <v/>
      </c>
      <c r="G429" s="518" t="inlineStr">
        <is>
          <t>213-SER D</t>
        </is>
      </c>
      <c r="H429" s="163" t="inlineStr">
        <is>
          <t>INSIGHT</t>
        </is>
      </c>
      <c r="I429" s="163" t="inlineStr">
        <is>
          <t>INSIGHT</t>
        </is>
      </c>
      <c r="J429" s="163" t="n"/>
      <c r="K429" s="163" t="n"/>
      <c r="L429" s="167" t="inlineStr">
        <is>
          <t>Entrega e montagem em campo dos equipamentos e componentes reformados das tampas e anéis da turbina da 1ª UF</t>
        </is>
      </c>
      <c r="M429" s="416">
        <f>O429/$O$428</f>
        <v/>
      </c>
      <c r="N429" s="1364" t="n"/>
      <c r="O429" s="1342" t="n">
        <v>164260.53</v>
      </c>
      <c r="P429" s="553" t="n"/>
      <c r="Q429" s="1347" t="n"/>
    </row>
    <row r="430" outlineLevel="1" ht="27.6" customHeight="1">
      <c r="A430" s="228">
        <f>'01_Preço'!$A$240</f>
        <v/>
      </c>
      <c r="B430" s="168">
        <f>'01_Preço'!A253</f>
        <v/>
      </c>
      <c r="C430" s="426">
        <f>'01_Preço'!$B$253</f>
        <v/>
      </c>
      <c r="D430" s="169">
        <f>'01_Preço'!E253</f>
        <v/>
      </c>
      <c r="E430" s="453" t="n">
        <v>45</v>
      </c>
      <c r="F430" s="1343">
        <f>VLOOKUP(E430,'Tabela de mês'!$A$1:$B$70,2,TRUE)</f>
        <v/>
      </c>
      <c r="G430" s="518" t="inlineStr">
        <is>
          <t>214-SER D</t>
        </is>
      </c>
      <c r="H430" s="163" t="inlineStr">
        <is>
          <t>INSIGHT</t>
        </is>
      </c>
      <c r="I430" s="163" t="inlineStr">
        <is>
          <t>INSIGHT</t>
        </is>
      </c>
      <c r="J430" s="163" t="n"/>
      <c r="K430" s="163" t="n"/>
      <c r="L430" s="167" t="inlineStr">
        <is>
          <t>Entrega e montagem em campo dos equipamentos e componentes reformados das tampas e anéis da turbina da 2ª UF</t>
        </is>
      </c>
      <c r="M430" s="416">
        <f>O430/$O$428</f>
        <v/>
      </c>
      <c r="N430" s="1364" t="n"/>
      <c r="O430" s="1342" t="n">
        <v>164260.53</v>
      </c>
      <c r="P430" s="553" t="n"/>
      <c r="Q430" s="1347" t="n"/>
    </row>
    <row r="431" outlineLevel="1" ht="27.6" customHeight="1">
      <c r="A431" s="228">
        <f>'01_Preço'!$A$240</f>
        <v/>
      </c>
      <c r="B431" s="168">
        <f>'01_Preço'!A253</f>
        <v/>
      </c>
      <c r="C431" s="426">
        <f>'01_Preço'!$B$253</f>
        <v/>
      </c>
      <c r="D431" s="169">
        <f>'01_Preço'!E253</f>
        <v/>
      </c>
      <c r="E431" s="453" t="n">
        <v>55</v>
      </c>
      <c r="F431" s="1343">
        <f>VLOOKUP(E431,'Tabela de mês'!$A$1:$B$70,2,TRUE)</f>
        <v/>
      </c>
      <c r="G431" s="510" t="inlineStr">
        <is>
          <t>215-SER D</t>
        </is>
      </c>
      <c r="H431" s="163" t="inlineStr">
        <is>
          <t>INSIGHT</t>
        </is>
      </c>
      <c r="I431" s="163" t="inlineStr">
        <is>
          <t>INSIGHT</t>
        </is>
      </c>
      <c r="J431" s="163" t="n"/>
      <c r="K431" s="163" t="n"/>
      <c r="L431" s="167" t="inlineStr">
        <is>
          <t>Entrega e montagem em campo dos equipamentos e componentes reformados das tampas e anéis da turbina da 3ª UF</t>
        </is>
      </c>
      <c r="M431" s="416">
        <f>O431/$O$428</f>
        <v/>
      </c>
      <c r="N431" s="1364" t="n"/>
      <c r="O431" s="1342" t="n">
        <v>164260.53</v>
      </c>
      <c r="P431" s="553" t="n"/>
      <c r="Q431" s="1347" t="n"/>
    </row>
    <row r="432" outlineLevel="1" ht="27.6" customHeight="1">
      <c r="A432" s="228">
        <f>'01_Preço'!$A$240</f>
        <v/>
      </c>
      <c r="B432" s="168">
        <f>'01_Preço'!A253</f>
        <v/>
      </c>
      <c r="C432" s="426">
        <f>'01_Preço'!$B$253</f>
        <v/>
      </c>
      <c r="D432" s="169">
        <f>'01_Preço'!E253</f>
        <v/>
      </c>
      <c r="E432" s="453" t="n">
        <v>65</v>
      </c>
      <c r="F432" s="1343">
        <f>VLOOKUP(E432,'Tabela de mês'!$A$1:$B$70,2,TRUE)</f>
        <v/>
      </c>
      <c r="G432" s="510" t="inlineStr">
        <is>
          <t>216-SER D</t>
        </is>
      </c>
      <c r="H432" s="163" t="inlineStr">
        <is>
          <t>INSIGHT</t>
        </is>
      </c>
      <c r="I432" s="163" t="inlineStr">
        <is>
          <t>INSIGHT</t>
        </is>
      </c>
      <c r="J432" s="163" t="n"/>
      <c r="K432" s="163" t="n"/>
      <c r="L432" s="167" t="inlineStr">
        <is>
          <t>Entrega e montagem em campo dos equipamentos e componentes reformados das tampas e anéis da turbina da 4ª UF</t>
        </is>
      </c>
      <c r="M432" s="416">
        <f>O432/$O$428</f>
        <v/>
      </c>
      <c r="N432" s="1364" t="n"/>
      <c r="O432" s="1342" t="n">
        <v>164260.53</v>
      </c>
      <c r="P432" s="553" t="n"/>
      <c r="Q432" s="1347" t="n"/>
    </row>
    <row r="433" outlineLevel="1" ht="27.6" customFormat="1" customHeight="1" s="166">
      <c r="A433" s="460">
        <f>'01_Preço'!$A$240</f>
        <v/>
      </c>
      <c r="B433" s="467">
        <f>'01_Preço'!A255</f>
        <v/>
      </c>
      <c r="C433" s="467">
        <f>'01_Preço'!B255</f>
        <v/>
      </c>
      <c r="D433" s="437">
        <f>'01_Preço'!E255</f>
        <v/>
      </c>
      <c r="E433" s="449" t="n"/>
      <c r="F433" s="449" t="n"/>
      <c r="G433" s="441" t="n"/>
      <c r="H433" s="441" t="n"/>
      <c r="I433" s="441" t="n"/>
      <c r="J433" s="436" t="n"/>
      <c r="K433" s="436" t="n"/>
      <c r="L433" s="437">
        <f>'01_Preço'!E255</f>
        <v/>
      </c>
      <c r="M433" s="446">
        <f>O433/$N$392</f>
        <v/>
      </c>
      <c r="N433" s="1365" t="n"/>
      <c r="O433" s="1349">
        <f>SUM(O434:O437)</f>
        <v/>
      </c>
      <c r="P433" s="552" t="n"/>
      <c r="Q433" s="1349" t="n"/>
    </row>
    <row r="434" outlineLevel="1" ht="27.6" customHeight="1">
      <c r="A434" s="228">
        <f>'01_Preço'!$A$240</f>
        <v/>
      </c>
      <c r="B434" s="168">
        <f>'01_Preço'!A255</f>
        <v/>
      </c>
      <c r="C434" s="426">
        <f>'01_Preço'!$B$255</f>
        <v/>
      </c>
      <c r="D434" s="169">
        <f>'01_Preço'!E255</f>
        <v/>
      </c>
      <c r="E434" s="453" t="n">
        <v>33</v>
      </c>
      <c r="F434" s="1343">
        <f>VLOOKUP(E434,'Tabela de mês'!$A$1:$B$70,2,TRUE)</f>
        <v/>
      </c>
      <c r="G434" s="518" t="inlineStr">
        <is>
          <t>213-SER E</t>
        </is>
      </c>
      <c r="H434" s="163" t="inlineStr">
        <is>
          <t>INSIGHT</t>
        </is>
      </c>
      <c r="I434" s="163" t="inlineStr">
        <is>
          <t>INSIGHT</t>
        </is>
      </c>
      <c r="J434" s="163" t="n"/>
      <c r="K434" s="163" t="n"/>
      <c r="L434" s="167" t="inlineStr">
        <is>
          <t>Entrega e montagem em campo dos equipamentos e componentes reformados do mecanismo do distribuidor da 1ª UF</t>
        </is>
      </c>
      <c r="M434" s="416">
        <f>O434/$O$433</f>
        <v/>
      </c>
      <c r="N434" s="1364" t="n"/>
      <c r="O434" s="1342" t="n">
        <v>340229.94</v>
      </c>
      <c r="P434" s="553" t="n"/>
      <c r="Q434" s="1347" t="n"/>
    </row>
    <row r="435" outlineLevel="1" ht="27.6" customHeight="1">
      <c r="A435" s="228">
        <f>'01_Preço'!$A$240</f>
        <v/>
      </c>
      <c r="B435" s="168">
        <f>'01_Preço'!A255</f>
        <v/>
      </c>
      <c r="C435" s="426">
        <f>'01_Preço'!$B$255</f>
        <v/>
      </c>
      <c r="D435" s="169">
        <f>'01_Preço'!E255</f>
        <v/>
      </c>
      <c r="E435" s="453" t="n">
        <v>45</v>
      </c>
      <c r="F435" s="1343">
        <f>VLOOKUP(E435,'Tabela de mês'!$A$1:$B$70,2,TRUE)</f>
        <v/>
      </c>
      <c r="G435" s="518" t="inlineStr">
        <is>
          <t>214-SER E</t>
        </is>
      </c>
      <c r="H435" s="163" t="inlineStr">
        <is>
          <t>INSIGHT</t>
        </is>
      </c>
      <c r="I435" s="163" t="inlineStr">
        <is>
          <t>INSIGHT</t>
        </is>
      </c>
      <c r="J435" s="163" t="n"/>
      <c r="K435" s="163" t="n"/>
      <c r="L435" s="167" t="inlineStr">
        <is>
          <t>Entrega e montagem em campo dos equipamentos e componentes reformados do mecanismo do distribuidor da 2ª UF</t>
        </is>
      </c>
      <c r="M435" s="416">
        <f>O435/$O$433</f>
        <v/>
      </c>
      <c r="N435" s="1364" t="n"/>
      <c r="O435" s="1342" t="n">
        <v>340229.94</v>
      </c>
      <c r="P435" s="553" t="n"/>
      <c r="Q435" s="1347" t="n"/>
    </row>
    <row r="436" outlineLevel="1" ht="27.6" customHeight="1">
      <c r="A436" s="228">
        <f>'01_Preço'!$A$240</f>
        <v/>
      </c>
      <c r="B436" s="168">
        <f>'01_Preço'!A255</f>
        <v/>
      </c>
      <c r="C436" s="426">
        <f>'01_Preço'!$B$255</f>
        <v/>
      </c>
      <c r="D436" s="169">
        <f>'01_Preço'!E255</f>
        <v/>
      </c>
      <c r="E436" s="453" t="n">
        <v>55</v>
      </c>
      <c r="F436" s="1343">
        <f>VLOOKUP(E436,'Tabela de mês'!$A$1:$B$70,2,TRUE)</f>
        <v/>
      </c>
      <c r="G436" s="510" t="inlineStr">
        <is>
          <t>215-SER E</t>
        </is>
      </c>
      <c r="H436" s="163" t="inlineStr">
        <is>
          <t>INSIGHT</t>
        </is>
      </c>
      <c r="I436" s="163" t="inlineStr">
        <is>
          <t>INSIGHT</t>
        </is>
      </c>
      <c r="J436" s="163" t="n"/>
      <c r="K436" s="163" t="n"/>
      <c r="L436" s="167" t="inlineStr">
        <is>
          <t>Entrega e montagem em campo dos equipamentos e componentes reformados do mecanismo do distribuidor da 3ª UF</t>
        </is>
      </c>
      <c r="M436" s="416">
        <f>O436/$O$433</f>
        <v/>
      </c>
      <c r="N436" s="1364" t="n"/>
      <c r="O436" s="1342" t="n">
        <v>340229.94</v>
      </c>
      <c r="P436" s="553" t="n"/>
      <c r="Q436" s="1347" t="n"/>
    </row>
    <row r="437" outlineLevel="1" ht="27.6" customHeight="1">
      <c r="A437" s="228">
        <f>'01_Preço'!$A$240</f>
        <v/>
      </c>
      <c r="B437" s="168">
        <f>'01_Preço'!A255</f>
        <v/>
      </c>
      <c r="C437" s="426">
        <f>'01_Preço'!$B$255</f>
        <v/>
      </c>
      <c r="D437" s="169">
        <f>'01_Preço'!E255</f>
        <v/>
      </c>
      <c r="E437" s="453" t="n">
        <v>65</v>
      </c>
      <c r="F437" s="1343">
        <f>VLOOKUP(E437,'Tabela de mês'!$A$1:$B$70,2,TRUE)</f>
        <v/>
      </c>
      <c r="G437" s="510" t="inlineStr">
        <is>
          <t>216-SER E</t>
        </is>
      </c>
      <c r="H437" s="163" t="inlineStr">
        <is>
          <t>INSIGHT</t>
        </is>
      </c>
      <c r="I437" s="163" t="inlineStr">
        <is>
          <t>INSIGHT</t>
        </is>
      </c>
      <c r="J437" s="163" t="n"/>
      <c r="K437" s="163" t="n"/>
      <c r="L437" s="167" t="inlineStr">
        <is>
          <t>Entrega e montagem em campo dos equipamentos e componentes reformados do mecanismo do distribuidor da 4ª UF</t>
        </is>
      </c>
      <c r="M437" s="416">
        <f>O437/$O$433</f>
        <v/>
      </c>
      <c r="N437" s="1364" t="n"/>
      <c r="O437" s="1342" t="n">
        <v>340229.94</v>
      </c>
      <c r="P437" s="553" t="n"/>
      <c r="Q437" s="1347" t="n"/>
    </row>
    <row r="438" outlineLevel="1" ht="14.4" customFormat="1" customHeight="1" s="166">
      <c r="A438" s="460">
        <f>'01_Preço'!$A$240</f>
        <v/>
      </c>
      <c r="B438" s="467">
        <f>'01_Preço'!A257</f>
        <v/>
      </c>
      <c r="C438" s="467">
        <f>'01_Preço'!B257</f>
        <v/>
      </c>
      <c r="D438" s="437">
        <f>'01_Preço'!E257</f>
        <v/>
      </c>
      <c r="E438" s="449" t="n"/>
      <c r="F438" s="449" t="n"/>
      <c r="G438" s="441" t="n"/>
      <c r="H438" s="441" t="n"/>
      <c r="I438" s="441" t="n"/>
      <c r="J438" s="436" t="n"/>
      <c r="K438" s="436" t="n"/>
      <c r="L438" s="437">
        <f>'01_Preço'!E257</f>
        <v/>
      </c>
      <c r="M438" s="446">
        <f>O438/$N$392</f>
        <v/>
      </c>
      <c r="N438" s="1365" t="n"/>
      <c r="O438" s="1349">
        <f>SUM(O439:O442)</f>
        <v/>
      </c>
      <c r="P438" s="552" t="n"/>
      <c r="Q438" s="1349" t="n"/>
    </row>
    <row r="439" outlineLevel="1" ht="27.6" customHeight="1">
      <c r="A439" s="228">
        <f>'01_Preço'!$A$240</f>
        <v/>
      </c>
      <c r="B439" s="168">
        <f>'01_Preço'!A257</f>
        <v/>
      </c>
      <c r="C439" s="426">
        <f>'01_Preço'!$B$257</f>
        <v/>
      </c>
      <c r="D439" s="169">
        <f>'01_Preço'!E257</f>
        <v/>
      </c>
      <c r="E439" s="453" t="n">
        <v>33</v>
      </c>
      <c r="F439" s="1343">
        <f>VLOOKUP(E439,'Tabela de mês'!$A$1:$B$70,2,TRUE)</f>
        <v/>
      </c>
      <c r="G439" s="518" t="inlineStr">
        <is>
          <t>213-SER F</t>
        </is>
      </c>
      <c r="H439" s="163" t="inlineStr">
        <is>
          <t>INSIGHT</t>
        </is>
      </c>
      <c r="I439" s="163" t="inlineStr">
        <is>
          <t>INSIGHT</t>
        </is>
      </c>
      <c r="J439" s="163" t="n"/>
      <c r="K439" s="163" t="n"/>
      <c r="L439" s="167" t="inlineStr">
        <is>
          <t>Entrega e montagem em campo dos equipamentos e componentes reformados do aro de regulação da 1ª UF</t>
        </is>
      </c>
      <c r="M439" s="416">
        <f>O439/$O$438</f>
        <v/>
      </c>
      <c r="N439" s="1364" t="n"/>
      <c r="O439" s="1342" t="n">
        <v>116086.84</v>
      </c>
      <c r="P439" s="553" t="n"/>
      <c r="Q439" s="1347" t="n"/>
    </row>
    <row r="440" outlineLevel="1" ht="27.6" customHeight="1">
      <c r="A440" s="228">
        <f>'01_Preço'!$A$240</f>
        <v/>
      </c>
      <c r="B440" s="168">
        <f>'01_Preço'!A257</f>
        <v/>
      </c>
      <c r="C440" s="426">
        <f>'01_Preço'!$B$257</f>
        <v/>
      </c>
      <c r="D440" s="169">
        <f>'01_Preço'!E257</f>
        <v/>
      </c>
      <c r="E440" s="453" t="n">
        <v>45</v>
      </c>
      <c r="F440" s="1343">
        <f>VLOOKUP(E440,'Tabela de mês'!$A$1:$B$70,2,TRUE)</f>
        <v/>
      </c>
      <c r="G440" s="518" t="inlineStr">
        <is>
          <t>214-SER F</t>
        </is>
      </c>
      <c r="H440" s="163" t="inlineStr">
        <is>
          <t>INSIGHT</t>
        </is>
      </c>
      <c r="I440" s="163" t="inlineStr">
        <is>
          <t>INSIGHT</t>
        </is>
      </c>
      <c r="J440" s="163" t="n"/>
      <c r="K440" s="163" t="n"/>
      <c r="L440" s="167" t="inlineStr">
        <is>
          <t>Entrega e montagem em campo dos equipamentos e componentes reformados do aro de regulação da 2ª UF</t>
        </is>
      </c>
      <c r="M440" s="416">
        <f>O440/$O$438</f>
        <v/>
      </c>
      <c r="N440" s="1364" t="n"/>
      <c r="O440" s="1342" t="n">
        <v>116086.84</v>
      </c>
      <c r="P440" s="553" t="n"/>
      <c r="Q440" s="1347" t="n"/>
    </row>
    <row r="441" outlineLevel="1" ht="27.6" customHeight="1">
      <c r="A441" s="228">
        <f>'01_Preço'!$A$240</f>
        <v/>
      </c>
      <c r="B441" s="168">
        <f>'01_Preço'!A257</f>
        <v/>
      </c>
      <c r="C441" s="426">
        <f>'01_Preço'!$B$257</f>
        <v/>
      </c>
      <c r="D441" s="169">
        <f>'01_Preço'!E257</f>
        <v/>
      </c>
      <c r="E441" s="453" t="n">
        <v>55</v>
      </c>
      <c r="F441" s="1343">
        <f>VLOOKUP(E441,'Tabela de mês'!$A$1:$B$70,2,TRUE)</f>
        <v/>
      </c>
      <c r="G441" s="510" t="inlineStr">
        <is>
          <t>215-SER F</t>
        </is>
      </c>
      <c r="H441" s="163" t="inlineStr">
        <is>
          <t>INSIGHT</t>
        </is>
      </c>
      <c r="I441" s="163" t="inlineStr">
        <is>
          <t>INSIGHT</t>
        </is>
      </c>
      <c r="J441" s="163" t="n"/>
      <c r="K441" s="163" t="n"/>
      <c r="L441" s="167" t="inlineStr">
        <is>
          <t>Entrega e montagem em campo dos equipamentos e componentes reformados do aro de regulação da 3ª UF</t>
        </is>
      </c>
      <c r="M441" s="416">
        <f>O441/$O$438</f>
        <v/>
      </c>
      <c r="N441" s="1364" t="n"/>
      <c r="O441" s="1342" t="n">
        <v>116086.84</v>
      </c>
      <c r="P441" s="553" t="n"/>
      <c r="Q441" s="1347" t="n"/>
    </row>
    <row r="442" outlineLevel="1" ht="27.6" customHeight="1">
      <c r="A442" s="228">
        <f>'01_Preço'!$A$240</f>
        <v/>
      </c>
      <c r="B442" s="168">
        <f>'01_Preço'!A257</f>
        <v/>
      </c>
      <c r="C442" s="426">
        <f>'01_Preço'!$B$257</f>
        <v/>
      </c>
      <c r="D442" s="169">
        <f>'01_Preço'!E257</f>
        <v/>
      </c>
      <c r="E442" s="453" t="n">
        <v>65</v>
      </c>
      <c r="F442" s="1343">
        <f>VLOOKUP(E442,'Tabela de mês'!$A$1:$B$70,2,TRUE)</f>
        <v/>
      </c>
      <c r="G442" s="510" t="inlineStr">
        <is>
          <t>216-SER F</t>
        </is>
      </c>
      <c r="H442" s="163" t="inlineStr">
        <is>
          <t>INSIGHT</t>
        </is>
      </c>
      <c r="I442" s="163" t="inlineStr">
        <is>
          <t>INSIGHT</t>
        </is>
      </c>
      <c r="J442" s="163" t="n"/>
      <c r="K442" s="163" t="n"/>
      <c r="L442" s="167" t="inlineStr">
        <is>
          <t>Entrega e montagem em campo dos equipamentos e componentes reformados do aro de regulação da 4ª UF</t>
        </is>
      </c>
      <c r="M442" s="416">
        <f>O442/$O$438</f>
        <v/>
      </c>
      <c r="N442" s="1364" t="n"/>
      <c r="O442" s="1342" t="n">
        <v>116086.84</v>
      </c>
      <c r="P442" s="553" t="n"/>
      <c r="Q442" s="1347" t="n"/>
    </row>
    <row r="443" outlineLevel="1" ht="14.4" customFormat="1" customHeight="1" s="166">
      <c r="A443" s="460">
        <f>'01_Preço'!$A$240</f>
        <v/>
      </c>
      <c r="B443" s="467">
        <f>'01_Preço'!A259</f>
        <v/>
      </c>
      <c r="C443" s="467">
        <f>'01_Preço'!B259</f>
        <v/>
      </c>
      <c r="D443" s="437">
        <f>'01_Preço'!E259</f>
        <v/>
      </c>
      <c r="E443" s="449" t="n"/>
      <c r="F443" s="449" t="n"/>
      <c r="G443" s="441" t="n"/>
      <c r="H443" s="441" t="n"/>
      <c r="I443" s="441" t="n"/>
      <c r="J443" s="436" t="n"/>
      <c r="K443" s="436" t="n"/>
      <c r="L443" s="437">
        <f>'01_Preço'!E259</f>
        <v/>
      </c>
      <c r="M443" s="446">
        <f>O443/$N$392</f>
        <v/>
      </c>
      <c r="N443" s="1365" t="n"/>
      <c r="O443" s="1349">
        <f>SUM(O444:O447)</f>
        <v/>
      </c>
      <c r="P443" s="552" t="n"/>
      <c r="Q443" s="1349" t="n"/>
    </row>
    <row r="444" outlineLevel="1" ht="27.6" customHeight="1">
      <c r="A444" s="228">
        <f>'01_Preço'!$A$240</f>
        <v/>
      </c>
      <c r="B444" s="168">
        <f>'01_Preço'!A259</f>
        <v/>
      </c>
      <c r="C444" s="426">
        <f>'01_Preço'!$B$259</f>
        <v/>
      </c>
      <c r="D444" s="169">
        <f>'01_Preço'!E259</f>
        <v/>
      </c>
      <c r="E444" s="453" t="n">
        <v>33</v>
      </c>
      <c r="F444" s="1343">
        <f>VLOOKUP(E444,'Tabela de mês'!$A$1:$B$70,2,TRUE)</f>
        <v/>
      </c>
      <c r="G444" s="519" t="inlineStr">
        <is>
          <t>217-SER</t>
        </is>
      </c>
      <c r="H444" s="163" t="inlineStr">
        <is>
          <t>INSIGHT</t>
        </is>
      </c>
      <c r="I444" s="163" t="inlineStr">
        <is>
          <t>INSIGHT</t>
        </is>
      </c>
      <c r="J444" s="163" t="n"/>
      <c r="K444" s="163" t="n"/>
      <c r="L444" s="167" t="inlineStr">
        <is>
          <t>Entrega e montagem em campo dos equipamentos e componentes reformados ddas turbinas Francis 1ª UF</t>
        </is>
      </c>
      <c r="M444" s="416">
        <f>O444/$O$443</f>
        <v/>
      </c>
      <c r="N444" s="1364" t="n"/>
      <c r="O444" s="1342" t="n">
        <v>505741.46</v>
      </c>
      <c r="P444" s="553" t="n"/>
      <c r="Q444" s="1347" t="n"/>
    </row>
    <row r="445" outlineLevel="1" ht="27.6" customHeight="1">
      <c r="A445" s="228">
        <f>'01_Preço'!$A$240</f>
        <v/>
      </c>
      <c r="B445" s="168">
        <f>'01_Preço'!A259</f>
        <v/>
      </c>
      <c r="C445" s="426">
        <f>'01_Preço'!$B$259</f>
        <v/>
      </c>
      <c r="D445" s="169">
        <f>'01_Preço'!E259</f>
        <v/>
      </c>
      <c r="E445" s="453" t="n">
        <v>45</v>
      </c>
      <c r="F445" s="1343">
        <f>VLOOKUP(E445,'Tabela de mês'!$A$1:$B$70,2,TRUE)</f>
        <v/>
      </c>
      <c r="G445" s="519" t="inlineStr">
        <is>
          <t>218-SER</t>
        </is>
      </c>
      <c r="H445" s="163" t="inlineStr">
        <is>
          <t>INSIGHT</t>
        </is>
      </c>
      <c r="I445" s="163" t="inlineStr">
        <is>
          <t>INSIGHT</t>
        </is>
      </c>
      <c r="J445" s="163" t="n"/>
      <c r="K445" s="163" t="n"/>
      <c r="L445" s="167" t="inlineStr">
        <is>
          <t>Entrega e montagem em campo dos equipamentos e componentes reformados ddas turbinas Francis 2ª UF</t>
        </is>
      </c>
      <c r="M445" s="416">
        <f>O445/$O$443</f>
        <v/>
      </c>
      <c r="N445" s="1364" t="n"/>
      <c r="O445" s="1342" t="n">
        <v>505741.46</v>
      </c>
      <c r="P445" s="553" t="n"/>
      <c r="Q445" s="1347" t="n"/>
    </row>
    <row r="446" outlineLevel="1" ht="27.6" customHeight="1">
      <c r="A446" s="228">
        <f>'01_Preço'!$A$240</f>
        <v/>
      </c>
      <c r="B446" s="168">
        <f>'01_Preço'!A259</f>
        <v/>
      </c>
      <c r="C446" s="426">
        <f>'01_Preço'!$B$259</f>
        <v/>
      </c>
      <c r="D446" s="169">
        <f>'01_Preço'!E259</f>
        <v/>
      </c>
      <c r="E446" s="453" t="n">
        <v>55</v>
      </c>
      <c r="F446" s="1343">
        <f>VLOOKUP(E446,'Tabela de mês'!$A$1:$B$70,2,TRUE)</f>
        <v/>
      </c>
      <c r="G446" s="511" t="inlineStr">
        <is>
          <t>219-SER</t>
        </is>
      </c>
      <c r="H446" s="163" t="inlineStr">
        <is>
          <t>INSIGHT</t>
        </is>
      </c>
      <c r="I446" s="163" t="inlineStr">
        <is>
          <t>INSIGHT</t>
        </is>
      </c>
      <c r="J446" s="163" t="n"/>
      <c r="K446" s="163" t="n"/>
      <c r="L446" s="167" t="inlineStr">
        <is>
          <t>Entrega e montagem em campo dos equipamentos e componentes reformados ddas turbinas Francis 3ª UF</t>
        </is>
      </c>
      <c r="M446" s="416">
        <f>O446/$O$443</f>
        <v/>
      </c>
      <c r="N446" s="1364" t="n"/>
      <c r="O446" s="1342" t="n">
        <v>505741.46</v>
      </c>
      <c r="P446" s="553" t="n"/>
      <c r="Q446" s="1347" t="n"/>
    </row>
    <row r="447" outlineLevel="1" ht="27.6" customHeight="1">
      <c r="A447" s="228">
        <f>'01_Preço'!$A$240</f>
        <v/>
      </c>
      <c r="B447" s="168">
        <f>'01_Preço'!A259</f>
        <v/>
      </c>
      <c r="C447" s="426">
        <f>'01_Preço'!$B$259</f>
        <v/>
      </c>
      <c r="D447" s="169">
        <f>'01_Preço'!E259</f>
        <v/>
      </c>
      <c r="E447" s="453" t="n">
        <v>65</v>
      </c>
      <c r="F447" s="1343">
        <f>VLOOKUP(E447,'Tabela de mês'!$A$1:$B$70,2,TRUE)</f>
        <v/>
      </c>
      <c r="G447" s="511" t="inlineStr">
        <is>
          <t>220-SER</t>
        </is>
      </c>
      <c r="H447" s="163" t="inlineStr">
        <is>
          <t>INSIGHT</t>
        </is>
      </c>
      <c r="I447" s="163" t="inlineStr">
        <is>
          <t>INSIGHT</t>
        </is>
      </c>
      <c r="J447" s="163" t="n"/>
      <c r="K447" s="163" t="n"/>
      <c r="L447" s="167" t="inlineStr">
        <is>
          <t>Entrega e montagem em campo dos equipamentos e componentes reformados ddas turbinas Francis 4ª UF</t>
        </is>
      </c>
      <c r="M447" s="416">
        <f>O447/$O$443</f>
        <v/>
      </c>
      <c r="N447" s="1364" t="n"/>
      <c r="O447" s="1342" t="n">
        <v>505741.46</v>
      </c>
      <c r="P447" s="553" t="n"/>
      <c r="Q447" s="1347" t="n"/>
    </row>
    <row r="448" outlineLevel="1" ht="27.6" customFormat="1" customHeight="1" s="166">
      <c r="A448" s="460">
        <f>'01_Preço'!$A$240</f>
        <v/>
      </c>
      <c r="B448" s="467">
        <f>'01_Preço'!A261</f>
        <v/>
      </c>
      <c r="C448" s="467">
        <f>'01_Preço'!B261</f>
        <v/>
      </c>
      <c r="D448" s="437">
        <f>'01_Preço'!E261</f>
        <v/>
      </c>
      <c r="E448" s="449" t="n"/>
      <c r="F448" s="449" t="n"/>
      <c r="G448" s="441" t="n"/>
      <c r="H448" s="441" t="n"/>
      <c r="I448" s="441" t="n"/>
      <c r="J448" s="436" t="n"/>
      <c r="K448" s="436" t="n"/>
      <c r="L448" s="437">
        <f>'01_Preço'!E261</f>
        <v/>
      </c>
      <c r="M448" s="446">
        <f>O448/$N$392</f>
        <v/>
      </c>
      <c r="N448" s="1365" t="n"/>
      <c r="O448" s="1349">
        <f>SUM(O449:O452)</f>
        <v/>
      </c>
      <c r="P448" s="552" t="n"/>
      <c r="Q448" s="1349" t="n"/>
    </row>
    <row r="449" outlineLevel="1" ht="27.6" customHeight="1">
      <c r="A449" s="228">
        <f>'01_Preço'!$A$240</f>
        <v/>
      </c>
      <c r="B449" s="168">
        <f>'01_Preço'!A261</f>
        <v/>
      </c>
      <c r="C449" s="426">
        <f>'01_Preço'!$B$261</f>
        <v/>
      </c>
      <c r="D449" s="169">
        <f>'01_Preço'!E261</f>
        <v/>
      </c>
      <c r="E449" s="453" t="n">
        <v>33</v>
      </c>
      <c r="F449" s="1343">
        <f>VLOOKUP(E449,'Tabela de mês'!$A$1:$B$70,2,TRUE)</f>
        <v/>
      </c>
      <c r="G449" s="518" t="inlineStr">
        <is>
          <t>221-SER A</t>
        </is>
      </c>
      <c r="H449" s="163" t="inlineStr">
        <is>
          <t>INSIGHT</t>
        </is>
      </c>
      <c r="I449" s="163" t="inlineStr">
        <is>
          <t>INSIGHT</t>
        </is>
      </c>
      <c r="J449" s="163" t="n"/>
      <c r="K449" s="163" t="n"/>
      <c r="L449" s="167" t="inlineStr">
        <is>
          <t>Entrega e montagem em campo dos equipamentos e componentes reformados do eixo intermediário e da turbina da 1ª UF</t>
        </is>
      </c>
      <c r="M449" s="416">
        <f>O449/$O$448</f>
        <v/>
      </c>
      <c r="N449" s="1364" t="n"/>
      <c r="O449" s="1342" t="n">
        <v>187702.55</v>
      </c>
      <c r="P449" s="553" t="n"/>
      <c r="Q449" s="1347" t="n"/>
    </row>
    <row r="450" outlineLevel="1" ht="27.6" customHeight="1">
      <c r="A450" s="228">
        <f>'01_Preço'!$A$240</f>
        <v/>
      </c>
      <c r="B450" s="168">
        <f>'01_Preço'!A261</f>
        <v/>
      </c>
      <c r="C450" s="426">
        <f>'01_Preço'!$B$261</f>
        <v/>
      </c>
      <c r="D450" s="169">
        <f>'01_Preço'!E261</f>
        <v/>
      </c>
      <c r="E450" s="453" t="n">
        <v>45</v>
      </c>
      <c r="F450" s="1343">
        <f>VLOOKUP(E450,'Tabela de mês'!$A$1:$B$70,2,TRUE)</f>
        <v/>
      </c>
      <c r="G450" s="518" t="inlineStr">
        <is>
          <t>222-SER A</t>
        </is>
      </c>
      <c r="H450" s="163" t="inlineStr">
        <is>
          <t>INSIGHT</t>
        </is>
      </c>
      <c r="I450" s="163" t="inlineStr">
        <is>
          <t>INSIGHT</t>
        </is>
      </c>
      <c r="J450" s="163" t="n"/>
      <c r="K450" s="163" t="n"/>
      <c r="L450" s="167" t="inlineStr">
        <is>
          <t>Entrega e montagem em campo dos equipamentos e componentes reformados do eixo intermediário e da turbina da 2ª UF</t>
        </is>
      </c>
      <c r="M450" s="416">
        <f>O450/$O$448</f>
        <v/>
      </c>
      <c r="N450" s="1364" t="n"/>
      <c r="O450" s="1342" t="n">
        <v>187702.55</v>
      </c>
      <c r="P450" s="553" t="n"/>
      <c r="Q450" s="1347" t="n"/>
    </row>
    <row r="451" outlineLevel="1" ht="27.6" customHeight="1">
      <c r="A451" s="228">
        <f>'01_Preço'!$A$240</f>
        <v/>
      </c>
      <c r="B451" s="168">
        <f>'01_Preço'!A261</f>
        <v/>
      </c>
      <c r="C451" s="426">
        <f>'01_Preço'!$B$261</f>
        <v/>
      </c>
      <c r="D451" s="169">
        <f>'01_Preço'!E261</f>
        <v/>
      </c>
      <c r="E451" s="453" t="n">
        <v>55</v>
      </c>
      <c r="F451" s="1343">
        <f>VLOOKUP(E451,'Tabela de mês'!$A$1:$B$70,2,TRUE)</f>
        <v/>
      </c>
      <c r="G451" s="510" t="inlineStr">
        <is>
          <t>223-SER A</t>
        </is>
      </c>
      <c r="H451" s="163" t="inlineStr">
        <is>
          <t>INSIGHT</t>
        </is>
      </c>
      <c r="I451" s="163" t="inlineStr">
        <is>
          <t>INSIGHT</t>
        </is>
      </c>
      <c r="J451" s="163" t="n"/>
      <c r="K451" s="163" t="n"/>
      <c r="L451" s="167" t="inlineStr">
        <is>
          <t>Entrega e montagem em campo dos equipamentos e componentes reformados do eixo intermediário e da turbina da 3ª UF</t>
        </is>
      </c>
      <c r="M451" s="416">
        <f>O451/$O$448</f>
        <v/>
      </c>
      <c r="N451" s="1364" t="n"/>
      <c r="O451" s="1342" t="n">
        <v>187702.55</v>
      </c>
      <c r="P451" s="553" t="n"/>
      <c r="Q451" s="1347" t="n"/>
    </row>
    <row r="452" outlineLevel="1" ht="27.6" customHeight="1">
      <c r="A452" s="228">
        <f>'01_Preço'!$A$240</f>
        <v/>
      </c>
      <c r="B452" s="168">
        <f>'01_Preço'!A261</f>
        <v/>
      </c>
      <c r="C452" s="426">
        <f>'01_Preço'!$B$261</f>
        <v/>
      </c>
      <c r="D452" s="169">
        <f>'01_Preço'!E261</f>
        <v/>
      </c>
      <c r="E452" s="453" t="n">
        <v>65</v>
      </c>
      <c r="F452" s="1343">
        <f>VLOOKUP(E452,'Tabela de mês'!$A$1:$B$70,2,TRUE)</f>
        <v/>
      </c>
      <c r="G452" s="510" t="inlineStr">
        <is>
          <t>224-SER A</t>
        </is>
      </c>
      <c r="H452" s="163" t="inlineStr">
        <is>
          <t>INSIGHT</t>
        </is>
      </c>
      <c r="I452" s="163" t="inlineStr">
        <is>
          <t>INSIGHT</t>
        </is>
      </c>
      <c r="J452" s="163" t="n"/>
      <c r="K452" s="163" t="n"/>
      <c r="L452" s="167" t="inlineStr">
        <is>
          <t>Entrega e montagem em campo dos equipamentos e componentes reformados do eixo intermediário e da turbina da 4ª UF</t>
        </is>
      </c>
      <c r="M452" s="416">
        <f>O452/$O$448</f>
        <v/>
      </c>
      <c r="N452" s="1364" t="n"/>
      <c r="O452" s="1342" t="n">
        <v>187702.55</v>
      </c>
      <c r="P452" s="553" t="n"/>
      <c r="Q452" s="1347" t="n"/>
    </row>
    <row r="453" outlineLevel="1" ht="27.6" customFormat="1" customHeight="1" s="166">
      <c r="A453" s="460">
        <f>'01_Preço'!$A$240</f>
        <v/>
      </c>
      <c r="B453" s="467">
        <f>'01_Preço'!A263</f>
        <v/>
      </c>
      <c r="C453" s="467">
        <f>'01_Preço'!B263</f>
        <v/>
      </c>
      <c r="D453" s="437">
        <f>'01_Preço'!E263</f>
        <v/>
      </c>
      <c r="E453" s="449" t="n"/>
      <c r="F453" s="449" t="n"/>
      <c r="G453" s="441" t="n"/>
      <c r="H453" s="441" t="n"/>
      <c r="I453" s="441" t="n"/>
      <c r="J453" s="436" t="n"/>
      <c r="K453" s="436" t="n"/>
      <c r="L453" s="437">
        <f>'01_Preço'!E263</f>
        <v/>
      </c>
      <c r="M453" s="446">
        <f>O453/$N$392</f>
        <v/>
      </c>
      <c r="N453" s="1365" t="n"/>
      <c r="O453" s="1349">
        <f>SUM(O454:O457)</f>
        <v/>
      </c>
      <c r="P453" s="552" t="n"/>
      <c r="Q453" s="1349" t="n"/>
    </row>
    <row r="454" outlineLevel="1" ht="27.6" customHeight="1">
      <c r="A454" s="228">
        <f>'01_Preço'!$A$240</f>
        <v/>
      </c>
      <c r="B454" s="168">
        <f>'01_Preço'!A263</f>
        <v/>
      </c>
      <c r="C454" s="426">
        <f>'01_Preço'!$B$263</f>
        <v/>
      </c>
      <c r="D454" s="169">
        <f>'01_Preço'!E263</f>
        <v/>
      </c>
      <c r="E454" s="453" t="n">
        <v>33</v>
      </c>
      <c r="F454" s="1343">
        <f>VLOOKUP(E454,'Tabela de mês'!$A$1:$B$70,2,TRUE)</f>
        <v/>
      </c>
      <c r="G454" s="518" t="inlineStr">
        <is>
          <t>221-SER B</t>
        </is>
      </c>
      <c r="H454" s="163" t="inlineStr">
        <is>
          <t>INSIGHT</t>
        </is>
      </c>
      <c r="I454" s="163" t="inlineStr">
        <is>
          <t>INSIGHT</t>
        </is>
      </c>
      <c r="J454" s="163" t="n"/>
      <c r="K454" s="163" t="n"/>
      <c r="L454" s="167" t="inlineStr">
        <is>
          <t>Entrega e montagem em campo dos equipamentos e componentes reformados dos sels de vedação dos eixos da 1ª UF</t>
        </is>
      </c>
      <c r="M454" s="416">
        <f>O454/$O$453</f>
        <v/>
      </c>
      <c r="N454" s="1364" t="n"/>
      <c r="O454" s="1342" t="n">
        <v>121679.89</v>
      </c>
      <c r="P454" s="553" t="n"/>
      <c r="Q454" s="1347" t="n"/>
    </row>
    <row r="455" outlineLevel="1" ht="27.6" customHeight="1">
      <c r="A455" s="228">
        <f>'01_Preço'!$A$240</f>
        <v/>
      </c>
      <c r="B455" s="168">
        <f>'01_Preço'!A263</f>
        <v/>
      </c>
      <c r="C455" s="426">
        <f>'01_Preço'!$B$263</f>
        <v/>
      </c>
      <c r="D455" s="169">
        <f>'01_Preço'!E263</f>
        <v/>
      </c>
      <c r="E455" s="453" t="n">
        <v>45</v>
      </c>
      <c r="F455" s="1343">
        <f>VLOOKUP(E455,'Tabela de mês'!$A$1:$B$70,2,TRUE)</f>
        <v/>
      </c>
      <c r="G455" s="518" t="inlineStr">
        <is>
          <t>222-SER B</t>
        </is>
      </c>
      <c r="H455" s="163" t="inlineStr">
        <is>
          <t>INSIGHT</t>
        </is>
      </c>
      <c r="I455" s="163" t="inlineStr">
        <is>
          <t>INSIGHT</t>
        </is>
      </c>
      <c r="J455" s="163" t="n"/>
      <c r="K455" s="163" t="n"/>
      <c r="L455" s="167" t="inlineStr">
        <is>
          <t>Entrega e montagem em campo dos equipamentos e componentes reformados dos sels de vedação dos eixos da 2ª UF</t>
        </is>
      </c>
      <c r="M455" s="416">
        <f>O455/$O$453</f>
        <v/>
      </c>
      <c r="N455" s="1364" t="n"/>
      <c r="O455" s="1342" t="n">
        <v>121679.89</v>
      </c>
      <c r="P455" s="553" t="n"/>
      <c r="Q455" s="1347" t="n"/>
    </row>
    <row r="456" outlineLevel="1" ht="27.6" customHeight="1">
      <c r="A456" s="228">
        <f>'01_Preço'!$A$240</f>
        <v/>
      </c>
      <c r="B456" s="168">
        <f>'01_Preço'!A263</f>
        <v/>
      </c>
      <c r="C456" s="426">
        <f>'01_Preço'!$B$263</f>
        <v/>
      </c>
      <c r="D456" s="169">
        <f>'01_Preço'!E263</f>
        <v/>
      </c>
      <c r="E456" s="453" t="n">
        <v>55</v>
      </c>
      <c r="F456" s="1343">
        <f>VLOOKUP(E456,'Tabela de mês'!$A$1:$B$70,2,TRUE)</f>
        <v/>
      </c>
      <c r="G456" s="510" t="inlineStr">
        <is>
          <t>223-SER B</t>
        </is>
      </c>
      <c r="H456" s="163" t="inlineStr">
        <is>
          <t>INSIGHT</t>
        </is>
      </c>
      <c r="I456" s="163" t="inlineStr">
        <is>
          <t>INSIGHT</t>
        </is>
      </c>
      <c r="J456" s="163" t="n"/>
      <c r="K456" s="163" t="n"/>
      <c r="L456" s="167" t="inlineStr">
        <is>
          <t>Entrega e montagem em campo dos equipamentos e componentes reformados dos sels de vedação dos eixos da 3ª UF</t>
        </is>
      </c>
      <c r="M456" s="416">
        <f>O456/$O$453</f>
        <v/>
      </c>
      <c r="N456" s="1364" t="n"/>
      <c r="O456" s="1342" t="n">
        <v>121679.89</v>
      </c>
      <c r="P456" s="553" t="n"/>
      <c r="Q456" s="1347" t="n"/>
    </row>
    <row r="457" outlineLevel="1" ht="27.6" customHeight="1">
      <c r="A457" s="228">
        <f>'01_Preço'!$A$240</f>
        <v/>
      </c>
      <c r="B457" s="168">
        <f>'01_Preço'!A263</f>
        <v/>
      </c>
      <c r="C457" s="426">
        <f>'01_Preço'!$B$263</f>
        <v/>
      </c>
      <c r="D457" s="169">
        <f>'01_Preço'!E263</f>
        <v/>
      </c>
      <c r="E457" s="453" t="n">
        <v>65</v>
      </c>
      <c r="F457" s="1343">
        <f>VLOOKUP(E457,'Tabela de mês'!$A$1:$B$70,2,TRUE)</f>
        <v/>
      </c>
      <c r="G457" s="510" t="inlineStr">
        <is>
          <t>224-SER B</t>
        </is>
      </c>
      <c r="H457" s="163" t="inlineStr">
        <is>
          <t>INSIGHT</t>
        </is>
      </c>
      <c r="I457" s="163" t="inlineStr">
        <is>
          <t>INSIGHT</t>
        </is>
      </c>
      <c r="J457" s="163" t="n"/>
      <c r="K457" s="163" t="n"/>
      <c r="L457" s="167" t="inlineStr">
        <is>
          <t>Entrega e montagem em campo dos equipamentos e componentes reformados dos sels de vedação dos eixos da 4ª UF</t>
        </is>
      </c>
      <c r="M457" s="416">
        <f>O457/$O$453</f>
        <v/>
      </c>
      <c r="N457" s="1364" t="n"/>
      <c r="O457" s="1342" t="n">
        <v>121679.89</v>
      </c>
      <c r="P457" s="553" t="n"/>
      <c r="Q457" s="1347" t="n"/>
    </row>
    <row r="458" outlineLevel="1" ht="27.6" customFormat="1" customHeight="1" s="166">
      <c r="A458" s="460">
        <f>'01_Preço'!$A$240</f>
        <v/>
      </c>
      <c r="B458" s="467">
        <f>'01_Preço'!A265</f>
        <v/>
      </c>
      <c r="C458" s="467">
        <f>'01_Preço'!B265</f>
        <v/>
      </c>
      <c r="D458" s="442">
        <f>'01_Preço'!E265</f>
        <v/>
      </c>
      <c r="E458" s="449" t="n"/>
      <c r="F458" s="449" t="n"/>
      <c r="G458" s="441" t="n"/>
      <c r="H458" s="441" t="n"/>
      <c r="I458" s="441" t="n"/>
      <c r="J458" s="436" t="n"/>
      <c r="K458" s="436" t="n"/>
      <c r="L458" s="437">
        <f>'01_Preço'!E265</f>
        <v/>
      </c>
      <c r="M458" s="446">
        <f>O458/$N$392</f>
        <v/>
      </c>
      <c r="N458" s="1365" t="n"/>
      <c r="O458" s="1349">
        <f>SUM(O459:O462)</f>
        <v/>
      </c>
      <c r="P458" s="552" t="n"/>
      <c r="Q458" s="1349" t="n"/>
    </row>
    <row r="459" outlineLevel="1" ht="27.6" customHeight="1">
      <c r="A459" s="228">
        <f>'01_Preço'!$A$240</f>
        <v/>
      </c>
      <c r="B459" s="168">
        <f>'01_Preço'!A265</f>
        <v/>
      </c>
      <c r="C459" s="426">
        <f>'01_Preço'!$B$265</f>
        <v/>
      </c>
      <c r="D459" s="169">
        <f>'01_Preço'!E265</f>
        <v/>
      </c>
      <c r="E459" s="453" t="n">
        <v>33</v>
      </c>
      <c r="F459" s="1343">
        <f>VLOOKUP(E459,'Tabela de mês'!$A$1:$B$70,2,TRUE)</f>
        <v/>
      </c>
      <c r="G459" s="518" t="inlineStr">
        <is>
          <t>221-SER C</t>
        </is>
      </c>
      <c r="H459" s="163" t="inlineStr">
        <is>
          <t>INSIGHT</t>
        </is>
      </c>
      <c r="I459" s="163" t="inlineStr">
        <is>
          <t>INSIGHT</t>
        </is>
      </c>
      <c r="J459" s="163" t="n"/>
      <c r="K459" s="163" t="n"/>
      <c r="L459" s="167" t="inlineStr">
        <is>
          <t>Entrega e montagem em campo dos equipamentos e componentes reformados do mancal guia da turbina da 1ª UF</t>
        </is>
      </c>
      <c r="M459" s="416">
        <f>O459/$O$458</f>
        <v/>
      </c>
      <c r="N459" s="1364" t="n"/>
      <c r="O459" s="1342" t="n">
        <v>198605.43</v>
      </c>
      <c r="P459" s="553" t="n"/>
      <c r="Q459" s="1347" t="n"/>
    </row>
    <row r="460" outlineLevel="1" ht="27.6" customHeight="1">
      <c r="A460" s="228">
        <f>'01_Preço'!$A$240</f>
        <v/>
      </c>
      <c r="B460" s="168">
        <f>'01_Preço'!A265</f>
        <v/>
      </c>
      <c r="C460" s="426">
        <f>'01_Preço'!$B$265</f>
        <v/>
      </c>
      <c r="D460" s="169">
        <f>'01_Preço'!E265</f>
        <v/>
      </c>
      <c r="E460" s="453" t="n">
        <v>45</v>
      </c>
      <c r="F460" s="1343">
        <f>VLOOKUP(E460,'Tabela de mês'!$A$1:$B$70,2,TRUE)</f>
        <v/>
      </c>
      <c r="G460" s="518" t="inlineStr">
        <is>
          <t>222-SER C</t>
        </is>
      </c>
      <c r="H460" s="163" t="inlineStr">
        <is>
          <t>INSIGHT</t>
        </is>
      </c>
      <c r="I460" s="163" t="inlineStr">
        <is>
          <t>INSIGHT</t>
        </is>
      </c>
      <c r="J460" s="163" t="n"/>
      <c r="K460" s="163" t="n"/>
      <c r="L460" s="167" t="inlineStr">
        <is>
          <t>Entrega e montagem em campo dos equipamentos e componentes reformados do mancal guia da turbina da 2ª UF</t>
        </is>
      </c>
      <c r="M460" s="416">
        <f>O460/$O$458</f>
        <v/>
      </c>
      <c r="N460" s="1364" t="n"/>
      <c r="O460" s="1342" t="n">
        <v>198605.43</v>
      </c>
      <c r="P460" s="553" t="n"/>
      <c r="Q460" s="1347" t="n"/>
    </row>
    <row r="461" outlineLevel="1" ht="27.6" customHeight="1">
      <c r="A461" s="228">
        <f>'01_Preço'!$A$240</f>
        <v/>
      </c>
      <c r="B461" s="168">
        <f>'01_Preço'!A265</f>
        <v/>
      </c>
      <c r="C461" s="426">
        <f>'01_Preço'!$B$265</f>
        <v/>
      </c>
      <c r="D461" s="169">
        <f>'01_Preço'!E265</f>
        <v/>
      </c>
      <c r="E461" s="453" t="n">
        <v>55</v>
      </c>
      <c r="F461" s="1343">
        <f>VLOOKUP(E461,'Tabela de mês'!$A$1:$B$70,2,TRUE)</f>
        <v/>
      </c>
      <c r="G461" s="510" t="inlineStr">
        <is>
          <t>223-SER C</t>
        </is>
      </c>
      <c r="H461" s="163" t="inlineStr">
        <is>
          <t>INSIGHT</t>
        </is>
      </c>
      <c r="I461" s="163" t="inlineStr">
        <is>
          <t>INSIGHT</t>
        </is>
      </c>
      <c r="J461" s="163" t="n"/>
      <c r="K461" s="163" t="n"/>
      <c r="L461" s="167" t="inlineStr">
        <is>
          <t>Entrega e montagem em campo dos equipamentos e componentes reformados do mancal guia da turbina da 3ª UF</t>
        </is>
      </c>
      <c r="M461" s="416">
        <f>O461/$O$458</f>
        <v/>
      </c>
      <c r="N461" s="1364" t="n"/>
      <c r="O461" s="1342" t="n">
        <v>198605.43</v>
      </c>
      <c r="P461" s="553" t="n"/>
      <c r="Q461" s="1347" t="n"/>
    </row>
    <row r="462" outlineLevel="1" ht="27.6" customHeight="1">
      <c r="A462" s="228">
        <f>'01_Preço'!$A$240</f>
        <v/>
      </c>
      <c r="B462" s="168">
        <f>'01_Preço'!A265</f>
        <v/>
      </c>
      <c r="C462" s="426">
        <f>'01_Preço'!$B$265</f>
        <v/>
      </c>
      <c r="D462" s="169">
        <f>'01_Preço'!E265</f>
        <v/>
      </c>
      <c r="E462" s="453" t="n">
        <v>65</v>
      </c>
      <c r="F462" s="1343">
        <f>VLOOKUP(E462,'Tabela de mês'!$A$1:$B$70,2,TRUE)</f>
        <v/>
      </c>
      <c r="G462" s="510" t="inlineStr">
        <is>
          <t>224-SER C</t>
        </is>
      </c>
      <c r="H462" s="163" t="inlineStr">
        <is>
          <t>INSIGHT</t>
        </is>
      </c>
      <c r="I462" s="163" t="inlineStr">
        <is>
          <t>INSIGHT</t>
        </is>
      </c>
      <c r="J462" s="163" t="n"/>
      <c r="K462" s="163" t="n"/>
      <c r="L462" s="167" t="inlineStr">
        <is>
          <t>Entrega e montagem em campo dos equipamentos e componentes reformados do mancal guia da turbina da 4ª UF</t>
        </is>
      </c>
      <c r="M462" s="416">
        <f>O462/$O$458</f>
        <v/>
      </c>
      <c r="N462" s="1364" t="n"/>
      <c r="O462" s="1342" t="n">
        <v>198605.43</v>
      </c>
      <c r="P462" s="553" t="n"/>
      <c r="Q462" s="1347" t="n"/>
    </row>
    <row r="463" outlineLevel="1" ht="14.4" customFormat="1" customHeight="1" s="166">
      <c r="A463" s="460">
        <f>'01_Preço'!$A$240</f>
        <v/>
      </c>
      <c r="B463" s="467">
        <f>'01_Preço'!A267</f>
        <v/>
      </c>
      <c r="C463" s="467">
        <f>'01_Preço'!B267</f>
        <v/>
      </c>
      <c r="D463" s="442">
        <f>'01_Preço'!E267</f>
        <v/>
      </c>
      <c r="E463" s="449" t="n"/>
      <c r="F463" s="449" t="n"/>
      <c r="G463" s="441" t="n"/>
      <c r="H463" s="441" t="n"/>
      <c r="I463" s="441" t="n"/>
      <c r="J463" s="436" t="n"/>
      <c r="K463" s="436" t="n"/>
      <c r="L463" s="437">
        <f>'01_Preço'!E267</f>
        <v/>
      </c>
      <c r="M463" s="446">
        <f>O463/$N$392</f>
        <v/>
      </c>
      <c r="N463" s="1365" t="n"/>
      <c r="O463" s="1349">
        <f>SUM(O464:O467)</f>
        <v/>
      </c>
      <c r="P463" s="552" t="n"/>
      <c r="Q463" s="1349" t="n"/>
    </row>
    <row r="464" outlineLevel="1" ht="27.6" customHeight="1">
      <c r="A464" s="228">
        <f>'01_Preço'!$A$240</f>
        <v/>
      </c>
      <c r="B464" s="168">
        <f>'01_Preço'!A267</f>
        <v/>
      </c>
      <c r="C464" s="426">
        <f>'01_Preço'!$B$267</f>
        <v/>
      </c>
      <c r="D464" s="169">
        <f>'01_Preço'!E267</f>
        <v/>
      </c>
      <c r="E464" s="453" t="n">
        <v>33</v>
      </c>
      <c r="F464" s="1343">
        <f>VLOOKUP(E464,'Tabela de mês'!$A$1:$B$70,2,TRUE)</f>
        <v/>
      </c>
      <c r="G464" s="518" t="inlineStr">
        <is>
          <t>221-SER D</t>
        </is>
      </c>
      <c r="H464" s="163" t="inlineStr">
        <is>
          <t>INSIGHT</t>
        </is>
      </c>
      <c r="I464" s="163" t="inlineStr">
        <is>
          <t>INSIGHT</t>
        </is>
      </c>
      <c r="J464" s="163" t="n"/>
      <c r="K464" s="163" t="n"/>
      <c r="L464" s="167" t="inlineStr">
        <is>
          <t>Entrega e montagem em campo dos equipamentos e componentes reformados do sistema de aeração do rotor da 1ª UF</t>
        </is>
      </c>
      <c r="M464" s="416">
        <f>O464/$O$463</f>
        <v/>
      </c>
      <c r="N464" s="1364" t="n"/>
      <c r="O464" s="1342" t="n">
        <v>74928.23</v>
      </c>
      <c r="P464" s="553" t="n"/>
      <c r="Q464" s="1347" t="n"/>
    </row>
    <row r="465" outlineLevel="1" ht="27.6" customHeight="1">
      <c r="A465" s="228">
        <f>'01_Preço'!$A$240</f>
        <v/>
      </c>
      <c r="B465" s="168">
        <f>'01_Preço'!A267</f>
        <v/>
      </c>
      <c r="C465" s="426">
        <f>'01_Preço'!$B$267</f>
        <v/>
      </c>
      <c r="D465" s="169">
        <f>'01_Preço'!E267</f>
        <v/>
      </c>
      <c r="E465" s="453" t="n">
        <v>45</v>
      </c>
      <c r="F465" s="1343">
        <f>VLOOKUP(E465,'Tabela de mês'!$A$1:$B$70,2,TRUE)</f>
        <v/>
      </c>
      <c r="G465" s="518" t="inlineStr">
        <is>
          <t>222-SER D</t>
        </is>
      </c>
      <c r="H465" s="163" t="inlineStr">
        <is>
          <t>INSIGHT</t>
        </is>
      </c>
      <c r="I465" s="163" t="inlineStr">
        <is>
          <t>INSIGHT</t>
        </is>
      </c>
      <c r="J465" s="163" t="n"/>
      <c r="K465" s="163" t="n"/>
      <c r="L465" s="167" t="inlineStr">
        <is>
          <t>Entrega e montagem em campo dos equipamentos e componentes reformados do sistema de aeração do rotor da 2ª UF</t>
        </is>
      </c>
      <c r="M465" s="416">
        <f>O465/$O$463</f>
        <v/>
      </c>
      <c r="N465" s="1364" t="n"/>
      <c r="O465" s="1342" t="n">
        <v>74928.23</v>
      </c>
      <c r="P465" s="553" t="n"/>
      <c r="Q465" s="1347" t="n"/>
    </row>
    <row r="466" outlineLevel="1" ht="27.6" customHeight="1">
      <c r="A466" s="228">
        <f>'01_Preço'!$A$240</f>
        <v/>
      </c>
      <c r="B466" s="168">
        <f>'01_Preço'!A267</f>
        <v/>
      </c>
      <c r="C466" s="426">
        <f>'01_Preço'!$B$267</f>
        <v/>
      </c>
      <c r="D466" s="169">
        <f>'01_Preço'!E267</f>
        <v/>
      </c>
      <c r="E466" s="453" t="n">
        <v>55</v>
      </c>
      <c r="F466" s="1343">
        <f>VLOOKUP(E466,'Tabela de mês'!$A$1:$B$70,2,TRUE)</f>
        <v/>
      </c>
      <c r="G466" s="510" t="inlineStr">
        <is>
          <t>223-SER D</t>
        </is>
      </c>
      <c r="H466" s="163" t="inlineStr">
        <is>
          <t>INSIGHT</t>
        </is>
      </c>
      <c r="I466" s="163" t="inlineStr">
        <is>
          <t>INSIGHT</t>
        </is>
      </c>
      <c r="J466" s="163" t="n"/>
      <c r="K466" s="163" t="n"/>
      <c r="L466" s="167" t="inlineStr">
        <is>
          <t>Entrega e montagem em campo dos equipamentos e componentes reformados do sistema de aeração do rotor da 3ª UF</t>
        </is>
      </c>
      <c r="M466" s="416">
        <f>O466/$O$463</f>
        <v/>
      </c>
      <c r="N466" s="1364" t="n"/>
      <c r="O466" s="1342" t="n">
        <v>74928.23</v>
      </c>
      <c r="P466" s="553" t="n"/>
      <c r="Q466" s="1347" t="n"/>
    </row>
    <row r="467" outlineLevel="1" ht="27.6" customHeight="1">
      <c r="A467" s="228">
        <f>'01_Preço'!$A$240</f>
        <v/>
      </c>
      <c r="B467" s="168">
        <f>'01_Preço'!A267</f>
        <v/>
      </c>
      <c r="C467" s="426">
        <f>'01_Preço'!$B$267</f>
        <v/>
      </c>
      <c r="D467" s="169">
        <f>'01_Preço'!E267</f>
        <v/>
      </c>
      <c r="E467" s="453" t="n">
        <v>65</v>
      </c>
      <c r="F467" s="1343">
        <f>VLOOKUP(E467,'Tabela de mês'!$A$1:$B$70,2,TRUE)</f>
        <v/>
      </c>
      <c r="G467" s="510" t="inlineStr">
        <is>
          <t>224-SER D</t>
        </is>
      </c>
      <c r="H467" s="163" t="inlineStr">
        <is>
          <t>INSIGHT</t>
        </is>
      </c>
      <c r="I467" s="163" t="inlineStr">
        <is>
          <t>INSIGHT</t>
        </is>
      </c>
      <c r="J467" s="163" t="n"/>
      <c r="K467" s="163" t="n"/>
      <c r="L467" s="167" t="inlineStr">
        <is>
          <t>Entrega e montagem em campo dos equipamentos e componentes reformados do sistema de aeração do rotor da 4ª UF</t>
        </is>
      </c>
      <c r="M467" s="416">
        <f>O467/$O$463</f>
        <v/>
      </c>
      <c r="N467" s="1364" t="n"/>
      <c r="O467" s="1342" t="n">
        <v>74928.23</v>
      </c>
      <c r="P467" s="553" t="n"/>
      <c r="Q467" s="1347" t="n"/>
    </row>
    <row r="468" outlineLevel="1" ht="27.6" customFormat="1" customHeight="1" s="166">
      <c r="A468" s="460">
        <f>'01_Preço'!$A$240</f>
        <v/>
      </c>
      <c r="B468" s="467">
        <f>CONCATENATE('01_Preço'!$A$269," e ",'01_Preço'!$A$271)</f>
        <v/>
      </c>
      <c r="C468" s="467">
        <f>'01_Preço'!B269</f>
        <v/>
      </c>
      <c r="D468" s="442">
        <f>CONCATENATE('01_Preço'!$E$269," e ",'01_Preço'!$E$271)</f>
        <v/>
      </c>
      <c r="E468" s="449" t="n"/>
      <c r="F468" s="449" t="n"/>
      <c r="G468" s="441" t="n"/>
      <c r="H468" s="441" t="n"/>
      <c r="I468" s="441" t="n"/>
      <c r="J468" s="436" t="n"/>
      <c r="K468" s="436" t="n"/>
      <c r="L468" s="437">
        <f>CONCATENATE('01_Preço'!$E$269," e ",'01_Preço'!$E$271)</f>
        <v/>
      </c>
      <c r="M468" s="446">
        <f>O468/$N$392</f>
        <v/>
      </c>
      <c r="N468" s="1365" t="n"/>
      <c r="O468" s="1349">
        <f>SUM(O469:O472)</f>
        <v/>
      </c>
      <c r="P468" s="552" t="n"/>
      <c r="Q468" s="1349" t="n"/>
    </row>
    <row r="469" outlineLevel="1" ht="41.4" customHeight="1">
      <c r="A469" s="228">
        <f>'01_Preço'!$A$240</f>
        <v/>
      </c>
      <c r="B469" s="173">
        <f>CONCATENATE('01_Preço'!$A$269," e ",'01_Preço'!$A$271)</f>
        <v/>
      </c>
      <c r="C469" s="426">
        <f>'01_Preço'!$B$269</f>
        <v/>
      </c>
      <c r="D469" s="423">
        <f>CONCATENATE('01_Preço'!$E$269," e ",'01_Preço'!$E$271)</f>
        <v/>
      </c>
      <c r="E469" s="453" t="n">
        <v>33</v>
      </c>
      <c r="F469" s="1343">
        <f>VLOOKUP(E469,'Tabela de mês'!$A$1:$B$70,2,TRUE)</f>
        <v/>
      </c>
      <c r="G469" s="511" t="inlineStr">
        <is>
          <t>225-SER</t>
        </is>
      </c>
      <c r="H469" s="163" t="inlineStr">
        <is>
          <t>INSIGHT</t>
        </is>
      </c>
      <c r="I469" s="163" t="inlineStr">
        <is>
          <t>INSIGHT</t>
        </is>
      </c>
      <c r="J469" s="163" t="n"/>
      <c r="K469" s="163" t="n"/>
      <c r="L469" s="167" t="inlineStr">
        <is>
          <t>Conclusão dos serviços de adequações à NR-12 e de proteção anticorrosiva na turbina e auxiliares da 1ª UF</t>
        </is>
      </c>
      <c r="M469" s="416">
        <f>O469/$O$468</f>
        <v/>
      </c>
      <c r="N469" s="1364" t="n"/>
      <c r="O469" s="1342" t="n">
        <v>57606.41</v>
      </c>
      <c r="P469" s="561" t="n"/>
      <c r="Q469" s="1347" t="n"/>
    </row>
    <row r="470" outlineLevel="1" ht="41.4" customHeight="1">
      <c r="A470" s="228">
        <f>'01_Preço'!$A$240</f>
        <v/>
      </c>
      <c r="B470" s="173">
        <f>CONCATENATE('01_Preço'!$A$269," e ",'01_Preço'!$A$271)</f>
        <v/>
      </c>
      <c r="C470" s="426">
        <f>'01_Preço'!$B$269</f>
        <v/>
      </c>
      <c r="D470" s="423">
        <f>CONCATENATE('01_Preço'!$E$269," e ",'01_Preço'!$E$271)</f>
        <v/>
      </c>
      <c r="E470" s="453" t="n">
        <v>45</v>
      </c>
      <c r="F470" s="1343">
        <f>VLOOKUP(E470,'Tabela de mês'!$A$1:$B$70,2,TRUE)</f>
        <v/>
      </c>
      <c r="G470" s="511" t="inlineStr">
        <is>
          <t>226-SER</t>
        </is>
      </c>
      <c r="H470" s="163" t="inlineStr">
        <is>
          <t>INSIGHT</t>
        </is>
      </c>
      <c r="I470" s="163" t="inlineStr">
        <is>
          <t>INSIGHT</t>
        </is>
      </c>
      <c r="J470" s="163" t="n"/>
      <c r="K470" s="163" t="n"/>
      <c r="L470" s="167" t="inlineStr">
        <is>
          <t>Conclusão dos serviços de adequações à NR-12 e de proteção anticorrosiva na turbina e auxiliares da 2ª UF</t>
        </is>
      </c>
      <c r="M470" s="416">
        <f>O470/$O$468</f>
        <v/>
      </c>
      <c r="N470" s="1364" t="n"/>
      <c r="O470" s="1342" t="n">
        <v>57606.41</v>
      </c>
      <c r="P470" s="561" t="n"/>
      <c r="Q470" s="1347" t="n"/>
    </row>
    <row r="471" outlineLevel="1" ht="41.4" customHeight="1">
      <c r="A471" s="228">
        <f>'01_Preço'!$A$240</f>
        <v/>
      </c>
      <c r="B471" s="173">
        <f>CONCATENATE('01_Preço'!$A$269," e ",'01_Preço'!$A$271)</f>
        <v/>
      </c>
      <c r="C471" s="426">
        <f>'01_Preço'!$B$269</f>
        <v/>
      </c>
      <c r="D471" s="423">
        <f>CONCATENATE('01_Preço'!$E$269," e ",'01_Preço'!$E$271)</f>
        <v/>
      </c>
      <c r="E471" s="453" t="n">
        <v>55</v>
      </c>
      <c r="F471" s="1343">
        <f>VLOOKUP(E471,'Tabela de mês'!$A$1:$B$70,2,TRUE)</f>
        <v/>
      </c>
      <c r="G471" s="511" t="inlineStr">
        <is>
          <t>227-SER</t>
        </is>
      </c>
      <c r="H471" s="163" t="inlineStr">
        <is>
          <t>INSIGHT</t>
        </is>
      </c>
      <c r="I471" s="163" t="inlineStr">
        <is>
          <t>INSIGHT</t>
        </is>
      </c>
      <c r="J471" s="163" t="n"/>
      <c r="K471" s="163" t="n"/>
      <c r="L471" s="167" t="inlineStr">
        <is>
          <t>Conclusão dos serviços de adequações à NR-12 e de proteção anticorrosiva na turbina e auxiliares da 3ª UF</t>
        </is>
      </c>
      <c r="M471" s="416">
        <f>O471/$O$468</f>
        <v/>
      </c>
      <c r="N471" s="1364" t="n"/>
      <c r="O471" s="1342" t="n">
        <v>57606.41</v>
      </c>
      <c r="P471" s="561" t="n"/>
      <c r="Q471" s="1347" t="n"/>
    </row>
    <row r="472" outlineLevel="1" ht="41.4" customHeight="1">
      <c r="A472" s="228">
        <f>'01_Preço'!$A$240</f>
        <v/>
      </c>
      <c r="B472" s="173">
        <f>CONCATENATE('01_Preço'!$A$269," e ",'01_Preço'!$A$271)</f>
        <v/>
      </c>
      <c r="C472" s="426">
        <f>'01_Preço'!$B$269</f>
        <v/>
      </c>
      <c r="D472" s="423">
        <f>CONCATENATE('01_Preço'!$E$269," e ",'01_Preço'!$E$271)</f>
        <v/>
      </c>
      <c r="E472" s="453" t="n">
        <v>65</v>
      </c>
      <c r="F472" s="1343">
        <f>VLOOKUP(E472,'Tabela de mês'!$A$1:$B$70,2,TRUE)</f>
        <v/>
      </c>
      <c r="G472" s="511" t="inlineStr">
        <is>
          <t>228-SER</t>
        </is>
      </c>
      <c r="H472" s="163" t="inlineStr">
        <is>
          <t>INSIGHT</t>
        </is>
      </c>
      <c r="I472" s="163" t="inlineStr">
        <is>
          <t>INSIGHT</t>
        </is>
      </c>
      <c r="J472" s="163" t="n"/>
      <c r="K472" s="163" t="n"/>
      <c r="L472" s="167" t="inlineStr">
        <is>
          <t>Conclusão dos serviços de adequações à NR-12 e de proteção anticorrosiva na turbina e auxiliares da 4ª UF</t>
        </is>
      </c>
      <c r="M472" s="416">
        <f>O472/$O$468</f>
        <v/>
      </c>
      <c r="N472" s="1364" t="n"/>
      <c r="O472" s="1342" t="n">
        <v>57606.41</v>
      </c>
      <c r="P472" s="561" t="n"/>
      <c r="Q472" s="1347" t="n"/>
    </row>
    <row r="473" outlineLevel="1" ht="27.6" customFormat="1" customHeight="1" s="166">
      <c r="A473" s="460">
        <f>'01_Preço'!$A$240</f>
        <v/>
      </c>
      <c r="B473" s="467">
        <f>CONCATENATE('01_Preço'!$A$273)</f>
        <v/>
      </c>
      <c r="C473" s="467">
        <f>'01_Preço'!B273</f>
        <v/>
      </c>
      <c r="D473" s="442">
        <f>CONCATENATE('01_Preço'!$E$273)</f>
        <v/>
      </c>
      <c r="E473" s="449" t="n"/>
      <c r="F473" s="449" t="n"/>
      <c r="G473" s="441" t="n"/>
      <c r="H473" s="441" t="n"/>
      <c r="I473" s="441" t="n"/>
      <c r="J473" s="436" t="n"/>
      <c r="K473" s="436" t="n"/>
      <c r="L473" s="437">
        <f>CONCATENATE('01_Preço'!$E$273)</f>
        <v/>
      </c>
      <c r="M473" s="446">
        <f>O473/$N$392</f>
        <v/>
      </c>
      <c r="N473" s="1365" t="n"/>
      <c r="O473" s="1349">
        <f>SUM(O474:O477)</f>
        <v/>
      </c>
      <c r="P473" s="552" t="n"/>
      <c r="Q473" s="1349" t="n"/>
    </row>
    <row r="474" outlineLevel="1" ht="27.6" customHeight="1">
      <c r="A474" s="228">
        <f>'01_Preço'!$A$240</f>
        <v/>
      </c>
      <c r="B474" s="173">
        <f>CONCATENATE('01_Preço'!$A$273)</f>
        <v/>
      </c>
      <c r="C474" s="426">
        <f>'01_Preço'!$B$273</f>
        <v/>
      </c>
      <c r="D474" s="423">
        <f>CONCATENATE('01_Preço'!$E$273)</f>
        <v/>
      </c>
      <c r="E474" s="453" t="n">
        <v>33</v>
      </c>
      <c r="F474" s="1343">
        <f>VLOOKUP(E474,'Tabela de mês'!$A$1:$B$70,2,TRUE)</f>
        <v/>
      </c>
      <c r="G474" s="510" t="inlineStr">
        <is>
          <t>209-MAT A</t>
        </is>
      </c>
      <c r="H474" s="163" t="inlineStr">
        <is>
          <t>INSIGHT</t>
        </is>
      </c>
      <c r="I474" s="163" t="inlineStr">
        <is>
          <t>INSIGHT</t>
        </is>
      </c>
      <c r="J474" s="163" t="n"/>
      <c r="K474" s="163" t="n"/>
      <c r="L474" s="167" t="inlineStr">
        <is>
          <t>Entrega em campo dos equipamentos e componentes reformados do braço de interligação servomotor/aro de regulação da 1ª UF</t>
        </is>
      </c>
      <c r="M474" s="416">
        <f>O474/$O$473</f>
        <v/>
      </c>
      <c r="N474" s="1364" t="n"/>
      <c r="O474" s="1342" t="n">
        <v>114222.09</v>
      </c>
      <c r="P474" s="553" t="n"/>
      <c r="Q474" s="1347" t="n"/>
    </row>
    <row r="475" outlineLevel="1" ht="27.6" customHeight="1">
      <c r="A475" s="228">
        <f>'01_Preço'!$A$240</f>
        <v/>
      </c>
      <c r="B475" s="173">
        <f>CONCATENATE('01_Preço'!$A$273)</f>
        <v/>
      </c>
      <c r="C475" s="426">
        <f>'01_Preço'!$B$273</f>
        <v/>
      </c>
      <c r="D475" s="423">
        <f>CONCATENATE('01_Preço'!$E$273)</f>
        <v/>
      </c>
      <c r="E475" s="453" t="n">
        <v>45</v>
      </c>
      <c r="F475" s="1343">
        <f>VLOOKUP(E475,'Tabela de mês'!$A$1:$B$70,2,TRUE)</f>
        <v/>
      </c>
      <c r="G475" s="510" t="inlineStr">
        <is>
          <t>210-MAT A</t>
        </is>
      </c>
      <c r="H475" s="163" t="inlineStr">
        <is>
          <t>INSIGHT</t>
        </is>
      </c>
      <c r="I475" s="163" t="inlineStr">
        <is>
          <t>INSIGHT</t>
        </is>
      </c>
      <c r="J475" s="163" t="n"/>
      <c r="K475" s="163" t="n"/>
      <c r="L475" s="167" t="inlineStr">
        <is>
          <t>Entrega em campo dos equipamentos e componentes reformados do braço de interligação servomotor/aro de regulação da 2ª UF</t>
        </is>
      </c>
      <c r="M475" s="416">
        <f>O475/$O$473</f>
        <v/>
      </c>
      <c r="N475" s="1364" t="n"/>
      <c r="O475" s="1342" t="n">
        <v>114222.09</v>
      </c>
      <c r="P475" s="553" t="n"/>
      <c r="Q475" s="1347" t="n"/>
    </row>
    <row r="476" outlineLevel="1" ht="27.6" customHeight="1">
      <c r="A476" s="228">
        <f>'01_Preço'!$A$240</f>
        <v/>
      </c>
      <c r="B476" s="173">
        <f>CONCATENATE('01_Preço'!$A$273)</f>
        <v/>
      </c>
      <c r="C476" s="426">
        <f>'01_Preço'!$B$273</f>
        <v/>
      </c>
      <c r="D476" s="423">
        <f>CONCATENATE('01_Preço'!$E$273)</f>
        <v/>
      </c>
      <c r="E476" s="453" t="n">
        <v>55</v>
      </c>
      <c r="F476" s="1343">
        <f>VLOOKUP(E476,'Tabela de mês'!$A$1:$B$70,2,TRUE)</f>
        <v/>
      </c>
      <c r="G476" s="510" t="inlineStr">
        <is>
          <t>211-MAT A</t>
        </is>
      </c>
      <c r="H476" s="163" t="inlineStr">
        <is>
          <t>INSIGHT</t>
        </is>
      </c>
      <c r="I476" s="163" t="inlineStr">
        <is>
          <t>INSIGHT</t>
        </is>
      </c>
      <c r="J476" s="163" t="n"/>
      <c r="K476" s="163" t="n"/>
      <c r="L476" s="167" t="inlineStr">
        <is>
          <t>Entrega em campo dos equipamentos e componentes reformados do braço de interligação servomotor/aro de regulação da 3ª UF</t>
        </is>
      </c>
      <c r="M476" s="416">
        <f>O476/$O$473</f>
        <v/>
      </c>
      <c r="N476" s="1364" t="n"/>
      <c r="O476" s="1342" t="n">
        <v>114222.09</v>
      </c>
      <c r="P476" s="553" t="n"/>
      <c r="Q476" s="1347" t="n"/>
    </row>
    <row r="477" outlineLevel="1" ht="27.6" customHeight="1">
      <c r="A477" s="228">
        <f>'01_Preço'!$A$240</f>
        <v/>
      </c>
      <c r="B477" s="173">
        <f>CONCATENATE('01_Preço'!$A$273)</f>
        <v/>
      </c>
      <c r="C477" s="426">
        <f>'01_Preço'!$B$273</f>
        <v/>
      </c>
      <c r="D477" s="423">
        <f>CONCATENATE('01_Preço'!$E$273)</f>
        <v/>
      </c>
      <c r="E477" s="453" t="n">
        <v>65</v>
      </c>
      <c r="F477" s="1343">
        <f>VLOOKUP(E477,'Tabela de mês'!$A$1:$B$70,2,TRUE)</f>
        <v/>
      </c>
      <c r="G477" s="510" t="inlineStr">
        <is>
          <t>212-MAT A</t>
        </is>
      </c>
      <c r="H477" s="163" t="inlineStr">
        <is>
          <t>INSIGHT</t>
        </is>
      </c>
      <c r="I477" s="163" t="inlineStr">
        <is>
          <t>INSIGHT</t>
        </is>
      </c>
      <c r="J477" s="163" t="n"/>
      <c r="K477" s="163" t="n"/>
      <c r="L477" s="167" t="inlineStr">
        <is>
          <t>Entrega em campo dos equipamentos e componentes reformados do braço de interligação servomotor/aro de regulação da 4ª UF</t>
        </is>
      </c>
      <c r="M477" s="416">
        <f>O477/$O$473</f>
        <v/>
      </c>
      <c r="N477" s="1364" t="n"/>
      <c r="O477" s="1342" t="n">
        <v>114222.09</v>
      </c>
      <c r="P477" s="553" t="n"/>
      <c r="Q477" s="1347" t="n"/>
    </row>
    <row r="478" outlineLevel="1" ht="27.6" customFormat="1" customHeight="1" s="166">
      <c r="A478" s="460">
        <f>'01_Preço'!$A$240</f>
        <v/>
      </c>
      <c r="B478" s="467">
        <f>CONCATENATE('01_Preço'!$A$275)</f>
        <v/>
      </c>
      <c r="C478" s="467">
        <f>'01_Preço'!B275</f>
        <v/>
      </c>
      <c r="D478" s="437">
        <f>CONCATENATE('01_Preço'!$E$269," e ",'01_Preço'!$E$271)</f>
        <v/>
      </c>
      <c r="E478" s="449" t="n"/>
      <c r="F478" s="449" t="n"/>
      <c r="G478" s="441" t="n"/>
      <c r="H478" s="441" t="n"/>
      <c r="I478" s="441" t="n"/>
      <c r="J478" s="436" t="n"/>
      <c r="K478" s="436" t="n"/>
      <c r="L478" s="437">
        <f>CONCATENATE('01_Preço'!$E$275)</f>
        <v/>
      </c>
      <c r="M478" s="446">
        <f>O478/$N$392</f>
        <v/>
      </c>
      <c r="N478" s="1365" t="n"/>
      <c r="O478" s="1349">
        <f>SUM(O479:O482)</f>
        <v/>
      </c>
      <c r="P478" s="552" t="n"/>
      <c r="Q478" s="1349" t="n"/>
    </row>
    <row r="479" outlineLevel="1" ht="27.6" customHeight="1">
      <c r="A479" s="228">
        <f>'01_Preço'!$A$240</f>
        <v/>
      </c>
      <c r="B479" s="426">
        <f>CONCATENATE('01_Preço'!$A$275)</f>
        <v/>
      </c>
      <c r="C479" s="426">
        <f>'01_Preço'!$B$275</f>
        <v/>
      </c>
      <c r="D479" s="167" t="inlineStr">
        <is>
          <t>Reforma da turbina e auxiliares</t>
        </is>
      </c>
      <c r="E479" s="453" t="n">
        <v>33</v>
      </c>
      <c r="F479" s="1343">
        <f>VLOOKUP(E479,'Tabela de mês'!$A$1:$B$70,2,TRUE)</f>
        <v/>
      </c>
      <c r="G479" s="510" t="inlineStr">
        <is>
          <t>209-MAT B</t>
        </is>
      </c>
      <c r="H479" s="179" t="inlineStr">
        <is>
          <t>INSIGHT</t>
        </is>
      </c>
      <c r="I479" s="179" t="inlineStr">
        <is>
          <t>INSIGHT</t>
        </is>
      </c>
      <c r="J479" s="179" t="n"/>
      <c r="K479" s="179" t="n"/>
      <c r="L479" s="167" t="inlineStr">
        <is>
          <t>Entrega em campo dos equipamentos e componentes reformados das buchas autolubrificantes do conjunto distribuidor  da 1ª UF</t>
        </is>
      </c>
      <c r="M479" s="416">
        <f>O479/$O$478</f>
        <v/>
      </c>
      <c r="N479" s="1364" t="n"/>
      <c r="O479" s="1342" t="n">
        <v>226451.4</v>
      </c>
      <c r="P479" s="553" t="n"/>
      <c r="Q479" s="1347" t="n"/>
    </row>
    <row r="480" outlineLevel="1" ht="27.6" customHeight="1">
      <c r="A480" s="228">
        <f>'01_Preço'!$A$240</f>
        <v/>
      </c>
      <c r="B480" s="426">
        <f>CONCATENATE('01_Preço'!$A$275)</f>
        <v/>
      </c>
      <c r="C480" s="426">
        <f>'01_Preço'!$B$275</f>
        <v/>
      </c>
      <c r="D480" s="167" t="inlineStr">
        <is>
          <t>Reforma da turbina e auxiliares</t>
        </is>
      </c>
      <c r="E480" s="453" t="n">
        <v>45</v>
      </c>
      <c r="F480" s="1343">
        <f>VLOOKUP(E480,'Tabela de mês'!$A$1:$B$70,2,TRUE)</f>
        <v/>
      </c>
      <c r="G480" s="510" t="inlineStr">
        <is>
          <t>210-MAT B</t>
        </is>
      </c>
      <c r="H480" s="179" t="inlineStr">
        <is>
          <t>INSIGHT</t>
        </is>
      </c>
      <c r="I480" s="179" t="inlineStr">
        <is>
          <t>INSIGHT</t>
        </is>
      </c>
      <c r="J480" s="179" t="n"/>
      <c r="K480" s="179" t="n"/>
      <c r="L480" s="167" t="inlineStr">
        <is>
          <t>Entrega em campo dos equipamentos e componentes reformados das buchas autolubrificantes do conjunto distribuidor  da 2ª UF</t>
        </is>
      </c>
      <c r="M480" s="416">
        <f>O480/$O$478</f>
        <v/>
      </c>
      <c r="N480" s="1364" t="n"/>
      <c r="O480" s="1342" t="n">
        <v>226451.4</v>
      </c>
      <c r="P480" s="553" t="n"/>
      <c r="Q480" s="1347" t="n"/>
    </row>
    <row r="481" outlineLevel="1" ht="27.6" customHeight="1">
      <c r="A481" s="228">
        <f>'01_Preço'!$A$240</f>
        <v/>
      </c>
      <c r="B481" s="426">
        <f>CONCATENATE('01_Preço'!$A$275)</f>
        <v/>
      </c>
      <c r="C481" s="426">
        <f>'01_Preço'!$B$275</f>
        <v/>
      </c>
      <c r="D481" s="167" t="inlineStr">
        <is>
          <t>Reforma da turbina e auxiliares</t>
        </is>
      </c>
      <c r="E481" s="453" t="n">
        <v>55</v>
      </c>
      <c r="F481" s="1343">
        <f>VLOOKUP(E481,'Tabela de mês'!$A$1:$B$70,2,TRUE)</f>
        <v/>
      </c>
      <c r="G481" s="510" t="inlineStr">
        <is>
          <t>211-MAT B</t>
        </is>
      </c>
      <c r="H481" s="179" t="inlineStr">
        <is>
          <t>INSIGHT</t>
        </is>
      </c>
      <c r="I481" s="179" t="inlineStr">
        <is>
          <t>INSIGHT</t>
        </is>
      </c>
      <c r="J481" s="179" t="n"/>
      <c r="K481" s="179" t="n"/>
      <c r="L481" s="167" t="inlineStr">
        <is>
          <t>Entrega em campo dos equipamentos e componentes reformados das buchas autolubrificantes do conjunto distribuidor  da 3ª UF</t>
        </is>
      </c>
      <c r="M481" s="416">
        <f>O481/$O$478</f>
        <v/>
      </c>
      <c r="N481" s="1364" t="n"/>
      <c r="O481" s="1342" t="n">
        <v>226451.4</v>
      </c>
      <c r="P481" s="553" t="n"/>
      <c r="Q481" s="1347" t="n"/>
    </row>
    <row r="482" outlineLevel="1" ht="28.2" customHeight="1" thickBot="1">
      <c r="A482" s="231">
        <f>'01_Preço'!$A$240</f>
        <v/>
      </c>
      <c r="B482" s="505">
        <f>CONCATENATE('01_Preço'!$A$275)</f>
        <v/>
      </c>
      <c r="C482" s="505">
        <f>'01_Preço'!$B$275</f>
        <v/>
      </c>
      <c r="D482" s="180" t="inlineStr">
        <is>
          <t>Reforma da turbina e auxiliares</t>
        </is>
      </c>
      <c r="E482" s="453" t="n">
        <v>65</v>
      </c>
      <c r="F482" s="1343">
        <f>VLOOKUP(E482,'Tabela de mês'!$A$1:$B$70,2,TRUE)</f>
        <v/>
      </c>
      <c r="G482" s="510" t="inlineStr">
        <is>
          <t>212-MAT B</t>
        </is>
      </c>
      <c r="H482" s="179" t="inlineStr">
        <is>
          <t>INSIGHT</t>
        </is>
      </c>
      <c r="I482" s="179" t="inlineStr">
        <is>
          <t>INSIGHT</t>
        </is>
      </c>
      <c r="J482" s="179" t="n"/>
      <c r="K482" s="179" t="n"/>
      <c r="L482" s="167" t="inlineStr">
        <is>
          <t>Entrega em campo dos equipamentos e componentes reformados das buchas autolubrificantes do conjunto distribuidor  da 4ª UF</t>
        </is>
      </c>
      <c r="M482" s="421">
        <f>O482/$O$478</f>
        <v/>
      </c>
      <c r="N482" s="1364" t="n"/>
      <c r="O482" s="1342" t="n">
        <v>226451.4</v>
      </c>
      <c r="P482" s="553" t="n"/>
      <c r="Q482" s="1347" t="n"/>
    </row>
    <row r="483" ht="15.6" customHeight="1" thickBot="1">
      <c r="A483" s="1332" t="inlineStr">
        <is>
          <t>2.11 - Sistema de Drenagem e Esgotamento</t>
        </is>
      </c>
      <c r="B483" s="1139" t="n"/>
      <c r="C483" s="1139" t="n"/>
      <c r="D483" s="1139" t="n"/>
      <c r="E483" s="1139" t="n"/>
      <c r="F483" s="1139" t="n"/>
      <c r="G483" s="1139" t="n"/>
      <c r="H483" s="1139" t="n"/>
      <c r="I483" s="1139" t="n"/>
      <c r="J483" s="1139" t="n"/>
      <c r="K483" s="1139" t="n"/>
      <c r="L483" s="1139" t="n"/>
      <c r="M483" s="1140" t="n"/>
      <c r="N483" s="1360">
        <f>SUM(O484,O488:O491)</f>
        <v/>
      </c>
      <c r="O483" s="503" t="n"/>
      <c r="P483" s="1053" t="n"/>
      <c r="Q483" s="424" t="n"/>
    </row>
    <row r="484" outlineLevel="1" ht="27.6" customHeight="1">
      <c r="A484" s="676">
        <f>'01_Preço'!$A$277</f>
        <v/>
      </c>
      <c r="B484" s="486">
        <f>'01_Preço'!A278</f>
        <v/>
      </c>
      <c r="C484" s="486">
        <f>'01_Preço'!B278</f>
        <v/>
      </c>
      <c r="D484" s="475">
        <f>'01_Preço'!E278</f>
        <v/>
      </c>
      <c r="E484" s="479" t="n"/>
      <c r="F484" s="479" t="n"/>
      <c r="G484" s="487" t="n"/>
      <c r="H484" s="487" t="n"/>
      <c r="I484" s="487" t="n"/>
      <c r="J484" s="487" t="n"/>
      <c r="K484" s="487" t="n"/>
      <c r="L484" s="475">
        <f>CONCATENATE('01_Preço'!$E$278)</f>
        <v/>
      </c>
      <c r="M484" s="679">
        <f>O484/$N$483</f>
        <v/>
      </c>
      <c r="N484" s="1369" t="n"/>
      <c r="O484" s="1354">
        <f>SUM(O485:O487)</f>
        <v/>
      </c>
      <c r="P484" s="552" t="n"/>
      <c r="Q484" s="1349" t="n"/>
    </row>
    <row r="485" outlineLevel="1" ht="27.6" customHeight="1">
      <c r="A485" s="393">
        <f>'01_Preço'!$A$277</f>
        <v/>
      </c>
      <c r="B485" s="389">
        <f>'01_Preço'!A278</f>
        <v/>
      </c>
      <c r="C485" s="389">
        <f>'01_Preço'!B278</f>
        <v/>
      </c>
      <c r="D485" s="423">
        <f>'01_Preço'!E278</f>
        <v/>
      </c>
      <c r="E485" s="450" t="n">
        <v>16</v>
      </c>
      <c r="F485" s="1339">
        <f>VLOOKUP(E485,'Tabela de mês'!$A$1:$B$70,2,TRUE)</f>
        <v/>
      </c>
      <c r="G485" s="511" t="inlineStr">
        <is>
          <t>246-SER</t>
        </is>
      </c>
      <c r="H485" s="163" t="inlineStr">
        <is>
          <t>ALL ENERGY</t>
        </is>
      </c>
      <c r="I485" s="163" t="inlineStr">
        <is>
          <t>INSIGHT</t>
        </is>
      </c>
      <c r="J485" s="163" t="n"/>
      <c r="K485" s="163" t="n"/>
      <c r="L485" s="423" t="inlineStr">
        <is>
          <t>Aprovação do Plano de Emissão de Documentos do Sistema de Drenagem e Esgotamento</t>
        </is>
      </c>
      <c r="M485" s="391">
        <f>O485/$O$484</f>
        <v/>
      </c>
      <c r="N485" s="1340" t="n"/>
      <c r="O485" s="1340" t="n">
        <v>7545.41</v>
      </c>
      <c r="P485" s="565" t="n"/>
      <c r="Q485" s="1338" t="n"/>
      <c r="S485" s="662" t="inlineStr">
        <is>
          <t>SIM</t>
        </is>
      </c>
    </row>
    <row r="486" outlineLevel="1" ht="27.6" customHeight="1">
      <c r="A486" s="228">
        <f>'01_Preço'!$A$277</f>
        <v/>
      </c>
      <c r="B486" s="417">
        <f>'01_Preço'!A278</f>
        <v/>
      </c>
      <c r="C486" s="417">
        <f>'01_Preço'!B278</f>
        <v/>
      </c>
      <c r="D486" s="390">
        <f>'01_Preço'!E278</f>
        <v/>
      </c>
      <c r="E486" s="453" t="n">
        <v>27</v>
      </c>
      <c r="F486" s="1343">
        <f>VLOOKUP(E486,'Tabela de mês'!$A$1:$B$70,2,TRUE)</f>
        <v/>
      </c>
      <c r="G486" s="520" t="inlineStr">
        <is>
          <t>247-SER</t>
        </is>
      </c>
      <c r="H486" s="161" t="inlineStr">
        <is>
          <t>ALL ENERGY</t>
        </is>
      </c>
      <c r="I486" s="496" t="inlineStr">
        <is>
          <t>FAT. DIRETO</t>
        </is>
      </c>
      <c r="J486" s="161" t="n"/>
      <c r="K486" s="161" t="n"/>
      <c r="L486" s="390" t="inlineStr">
        <is>
          <t>Aprovação completa dos Documentos do Projeto Executivo e de Fabricação do Sistema de Drenagem e Esgotamento</t>
        </is>
      </c>
      <c r="M486" s="416">
        <f>O486/$O$484</f>
        <v/>
      </c>
      <c r="N486" s="1355" t="n"/>
      <c r="O486" s="1355" t="n">
        <v>126989.21</v>
      </c>
      <c r="P486" s="565" t="n"/>
      <c r="Q486" s="1370" t="n"/>
    </row>
    <row r="487" outlineLevel="1" ht="27.6" customHeight="1">
      <c r="A487" s="230">
        <f>'01_Preço'!$A$277</f>
        <v/>
      </c>
      <c r="B487" s="389">
        <f>'01_Preço'!A278</f>
        <v/>
      </c>
      <c r="C487" s="389">
        <f>'01_Preço'!B278</f>
        <v/>
      </c>
      <c r="D487" s="423">
        <f>'01_Preço'!E278</f>
        <v/>
      </c>
      <c r="E487" s="453" t="n">
        <v>38</v>
      </c>
      <c r="F487" s="1343">
        <f>VLOOKUP(E487,'Tabela de mês'!$A$1:$B$70,2,TRUE)</f>
        <v/>
      </c>
      <c r="G487" s="510" t="inlineStr">
        <is>
          <t>249-SER</t>
        </is>
      </c>
      <c r="H487" s="163" t="inlineStr">
        <is>
          <t>ALL ENERGY</t>
        </is>
      </c>
      <c r="I487" s="497" t="inlineStr">
        <is>
          <t>FAT. DIRETO</t>
        </is>
      </c>
      <c r="J487" s="163" t="n"/>
      <c r="K487" s="163" t="n"/>
      <c r="L487" s="342" t="inlineStr">
        <is>
          <t>Aprovação da versão conforme construído do Projeto do Sistema de Drenagem e Esgotamento</t>
        </is>
      </c>
      <c r="M487" s="391">
        <f>O487/$O$484</f>
        <v/>
      </c>
      <c r="N487" s="1340" t="n"/>
      <c r="O487" s="1340" t="n">
        <v>14109.92</v>
      </c>
      <c r="P487" s="565" t="n"/>
      <c r="Q487" s="1370" t="n"/>
    </row>
    <row r="488" outlineLevel="1" ht="27.6" customHeight="1">
      <c r="A488" s="461">
        <f>'01_Preço'!$A$277</f>
        <v/>
      </c>
      <c r="B488" s="467">
        <f>CONCATENATE('01_Preço'!$A$280,)</f>
        <v/>
      </c>
      <c r="C488" s="467">
        <f>'01_Preço'!B280</f>
        <v/>
      </c>
      <c r="D488" s="470" t="inlineStr">
        <is>
          <t xml:space="preserve">Desmontagem e montagem eletromecânica completa </t>
        </is>
      </c>
      <c r="E488" s="449" t="n">
        <v>33</v>
      </c>
      <c r="F488" s="1348">
        <f>VLOOKUP(E488,'Tabela de mês'!$A$1:$B$70,2,TRUE)</f>
        <v/>
      </c>
      <c r="G488" s="520" t="inlineStr">
        <is>
          <t>252-SER</t>
        </is>
      </c>
      <c r="H488" s="436" t="inlineStr">
        <is>
          <t>ALL ENERGY</t>
        </is>
      </c>
      <c r="I488" s="496" t="inlineStr">
        <is>
          <t>FAT. DIRETO</t>
        </is>
      </c>
      <c r="J488" s="436" t="n"/>
      <c r="K488" s="436" t="n"/>
      <c r="L488" s="470" t="inlineStr">
        <is>
          <t>Conclusão da desmontagem e montagem eletromecânica completa</t>
        </is>
      </c>
      <c r="M488" s="446">
        <f>O488/$N$483</f>
        <v/>
      </c>
      <c r="N488" s="1365" t="n"/>
      <c r="O488" s="1349" t="n">
        <v>231878.78</v>
      </c>
      <c r="P488" s="449" t="n"/>
      <c r="Q488" s="1349" t="n"/>
    </row>
    <row r="489" outlineLevel="1" ht="27.6" customHeight="1">
      <c r="A489" s="461">
        <f>'01_Preço'!$A$277</f>
        <v/>
      </c>
      <c r="B489" s="467">
        <f>CONCATENATE("",'01_Preço'!$A$282)</f>
        <v/>
      </c>
      <c r="C489" s="467">
        <f>'01_Preço'!B282</f>
        <v/>
      </c>
      <c r="D489" s="470" t="inlineStr">
        <is>
          <t>Supervisão, ensaios de campo e comissionamento</t>
        </is>
      </c>
      <c r="E489" s="449" t="n">
        <v>34</v>
      </c>
      <c r="F489" s="1348">
        <f>VLOOKUP(E489,'Tabela de mês'!$A$1:$B$70,2,TRUE)</f>
        <v/>
      </c>
      <c r="G489" s="520" t="inlineStr">
        <is>
          <t xml:space="preserve">253-SER
</t>
        </is>
      </c>
      <c r="H489" s="436" t="inlineStr">
        <is>
          <t>ALL ENERGY</t>
        </is>
      </c>
      <c r="I489" s="496" t="inlineStr">
        <is>
          <t>FAT. DIRETO</t>
        </is>
      </c>
      <c r="J489" s="436" t="n"/>
      <c r="K489" s="436" t="n"/>
      <c r="L489" s="470" t="inlineStr">
        <is>
          <t>Conclusão da supervisão, ensaios de campo e comissionamento</t>
        </is>
      </c>
      <c r="M489" s="446">
        <f>O489/$N$483</f>
        <v/>
      </c>
      <c r="N489" s="1365" t="n"/>
      <c r="O489" s="1349" t="n">
        <v>208238.47</v>
      </c>
      <c r="P489" s="449" t="n"/>
      <c r="Q489" s="1349" t="n"/>
    </row>
    <row r="490" outlineLevel="1" ht="82.8" customHeight="1">
      <c r="A490" s="461">
        <f>'01_Preço'!$A$277</f>
        <v/>
      </c>
      <c r="B490" s="467">
        <f>'01_Preço'!A284</f>
        <v/>
      </c>
      <c r="C490" s="467">
        <f>'01_Preço'!B284</f>
        <v/>
      </c>
      <c r="D490" s="470">
        <f>CONCATENATE('01_Preço'!$E$284)</f>
        <v/>
      </c>
      <c r="E490" s="449" t="n">
        <v>31</v>
      </c>
      <c r="F490" s="1348">
        <f>VLOOKUP(E490,'Tabela de mês'!$A$1:$B$70,2,TRUE)</f>
        <v/>
      </c>
      <c r="G490" s="520" t="inlineStr">
        <is>
          <t>250-MAT</t>
        </is>
      </c>
      <c r="H490" s="436" t="inlineStr">
        <is>
          <t>ALL ENERGY</t>
        </is>
      </c>
      <c r="I490" s="496" t="inlineStr">
        <is>
          <t>FAT. DIRETO</t>
        </is>
      </c>
      <c r="J490" s="436" t="n"/>
      <c r="K490" s="436" t="n"/>
      <c r="L490" s="437" t="inlineStr">
        <is>
          <t>Entrega em campo dos equipamentos e materiais do Sistema de Drenagem e Esgotamento Gerais da Casa de Força, incluindo moto-bombas, válvulas, tubulações, quadros, acessórios, etc.</t>
        </is>
      </c>
      <c r="M490" s="446">
        <f>O490/$N$483</f>
        <v/>
      </c>
      <c r="N490" s="1365" t="n"/>
      <c r="O490" s="1349" t="n">
        <v>679045.4300000001</v>
      </c>
      <c r="P490" s="449" t="n"/>
      <c r="Q490" s="1349" t="n"/>
    </row>
    <row r="491" outlineLevel="1" ht="42" customHeight="1" thickBot="1">
      <c r="A491" s="461">
        <f>'01_Preço'!$A$277</f>
        <v/>
      </c>
      <c r="B491" s="467">
        <f>'01_Preço'!A286</f>
        <v/>
      </c>
      <c r="C491" s="467">
        <f>'01_Preço'!B286</f>
        <v/>
      </c>
      <c r="D491" s="470">
        <f>CONCATENATE('01_Preço'!$E$286)</f>
        <v/>
      </c>
      <c r="E491" s="449" t="n">
        <v>31</v>
      </c>
      <c r="F491" s="1348">
        <f>VLOOKUP(E491,'Tabela de mês'!$A$1:$B$70,2,TRUE)</f>
        <v/>
      </c>
      <c r="G491" s="520" t="inlineStr">
        <is>
          <t>251-MAT</t>
        </is>
      </c>
      <c r="H491" s="436" t="inlineStr">
        <is>
          <t>ALL ENERGY</t>
        </is>
      </c>
      <c r="I491" s="496" t="inlineStr">
        <is>
          <t>FAT. DIRETO</t>
        </is>
      </c>
      <c r="J491" s="436" t="n"/>
      <c r="K491" s="436" t="n"/>
      <c r="L491" s="437" t="inlineStr">
        <is>
          <t>Entrega em campos dos equipamentos e materiais do Sistema de Esgotamento das Unidades Geradoras</t>
        </is>
      </c>
      <c r="M491" s="446">
        <f>O491/$N$483</f>
        <v/>
      </c>
      <c r="N491" s="1365" t="n"/>
      <c r="O491" s="1349" t="n">
        <v>359997.44</v>
      </c>
      <c r="P491" s="449" t="n"/>
      <c r="Q491" s="1349" t="n"/>
    </row>
    <row r="492" ht="16.2" customHeight="1" thickBot="1">
      <c r="A492" s="1332" t="inlineStr">
        <is>
          <t>2.12 - Sistema de Resfriamento</t>
        </is>
      </c>
      <c r="B492" s="1139" t="n"/>
      <c r="C492" s="1139" t="n"/>
      <c r="D492" s="1139" t="n"/>
      <c r="E492" s="1139" t="n"/>
      <c r="F492" s="1139" t="n"/>
      <c r="G492" s="1139" t="n"/>
      <c r="H492" s="1139" t="n"/>
      <c r="I492" s="1139" t="n"/>
      <c r="J492" s="1139" t="n"/>
      <c r="K492" s="1139" t="n"/>
      <c r="L492" s="1139" t="n"/>
      <c r="M492" s="1140" t="n"/>
      <c r="N492" s="1360">
        <f>SUM(O493,O497:O499)</f>
        <v/>
      </c>
      <c r="O492" s="424" t="n"/>
      <c r="P492" s="424" t="n"/>
      <c r="Q492" s="424" t="n"/>
    </row>
    <row r="493" outlineLevel="1" ht="14.4" customHeight="1">
      <c r="A493" s="676">
        <f>'01_Preço'!$A$288</f>
        <v/>
      </c>
      <c r="B493" s="486">
        <f>'01_Preço'!A289</f>
        <v/>
      </c>
      <c r="C493" s="486">
        <f>'01_Preço'!B289</f>
        <v/>
      </c>
      <c r="D493" s="678">
        <f>CONCATENATE('01_Preço'!$E$289)</f>
        <v/>
      </c>
      <c r="E493" s="479" t="n"/>
      <c r="F493" s="479" t="n"/>
      <c r="G493" s="487" t="n"/>
      <c r="H493" s="487" t="n"/>
      <c r="I493" s="487" t="n"/>
      <c r="J493" s="487" t="n"/>
      <c r="K493" s="487" t="n"/>
      <c r="L493" s="475">
        <f>CONCATENATE('01_Preço'!$E$289)</f>
        <v/>
      </c>
      <c r="M493" s="679">
        <f>O493/$N$492</f>
        <v/>
      </c>
      <c r="N493" s="1369" t="n"/>
      <c r="O493" s="1354">
        <f>SUM(O494:O496)</f>
        <v/>
      </c>
      <c r="P493" s="449" t="n"/>
      <c r="Q493" s="1349" t="n"/>
    </row>
    <row r="494" outlineLevel="1" ht="14.4" customHeight="1">
      <c r="A494" s="393">
        <f>'01_Preço'!$A$288</f>
        <v/>
      </c>
      <c r="B494" s="389">
        <f>'01_Preço'!A289</f>
        <v/>
      </c>
      <c r="C494" s="389">
        <f>'01_Preço'!B289</f>
        <v/>
      </c>
      <c r="D494" s="423">
        <f>'01_Preço'!E289</f>
        <v/>
      </c>
      <c r="E494" s="450" t="n">
        <v>16</v>
      </c>
      <c r="F494" s="1339">
        <f>VLOOKUP(E494,'Tabela de mês'!$A$1:$B$70,2,TRUE)</f>
        <v/>
      </c>
      <c r="G494" s="511" t="inlineStr">
        <is>
          <t>257-SER</t>
        </is>
      </c>
      <c r="H494" s="389" t="inlineStr">
        <is>
          <t>ALL ENERGY</t>
        </is>
      </c>
      <c r="I494" s="389" t="inlineStr">
        <is>
          <t>INSIGHT</t>
        </is>
      </c>
      <c r="J494" s="389" t="n"/>
      <c r="K494" s="389" t="n"/>
      <c r="L494" s="423" t="inlineStr">
        <is>
          <t>Aprovação do Plano de Emissão de Documentos do Sistema de Resfriamento</t>
        </is>
      </c>
      <c r="M494" s="391">
        <f>O494/$O$493</f>
        <v/>
      </c>
      <c r="N494" s="1340" t="n"/>
      <c r="O494" s="1340" t="n">
        <v>12095.49</v>
      </c>
      <c r="P494" s="565" t="n"/>
      <c r="Q494" s="1338" t="n"/>
      <c r="S494" s="662" t="inlineStr">
        <is>
          <t>SIM</t>
        </is>
      </c>
    </row>
    <row r="495" outlineLevel="1" ht="27.6" customHeight="1">
      <c r="A495" s="668">
        <f>'01_Preço'!$A$288</f>
        <v/>
      </c>
      <c r="B495" s="665">
        <f>'01_Preço'!A289</f>
        <v/>
      </c>
      <c r="C495" s="161">
        <f>'01_Preço'!B289</f>
        <v/>
      </c>
      <c r="D495" s="162">
        <f>'01_Preço'!E289</f>
        <v/>
      </c>
      <c r="E495" s="453" t="n">
        <v>25</v>
      </c>
      <c r="F495" s="1343">
        <f>VLOOKUP(E495,'Tabela de mês'!$A$1:$B$70,2,TRUE)</f>
        <v/>
      </c>
      <c r="G495" s="520" t="inlineStr">
        <is>
          <t>258-SER</t>
        </is>
      </c>
      <c r="H495" s="417" t="inlineStr">
        <is>
          <t>ALL ENERGY</t>
        </is>
      </c>
      <c r="I495" s="496" t="inlineStr">
        <is>
          <t>FAT. DIRETO</t>
        </is>
      </c>
      <c r="J495" s="161" t="n"/>
      <c r="K495" s="161" t="n"/>
      <c r="L495" s="390" t="inlineStr">
        <is>
          <t>Aprovação completa dos Documentos do Projeto Executivo e de Fabricação do Sistema de Resfriamento</t>
        </is>
      </c>
      <c r="M495" s="666">
        <f>O495/$O$493</f>
        <v/>
      </c>
      <c r="N495" s="1378" t="n"/>
      <c r="O495" s="1378" t="n">
        <v>203567.01</v>
      </c>
      <c r="P495" s="565" t="n"/>
      <c r="Q495" s="1341" t="n"/>
    </row>
    <row r="496" outlineLevel="1" ht="27.6" customHeight="1">
      <c r="A496" s="228">
        <f>'01_Preço'!$A$288</f>
        <v/>
      </c>
      <c r="B496" s="161">
        <f>'01_Preço'!A289</f>
        <v/>
      </c>
      <c r="C496" s="161">
        <f>'01_Preço'!B289</f>
        <v/>
      </c>
      <c r="D496" s="162">
        <f>'01_Preço'!E289</f>
        <v/>
      </c>
      <c r="E496" s="453" t="n">
        <v>40</v>
      </c>
      <c r="F496" s="1343">
        <f>VLOOKUP(E496,'Tabela de mês'!$A$1:$B$70,2,TRUE)</f>
        <v/>
      </c>
      <c r="G496" s="520" t="inlineStr">
        <is>
          <t>260-SER</t>
        </is>
      </c>
      <c r="H496" s="417" t="inlineStr">
        <is>
          <t>ALL ENERGY</t>
        </is>
      </c>
      <c r="I496" s="496" t="inlineStr">
        <is>
          <t>FAT. DIRETO</t>
        </is>
      </c>
      <c r="J496" s="161" t="n"/>
      <c r="K496" s="161" t="n"/>
      <c r="L496" s="422" t="inlineStr">
        <is>
          <t>Aprovação da versão conforme construído do Projeto do Sistema de Drenagem e Esgotamento</t>
        </is>
      </c>
      <c r="M496" s="416">
        <f>O496/$O$493</f>
        <v/>
      </c>
      <c r="N496" s="1344" t="n"/>
      <c r="O496" s="1341" t="n">
        <v>22618.56</v>
      </c>
      <c r="P496" s="537" t="n"/>
      <c r="Q496" s="1341" t="n"/>
    </row>
    <row r="497" outlineLevel="1" ht="27.6" customHeight="1">
      <c r="A497" s="461">
        <f>'01_Preço'!$A$288</f>
        <v/>
      </c>
      <c r="B497" s="467">
        <f>'01_Preço'!A291</f>
        <v/>
      </c>
      <c r="C497" s="467">
        <f>'01_Preço'!B291</f>
        <v/>
      </c>
      <c r="D497" s="470">
        <f>CONCATENATE('01_Preço'!$E$291)</f>
        <v/>
      </c>
      <c r="E497" s="449" t="n">
        <v>35</v>
      </c>
      <c r="F497" s="1348">
        <f>VLOOKUP(E497,'Tabela de mês'!$A$1:$B$70,2,TRUE)</f>
        <v/>
      </c>
      <c r="G497" s="520" t="inlineStr">
        <is>
          <t>262-SER</t>
        </is>
      </c>
      <c r="H497" s="436" t="inlineStr">
        <is>
          <t>ALL ENERGY</t>
        </is>
      </c>
      <c r="I497" s="496" t="inlineStr">
        <is>
          <t>FAT. DIRETO</t>
        </is>
      </c>
      <c r="J497" s="436" t="n"/>
      <c r="K497" s="436" t="n"/>
      <c r="L497" s="437" t="inlineStr">
        <is>
          <t>Conclusão da desmontagem e montagem eletromecânica completa</t>
        </is>
      </c>
      <c r="M497" s="446">
        <f>O497/$N$492</f>
        <v/>
      </c>
      <c r="N497" s="1365" t="n"/>
      <c r="O497" s="1349" t="n">
        <v>694733.45</v>
      </c>
      <c r="P497" s="449" t="n"/>
      <c r="Q497" s="1349" t="n"/>
    </row>
    <row r="498" outlineLevel="1" ht="27.6" customHeight="1">
      <c r="A498" s="461">
        <f>'01_Preço'!$A$288</f>
        <v/>
      </c>
      <c r="B498" s="467">
        <f>'01_Preço'!A293</f>
        <v/>
      </c>
      <c r="C498" s="467">
        <f>'01_Preço'!B293</f>
        <v/>
      </c>
      <c r="D498" s="470">
        <f>CONCATENATE('01_Preço'!$E$293)</f>
        <v/>
      </c>
      <c r="E498" s="449" t="n">
        <v>36</v>
      </c>
      <c r="F498" s="1348">
        <f>VLOOKUP(E498,'Tabela de mês'!$A$1:$B$70,2,TRUE)</f>
        <v/>
      </c>
      <c r="G498" s="520" t="inlineStr">
        <is>
          <t>263-SER</t>
        </is>
      </c>
      <c r="H498" s="436" t="inlineStr">
        <is>
          <t>ALL ENERGY</t>
        </is>
      </c>
      <c r="I498" s="496" t="inlineStr">
        <is>
          <t>FAT. DIRETO</t>
        </is>
      </c>
      <c r="J498" s="436" t="n"/>
      <c r="K498" s="436" t="n"/>
      <c r="L498" s="437" t="inlineStr">
        <is>
          <t>Conclusão da supervisão, ensaios de campo e comissionamento</t>
        </is>
      </c>
      <c r="M498" s="446">
        <f>O498/$N$492</f>
        <v/>
      </c>
      <c r="N498" s="1365" t="n"/>
      <c r="O498" s="1349" t="n">
        <v>101167.55</v>
      </c>
      <c r="P498" s="449" t="n"/>
      <c r="Q498" s="1349" t="n"/>
    </row>
    <row r="499" outlineLevel="1" ht="69.59999999999999" customHeight="1" thickBot="1">
      <c r="A499" s="461">
        <f>'01_Preço'!$A$288</f>
        <v/>
      </c>
      <c r="B499" s="467">
        <f>'01_Preço'!A295</f>
        <v/>
      </c>
      <c r="C499" s="467">
        <f>'01_Preço'!B295</f>
        <v/>
      </c>
      <c r="D499" s="470">
        <f>CONCATENATE('01_Preço'!$E$295)</f>
        <v/>
      </c>
      <c r="E499" s="449" t="n">
        <v>32</v>
      </c>
      <c r="F499" s="1348">
        <f>VLOOKUP(E499,'Tabela de mês'!$A$1:$B$70,2,TRUE)</f>
        <v/>
      </c>
      <c r="G499" s="520" t="inlineStr">
        <is>
          <t>261-MAT</t>
        </is>
      </c>
      <c r="H499" s="436" t="inlineStr">
        <is>
          <t>ALL ENERGY</t>
        </is>
      </c>
      <c r="I499" s="496" t="inlineStr">
        <is>
          <t>FAT. DIRETO</t>
        </is>
      </c>
      <c r="J499" s="436" t="n"/>
      <c r="K499" s="436" t="n"/>
      <c r="L499" s="437" t="inlineStr">
        <is>
          <t>Entrega em campo dos equipamentos e materiais do Sistema de Resfriamento, incluindo filtros completos, válvulas, tubulações, acessórios, etc.</t>
        </is>
      </c>
      <c r="M499" s="446">
        <f>O499/$N$492</f>
        <v/>
      </c>
      <c r="N499" s="1365" t="n"/>
      <c r="O499" s="1349" t="n">
        <v>1536323.66</v>
      </c>
      <c r="P499" s="449" t="n"/>
      <c r="Q499" s="1349" t="n"/>
    </row>
    <row r="500" ht="16.2" customHeight="1" thickBot="1">
      <c r="A500" s="1332" t="inlineStr">
        <is>
          <t>2.14 - Sistema de Adução - Comportas da Chaminé de Equilíbrio e Válvulas Borboleta</t>
        </is>
      </c>
      <c r="B500" s="1139" t="n"/>
      <c r="C500" s="1139" t="n"/>
      <c r="D500" s="1139" t="n"/>
      <c r="E500" s="1139" t="n"/>
      <c r="F500" s="1139" t="n"/>
      <c r="G500" s="1139" t="n"/>
      <c r="H500" s="1139" t="n"/>
      <c r="I500" s="1139" t="n"/>
      <c r="J500" s="1139" t="n"/>
      <c r="K500" s="1139" t="n"/>
      <c r="L500" s="1139" t="n"/>
      <c r="M500" s="1140" t="n"/>
      <c r="N500" s="1360">
        <f>SUM(O501,O511,O516,O521,O524,O527,O533,O542,O547)</f>
        <v/>
      </c>
      <c r="O500" s="424" t="n"/>
      <c r="P500" s="424" t="n"/>
      <c r="Q500" s="424" t="n"/>
    </row>
    <row r="501" outlineLevel="1" ht="41.4" customHeight="1">
      <c r="A501" s="676">
        <f>'01_Preço'!$A$297</f>
        <v/>
      </c>
      <c r="B501" s="486">
        <f>'01_Preço'!A298</f>
        <v/>
      </c>
      <c r="C501" s="486">
        <f>'01_Preço'!B298</f>
        <v/>
      </c>
      <c r="D501" s="678">
        <f>'01_Preço'!E298</f>
        <v/>
      </c>
      <c r="E501" s="721" t="n"/>
      <c r="F501" s="479" t="n"/>
      <c r="G501" s="487" t="n"/>
      <c r="H501" s="487" t="n"/>
      <c r="I501" s="487" t="n"/>
      <c r="J501" s="487" t="n"/>
      <c r="K501" s="487" t="n"/>
      <c r="L501" s="475">
        <f>CONCATENATE('01_Preço'!$E$298)</f>
        <v/>
      </c>
      <c r="M501" s="679">
        <f>O501/$N$500</f>
        <v/>
      </c>
      <c r="N501" s="1369" t="n"/>
      <c r="O501" s="1362">
        <f>SUM(O502:O510)</f>
        <v/>
      </c>
      <c r="P501" s="556" t="n"/>
      <c r="Q501" s="1349" t="n"/>
    </row>
    <row r="502" outlineLevel="1" ht="41.4" customHeight="1">
      <c r="A502" s="393">
        <f>'01_Preço'!$A$297</f>
        <v/>
      </c>
      <c r="B502" s="389">
        <f>'01_Preço'!A298</f>
        <v/>
      </c>
      <c r="C502" s="389">
        <f>'01_Preço'!B298</f>
        <v/>
      </c>
      <c r="D502" s="423">
        <f>'01_Preço'!E298</f>
        <v/>
      </c>
      <c r="E502" s="450" t="n">
        <v>16</v>
      </c>
      <c r="F502" s="1339">
        <f>VLOOKUP(E502,'Tabela de mês'!$A$1:$B$70,2,TRUE)</f>
        <v/>
      </c>
      <c r="G502" s="511" t="inlineStr">
        <is>
          <t>264-SER</t>
        </is>
      </c>
      <c r="H502" s="389" t="inlineStr">
        <is>
          <t>ALL ENERGY</t>
        </is>
      </c>
      <c r="I502" s="163" t="inlineStr">
        <is>
          <t>INSIGHT</t>
        </is>
      </c>
      <c r="J502" s="163" t="n"/>
      <c r="K502" s="163" t="n"/>
      <c r="L502" s="423" t="inlineStr">
        <is>
          <t>Aprovação do Plano de Emissão de Documentos do Sistema de Adução</t>
        </is>
      </c>
      <c r="M502" s="391">
        <f>O502/$O$501</f>
        <v/>
      </c>
      <c r="N502" s="1340" t="n"/>
      <c r="O502" s="1340" t="n">
        <v>35255.55</v>
      </c>
      <c r="P502" s="563" t="n"/>
      <c r="Q502" s="1338" t="n"/>
      <c r="S502" s="662" t="inlineStr">
        <is>
          <t>SIM</t>
        </is>
      </c>
    </row>
    <row r="503" outlineLevel="1" ht="41.4" customHeight="1">
      <c r="A503" s="393" t="inlineStr">
        <is>
          <t>2.14 - Sistema de Adução - Comportas da Chaminé de Equilíbrio e Válvulas Borboleta</t>
        </is>
      </c>
      <c r="B503" s="389" t="inlineStr">
        <is>
          <t>2.14.01</t>
        </is>
      </c>
      <c r="C503" s="389" t="inlineStr">
        <is>
          <t>SERVIÇO</t>
        </is>
      </c>
      <c r="D503" s="423" t="inlineStr">
        <is>
          <t>Engenharia e projeto executivo</t>
        </is>
      </c>
      <c r="E503" s="730" t="n">
        <v>22</v>
      </c>
      <c r="F503" s="1339">
        <f>VLOOKUP(E503,'Tabela de mês'!$A$1:$B$70,2,TRUE)</f>
        <v/>
      </c>
      <c r="G503" s="510" t="inlineStr">
        <is>
          <t>267-SER A</t>
        </is>
      </c>
      <c r="H503" s="389" t="inlineStr">
        <is>
          <t>INSIGHT</t>
        </is>
      </c>
      <c r="I503" s="389" t="inlineStr">
        <is>
          <t>INSIGHT</t>
        </is>
      </c>
      <c r="J503" s="389" t="n"/>
      <c r="K503" s="389" t="n"/>
      <c r="L503" s="423" t="inlineStr">
        <is>
          <t>Aprovação da Memória de Cálculo e estrutura civil de fixação -  Válvulas Borboleta 1ª UF e 2ª UF</t>
        </is>
      </c>
      <c r="M503" s="391">
        <f>O503/$O$501</f>
        <v/>
      </c>
      <c r="N503" s="1340" t="n"/>
      <c r="O503" s="1340" t="n">
        <v>350525.94</v>
      </c>
      <c r="P503" s="553" t="n"/>
      <c r="Q503" s="1341" t="n"/>
    </row>
    <row r="504" outlineLevel="1" ht="41.4" customHeight="1">
      <c r="A504" s="393" t="inlineStr">
        <is>
          <t>2.14 - Sistema de Adução - Comportas da Chaminé de Equilíbrio e Válvulas Borboleta</t>
        </is>
      </c>
      <c r="B504" s="389" t="inlineStr">
        <is>
          <t>2.14.02</t>
        </is>
      </c>
      <c r="C504" s="389" t="inlineStr">
        <is>
          <t>SERVIÇO</t>
        </is>
      </c>
      <c r="D504" s="423" t="inlineStr">
        <is>
          <t>Engenharia e projeto executivo</t>
        </is>
      </c>
      <c r="E504" s="730" t="n">
        <v>20</v>
      </c>
      <c r="F504" s="1339">
        <f>VLOOKUP(E504,'Tabela de mês'!$A$1:$B$70,2,TRUE)</f>
        <v/>
      </c>
      <c r="G504" s="510" t="inlineStr">
        <is>
          <t>267-SER C</t>
        </is>
      </c>
      <c r="H504" s="389" t="inlineStr">
        <is>
          <t>INSIGHT</t>
        </is>
      </c>
      <c r="I504" s="163" t="inlineStr">
        <is>
          <t>INSIGHT</t>
        </is>
      </c>
      <c r="J504" s="163" t="n"/>
      <c r="K504" s="163" t="n"/>
      <c r="L504" s="423" t="inlineStr">
        <is>
          <t>Conclusão do serviço de sondagem da base da válvula borboleta de todas as UF's</t>
        </is>
      </c>
      <c r="M504" s="391">
        <f>O504/$O$501</f>
        <v/>
      </c>
      <c r="N504" s="1340" t="n"/>
      <c r="O504" s="1340" t="n">
        <v>189405.69</v>
      </c>
      <c r="P504" s="553" t="n">
        <v>19</v>
      </c>
      <c r="Q504" s="1341" t="n">
        <v>105000</v>
      </c>
    </row>
    <row r="505" outlineLevel="1" ht="41.4" customHeight="1">
      <c r="A505" s="393" t="inlineStr">
        <is>
          <t>2.14 - Sistema de Adução - Comportas da Chaminé de Equilíbrio e Válvulas Borboleta</t>
        </is>
      </c>
      <c r="B505" s="389" t="inlineStr">
        <is>
          <t>2.14.01</t>
        </is>
      </c>
      <c r="C505" s="389" t="inlineStr">
        <is>
          <t>SERVIÇO</t>
        </is>
      </c>
      <c r="D505" s="423" t="inlineStr">
        <is>
          <t>Engenharia e projeto executivo</t>
        </is>
      </c>
      <c r="E505" s="730" t="n">
        <v>20</v>
      </c>
      <c r="F505" s="1339">
        <f>VLOOKUP(E505,'Tabela de mês'!$A$1:$B$70,2,TRUE)</f>
        <v/>
      </c>
      <c r="G505" s="511" t="inlineStr">
        <is>
          <t>265-SER</t>
        </is>
      </c>
      <c r="H505" s="389" t="inlineStr">
        <is>
          <t>ALL ENERGY</t>
        </is>
      </c>
      <c r="I505" s="497" t="inlineStr">
        <is>
          <t>FAT. DIRETO</t>
        </is>
      </c>
      <c r="J505" s="163" t="n"/>
      <c r="K505" s="163" t="n"/>
      <c r="L505" s="423" t="inlineStr">
        <is>
          <t>Aprovação do projeto executivo, Memória de Cálculo e Dimensionamento do Sistema de Adução das Válvulas Borboleta 1ª UF e 2ª UF</t>
        </is>
      </c>
      <c r="M505" s="391">
        <f>O505/$O$501</f>
        <v/>
      </c>
      <c r="N505" s="1340" t="n"/>
      <c r="O505" s="1340" t="n">
        <v>220525.94</v>
      </c>
      <c r="P505" s="553" t="n"/>
      <c r="Q505" s="1341" t="n"/>
    </row>
    <row r="506" outlineLevel="1" ht="41.4" customHeight="1">
      <c r="A506" s="740" t="inlineStr">
        <is>
          <t>2.14 - Sistema de Adução - Comportas da Chaminé de Equilíbrio e Válvulas Borboleta</t>
        </is>
      </c>
      <c r="B506" s="389" t="inlineStr">
        <is>
          <t>2.14.01</t>
        </is>
      </c>
      <c r="C506" s="389" t="inlineStr">
        <is>
          <t>SERVIÇO</t>
        </is>
      </c>
      <c r="D506" s="423" t="inlineStr">
        <is>
          <t>Engenharia e projeto executivo</t>
        </is>
      </c>
      <c r="E506" s="730" t="n">
        <v>23</v>
      </c>
      <c r="F506" s="1339">
        <f>VLOOKUP(E506,'Tabela de mês'!$A$1:$B$70,2,TRUE)</f>
        <v/>
      </c>
      <c r="G506" s="510" t="inlineStr">
        <is>
          <t>267-SER B</t>
        </is>
      </c>
      <c r="H506" s="389" t="inlineStr">
        <is>
          <t>INSIGHT</t>
        </is>
      </c>
      <c r="I506" s="163" t="inlineStr">
        <is>
          <t>INSIGHT</t>
        </is>
      </c>
      <c r="J506" s="163" t="n"/>
      <c r="K506" s="163" t="inlineStr">
        <is>
          <t>x</t>
        </is>
      </c>
      <c r="L506" s="423" t="inlineStr">
        <is>
          <t>Aprovação da Memória de Cálculo e estrutura civil de fixação -  Válvulas Borboleta 3ª UF e 4ª UF</t>
        </is>
      </c>
      <c r="M506" s="391">
        <f>O506/$O$501</f>
        <v/>
      </c>
      <c r="N506" s="1340" t="n"/>
      <c r="O506" s="1340" t="n">
        <v>350525.94</v>
      </c>
      <c r="P506" s="553" t="n"/>
      <c r="Q506" s="1341" t="n"/>
    </row>
    <row r="507" outlineLevel="1" ht="41.4" customHeight="1">
      <c r="A507" s="393" t="inlineStr">
        <is>
          <t>2.14 - Sistema de Adução - Comportas da Chaminé de Equilíbrio e Válvulas Borboleta</t>
        </is>
      </c>
      <c r="B507" s="389" t="inlineStr">
        <is>
          <t>2.14.01</t>
        </is>
      </c>
      <c r="C507" s="389" t="inlineStr">
        <is>
          <t>SERVIÇO</t>
        </is>
      </c>
      <c r="D507" s="423" t="inlineStr">
        <is>
          <t>Engenharia e projeto executivo</t>
        </is>
      </c>
      <c r="E507" s="730" t="n">
        <v>21</v>
      </c>
      <c r="F507" s="1339">
        <f>VLOOKUP(E507,'Tabela de mês'!$A$1:$B$70,2,TRUE)</f>
        <v/>
      </c>
      <c r="G507" s="510" t="inlineStr">
        <is>
          <t>266-SER A</t>
        </is>
      </c>
      <c r="H507" s="389" t="inlineStr">
        <is>
          <t>ALL ENERGY</t>
        </is>
      </c>
      <c r="I507" s="497" t="inlineStr">
        <is>
          <t>FAT. DIRETO</t>
        </is>
      </c>
      <c r="J507" s="163" t="n"/>
      <c r="K507" s="163" t="n"/>
      <c r="L507" s="423" t="inlineStr">
        <is>
          <t>Aprovação do projeto executivo, Memória de Cálculo e Dimensionamento do Sistema de Adução das Válvulas Borboleta 3ª UF e 4ª UF</t>
        </is>
      </c>
      <c r="M507" s="391">
        <f>O507/$O$501</f>
        <v/>
      </c>
      <c r="N507" s="1340" t="n"/>
      <c r="O507" s="1340" t="n">
        <v>220525.94</v>
      </c>
      <c r="P507" s="553" t="n"/>
      <c r="Q507" s="1341" t="n"/>
    </row>
    <row r="508" outlineLevel="1" ht="41.4" customHeight="1">
      <c r="A508" s="668">
        <f>'01_Preço'!$A$297</f>
        <v/>
      </c>
      <c r="B508" s="161">
        <f>'01_Preço'!A298</f>
        <v/>
      </c>
      <c r="C508" s="161">
        <f>'01_Preço'!B298</f>
        <v/>
      </c>
      <c r="D508" s="162">
        <f>'01_Preço'!E298</f>
        <v/>
      </c>
      <c r="E508" s="731" t="n">
        <v>55</v>
      </c>
      <c r="F508" s="1343">
        <f>VLOOKUP(E508,'Tabela de mês'!$A$1:$B$70,2,TRUE)</f>
        <v/>
      </c>
      <c r="G508" s="513" t="inlineStr">
        <is>
          <t>266-SER B</t>
        </is>
      </c>
      <c r="H508" s="417" t="inlineStr">
        <is>
          <t>ALL ENERGY</t>
        </is>
      </c>
      <c r="I508" s="496" t="inlineStr">
        <is>
          <t>FAT. DIRETO</t>
        </is>
      </c>
      <c r="J508" s="161" t="n"/>
      <c r="K508" s="161" t="n"/>
      <c r="L508" s="390" t="inlineStr">
        <is>
          <t>Aprovação completa dos Documentos do Projeto Executivo e de Fabricação das adequações e reforma das Comportas da Chaminé de Equilíbrio</t>
        </is>
      </c>
      <c r="M508" s="416">
        <f>O508/$O$501</f>
        <v/>
      </c>
      <c r="N508" s="1373" t="n"/>
      <c r="O508" s="1373" t="n">
        <v>62631.49</v>
      </c>
      <c r="P508" s="553" t="n"/>
      <c r="Q508" s="1341" t="n"/>
    </row>
    <row r="509" outlineLevel="1" ht="41.4" customHeight="1">
      <c r="A509" s="228" t="inlineStr">
        <is>
          <t>2.14 - Sistema de Adução - Comportas da Chaminé de Equilíbrio e Válvulas Borboleta</t>
        </is>
      </c>
      <c r="B509" s="161" t="inlineStr">
        <is>
          <t>2.14.01</t>
        </is>
      </c>
      <c r="C509" s="161" t="inlineStr">
        <is>
          <t>SERVIÇO</t>
        </is>
      </c>
      <c r="D509" s="162" t="inlineStr">
        <is>
          <t>Engenharia e projeto executivo</t>
        </is>
      </c>
      <c r="E509" s="731" t="n">
        <v>50</v>
      </c>
      <c r="F509" s="1343">
        <f>VLOOKUP(E509,'Tabela de mês'!$A$1:$B$70,2,TRUE)</f>
        <v/>
      </c>
      <c r="G509" s="520" t="inlineStr">
        <is>
          <t>268-SER A</t>
        </is>
      </c>
      <c r="H509" s="417" t="inlineStr">
        <is>
          <t>ALL ENERGY</t>
        </is>
      </c>
      <c r="I509" s="496" t="inlineStr">
        <is>
          <t>FAT. DIRETO</t>
        </is>
      </c>
      <c r="J509" s="161" t="n"/>
      <c r="K509" s="161" t="n"/>
      <c r="L509" s="422" t="inlineStr">
        <is>
          <t>Aprovação da versão conforme construído do Projeto do Sistema de Adução Válvulas Borboleta 04 e 03</t>
        </is>
      </c>
      <c r="M509" s="416">
        <f>O509/$O$501</f>
        <v/>
      </c>
      <c r="N509" s="1344" t="n"/>
      <c r="O509" s="1373" t="n">
        <v>61315.74</v>
      </c>
      <c r="P509" s="553" t="n"/>
      <c r="Q509" s="1341" t="n"/>
    </row>
    <row r="510" outlineLevel="1" ht="41.4" customHeight="1">
      <c r="A510" s="228">
        <f>'01_Preço'!$A$297</f>
        <v/>
      </c>
      <c r="B510" s="163">
        <f>'01_Preço'!A298</f>
        <v/>
      </c>
      <c r="C510" s="163">
        <f>'01_Preço'!B298</f>
        <v/>
      </c>
      <c r="D510" s="167">
        <f>'01_Preço'!E298</f>
        <v/>
      </c>
      <c r="E510" s="453" t="n">
        <v>65</v>
      </c>
      <c r="F510" s="1343">
        <f>VLOOKUP(E510,'Tabela de mês'!$A$1:$B$70,2,TRUE)</f>
        <v/>
      </c>
      <c r="G510" s="510" t="inlineStr">
        <is>
          <t>268-SER B</t>
        </is>
      </c>
      <c r="H510" s="417" t="inlineStr">
        <is>
          <t>ALL ENERGY</t>
        </is>
      </c>
      <c r="I510" s="497" t="inlineStr">
        <is>
          <t>FAT. DIRETO</t>
        </is>
      </c>
      <c r="J510" s="161" t="n"/>
      <c r="K510" s="161" t="n"/>
      <c r="L510" s="422" t="inlineStr">
        <is>
          <t>Aprovação da versão conforme construído do Projeto do Sistema de Adução Válvulas Borboleta 01 e 02 e comportas</t>
        </is>
      </c>
      <c r="M510" s="416">
        <f>O510/$O$501</f>
        <v/>
      </c>
      <c r="N510" s="1344" t="n"/>
      <c r="O510" s="1373" t="n">
        <v>61315.74</v>
      </c>
      <c r="P510" s="553" t="n"/>
      <c r="Q510" s="1341" t="n"/>
    </row>
    <row r="511" outlineLevel="1" ht="55.2" customHeight="1">
      <c r="A511" s="676">
        <f>'01_Preço'!$A$297</f>
        <v/>
      </c>
      <c r="B511" s="486">
        <f>'01_Preço'!A300</f>
        <v/>
      </c>
      <c r="C511" s="486">
        <f>'01_Preço'!B300</f>
        <v/>
      </c>
      <c r="D511" s="678">
        <f>'01_Preço'!E300</f>
        <v/>
      </c>
      <c r="E511" s="479" t="n"/>
      <c r="F511" s="479" t="n"/>
      <c r="G511" s="441" t="n"/>
      <c r="H511" s="487" t="n"/>
      <c r="I511" s="487" t="n"/>
      <c r="J511" s="487" t="n"/>
      <c r="K511" s="487" t="n"/>
      <c r="L511" s="475">
        <f>CONCATENATE('01_Preço'!$E$300)</f>
        <v/>
      </c>
      <c r="M511" s="679">
        <f>O511/$N$500</f>
        <v/>
      </c>
      <c r="N511" s="1369" t="n"/>
      <c r="O511" s="1354">
        <f>SUM(O512:O515)</f>
        <v/>
      </c>
      <c r="P511" s="556" t="n"/>
      <c r="Q511" s="1349" t="n"/>
    </row>
    <row r="512" outlineLevel="1" ht="41.4" customHeight="1">
      <c r="A512" s="393">
        <f>'01_Preço'!$A$297</f>
        <v/>
      </c>
      <c r="B512" s="389">
        <f>'01_Preço'!A300</f>
        <v/>
      </c>
      <c r="C512" s="389">
        <f>'01_Preço'!B300</f>
        <v/>
      </c>
      <c r="D512" s="423" t="inlineStr">
        <is>
          <t>Desmontagem e montagem eletromecânica</t>
        </is>
      </c>
      <c r="E512" s="450" t="n">
        <v>26</v>
      </c>
      <c r="F512" s="1339">
        <f>VLOOKUP(E512,'Tabela de mês'!$A$1:$B$70,2,TRUE)</f>
        <v/>
      </c>
      <c r="G512" s="520" t="inlineStr">
        <is>
          <t>272-SER A</t>
        </is>
      </c>
      <c r="H512" s="163" t="inlineStr">
        <is>
          <t>INSIGHT</t>
        </is>
      </c>
      <c r="I512" s="163" t="inlineStr">
        <is>
          <t>INSIGHT</t>
        </is>
      </c>
      <c r="J512" s="163" t="n"/>
      <c r="K512" s="163" t="n"/>
      <c r="L512" s="342" t="inlineStr">
        <is>
          <t>Conclusão da desmontagem e montagem eletromecânica completa das válvulas borboleta de entrada das turbinas da 1ª UF</t>
        </is>
      </c>
      <c r="M512" s="669">
        <f>O512/$O$511</f>
        <v/>
      </c>
      <c r="N512" s="1379" t="n"/>
      <c r="O512" s="1340" t="n">
        <v>358569.21</v>
      </c>
      <c r="P512" s="553" t="n"/>
      <c r="Q512" s="1347" t="n"/>
    </row>
    <row r="513" outlineLevel="1" ht="41.4" customHeight="1">
      <c r="A513" s="228" t="inlineStr">
        <is>
          <t>2.14 - Sistema de Adução - Comportas da Chaminé de Equilíbrio e Válvulas Borboleta</t>
        </is>
      </c>
      <c r="B513" s="161" t="inlineStr">
        <is>
          <t>2.14.02</t>
        </is>
      </c>
      <c r="C513" s="161" t="inlineStr">
        <is>
          <t>SERVIÇO</t>
        </is>
      </c>
      <c r="D513" s="162" t="inlineStr">
        <is>
          <t>Desmontagem e montagem eletromecânica</t>
        </is>
      </c>
      <c r="E513" s="453" t="n">
        <v>38</v>
      </c>
      <c r="F513" s="1343">
        <f>VLOOKUP(E513,'Tabela de mês'!$A$1:$B$70,2,TRUE)</f>
        <v/>
      </c>
      <c r="G513" s="520" t="inlineStr">
        <is>
          <t>272-SER B</t>
        </is>
      </c>
      <c r="H513" s="161" t="inlineStr">
        <is>
          <t>INSIGHT</t>
        </is>
      </c>
      <c r="I513" s="161" t="inlineStr">
        <is>
          <t>INSIGHT</t>
        </is>
      </c>
      <c r="J513" s="161" t="n"/>
      <c r="K513" s="161" t="n"/>
      <c r="L513" s="164" t="inlineStr">
        <is>
          <t>Conclusão da desmontagem e montagem eletromecânica completa das válvulas borboleta de entrada das turbinas da  2ª UF</t>
        </is>
      </c>
      <c r="M513" s="416">
        <f>O513/$O$511</f>
        <v/>
      </c>
      <c r="N513" s="1344" t="n"/>
      <c r="O513" s="1373" t="n">
        <v>358569.21</v>
      </c>
      <c r="P513" s="553" t="n"/>
      <c r="Q513" s="1347" t="n"/>
    </row>
    <row r="514" outlineLevel="1" ht="41.4" customHeight="1">
      <c r="A514" s="228">
        <f>'01_Preço'!$A$297</f>
        <v/>
      </c>
      <c r="B514" s="163">
        <f>'01_Preço'!A300</f>
        <v/>
      </c>
      <c r="C514" s="163">
        <f>'01_Preço'!B300</f>
        <v/>
      </c>
      <c r="D514" s="167" t="inlineStr">
        <is>
          <t>Desmontagem e montagem eletromecânica</t>
        </is>
      </c>
      <c r="E514" s="453" t="n">
        <v>50</v>
      </c>
      <c r="F514" s="1343">
        <f>VLOOKUP(E514,'Tabela de mês'!$A$1:$B$70,2,TRUE)</f>
        <v/>
      </c>
      <c r="G514" s="510" t="inlineStr">
        <is>
          <t>278-SER A</t>
        </is>
      </c>
      <c r="H514" s="161" t="inlineStr">
        <is>
          <t>INSIGHT</t>
        </is>
      </c>
      <c r="I514" s="161" t="inlineStr">
        <is>
          <t>INSIGHT</t>
        </is>
      </c>
      <c r="J514" s="161" t="n"/>
      <c r="K514" s="161" t="n"/>
      <c r="L514" s="164" t="inlineStr">
        <is>
          <t>Conclusão da desmontagem e montagem eletromecânica completa das válvulas borboleta de entrada das turbinas da 3ª UF</t>
        </is>
      </c>
      <c r="M514" s="416">
        <f>O514/$O$511</f>
        <v/>
      </c>
      <c r="N514" s="1364" t="n"/>
      <c r="O514" s="1342" t="n">
        <v>358569.21</v>
      </c>
      <c r="P514" s="553" t="n"/>
      <c r="Q514" s="1347" t="n"/>
    </row>
    <row r="515" outlineLevel="1" ht="41.4" customHeight="1">
      <c r="A515" s="228" t="inlineStr">
        <is>
          <t>2.14 - Sistema de Adução - Comportas da Chaminé de Equilíbrio e Válvulas Borboleta</t>
        </is>
      </c>
      <c r="B515" s="163" t="inlineStr">
        <is>
          <t>2.14.02</t>
        </is>
      </c>
      <c r="C515" s="163" t="inlineStr">
        <is>
          <t>SERVIÇO</t>
        </is>
      </c>
      <c r="D515" s="167" t="inlineStr">
        <is>
          <t>Desmontagem e montagem eletromecânica</t>
        </is>
      </c>
      <c r="E515" s="453" t="n">
        <v>60</v>
      </c>
      <c r="F515" s="1343">
        <f>VLOOKUP(E515,'Tabela de mês'!$A$1:$B$70,2,TRUE)</f>
        <v/>
      </c>
      <c r="G515" s="510" t="inlineStr">
        <is>
          <t>278-SER B</t>
        </is>
      </c>
      <c r="H515" s="161" t="inlineStr">
        <is>
          <t>INSIGHT</t>
        </is>
      </c>
      <c r="I515" s="161" t="inlineStr">
        <is>
          <t>INSIGHT</t>
        </is>
      </c>
      <c r="J515" s="161" t="n"/>
      <c r="K515" s="161" t="n"/>
      <c r="L515" s="164" t="inlineStr">
        <is>
          <t>Conclusão da desmontagem e montagem eletromecânica completa das válvulas borboleta de entrada das turbinas da 4ª UF</t>
        </is>
      </c>
      <c r="M515" s="416">
        <f>O515/$O$511</f>
        <v/>
      </c>
      <c r="N515" s="1364" t="n"/>
      <c r="O515" s="1342" t="n">
        <v>358569.21</v>
      </c>
      <c r="P515" s="553" t="n"/>
      <c r="Q515" s="1341" t="n"/>
    </row>
    <row r="516" outlineLevel="1" ht="69" customHeight="1">
      <c r="A516" s="461">
        <f>'01_Preço'!$A$297</f>
        <v/>
      </c>
      <c r="B516" s="467">
        <f>'01_Preço'!A302</f>
        <v/>
      </c>
      <c r="C516" s="467">
        <f>'01_Preço'!B302</f>
        <v/>
      </c>
      <c r="D516" s="470">
        <f>'01_Preço'!E302</f>
        <v/>
      </c>
      <c r="E516" s="449" t="n"/>
      <c r="F516" s="449" t="n"/>
      <c r="G516" s="436" t="n"/>
      <c r="H516" s="436" t="n"/>
      <c r="I516" s="436" t="n"/>
      <c r="J516" s="436" t="n"/>
      <c r="K516" s="436" t="n"/>
      <c r="L516" s="437">
        <f>CONCATENATE('01_Preço'!$E$302)</f>
        <v/>
      </c>
      <c r="M516" s="446">
        <f>O516/$N$500</f>
        <v/>
      </c>
      <c r="N516" s="1365" t="n"/>
      <c r="O516" s="1349">
        <f>SUM(O517:O520)</f>
        <v/>
      </c>
      <c r="P516" s="556" t="n"/>
      <c r="Q516" s="1349" t="n"/>
    </row>
    <row r="517" outlineLevel="1" ht="41.4" customHeight="1">
      <c r="A517" s="228">
        <f>'01_Preço'!$A$297</f>
        <v/>
      </c>
      <c r="B517" s="163">
        <f>'01_Preço'!A302</f>
        <v/>
      </c>
      <c r="C517" s="168">
        <f>'01_Preço'!$B$302</f>
        <v/>
      </c>
      <c r="D517" s="167" t="inlineStr">
        <is>
          <t>Desmontagem e montagem eletromecânica</t>
        </is>
      </c>
      <c r="E517" s="453" t="n">
        <v>28</v>
      </c>
      <c r="F517" s="1343">
        <f>VLOOKUP(E517,'Tabela de mês'!$A$1:$B$70,2,TRUE)</f>
        <v/>
      </c>
      <c r="G517" s="510" t="inlineStr">
        <is>
          <t>273-SER A</t>
        </is>
      </c>
      <c r="H517" s="161" t="inlineStr">
        <is>
          <t>INSIGHT</t>
        </is>
      </c>
      <c r="I517" s="161" t="inlineStr">
        <is>
          <t>INSIGHT</t>
        </is>
      </c>
      <c r="J517" s="161" t="n"/>
      <c r="K517" s="161" t="n"/>
      <c r="L517" s="164" t="inlineStr">
        <is>
          <t>Conclusão das intervenções e adequações civis para de substituição das válvulas borboleta da 1ª UF</t>
        </is>
      </c>
      <c r="M517" s="416">
        <f>O517/$O$516</f>
        <v/>
      </c>
      <c r="N517" s="1364" t="n"/>
      <c r="O517" s="1342" t="n">
        <v>250425.25</v>
      </c>
      <c r="P517" s="553" t="n"/>
      <c r="Q517" s="1347" t="n"/>
    </row>
    <row r="518" outlineLevel="1" ht="41.4" customHeight="1">
      <c r="A518" s="228" t="inlineStr">
        <is>
          <t>2.14 - Sistema de Adução - Comportas da Chaminé de Equilíbrio e Válvulas Borboleta</t>
        </is>
      </c>
      <c r="B518" s="163" t="inlineStr">
        <is>
          <t>2.14.03</t>
        </is>
      </c>
      <c r="C518" s="168">
        <f>'01_Preço'!$B$302</f>
        <v/>
      </c>
      <c r="D518" s="167" t="inlineStr">
        <is>
          <t>Desmontagem e montagem eletromecânica</t>
        </is>
      </c>
      <c r="E518" s="453" t="n">
        <v>40</v>
      </c>
      <c r="F518" s="1343">
        <f>VLOOKUP(E518,'Tabela de mês'!$A$1:$B$70,2,TRUE)</f>
        <v/>
      </c>
      <c r="G518" s="510" t="inlineStr">
        <is>
          <t>273-SER B</t>
        </is>
      </c>
      <c r="H518" s="161" t="inlineStr">
        <is>
          <t>INSIGHT</t>
        </is>
      </c>
      <c r="I518" s="161" t="inlineStr">
        <is>
          <t>INSIGHT</t>
        </is>
      </c>
      <c r="J518" s="161" t="n"/>
      <c r="K518" s="161" t="n"/>
      <c r="L518" s="164" t="inlineStr">
        <is>
          <t>Conclusão das intervenções e adequações civis para de substituição das válvulas borboleta da 2ª UF</t>
        </is>
      </c>
      <c r="M518" s="416">
        <f>O518/$O$516</f>
        <v/>
      </c>
      <c r="N518" s="1364" t="n"/>
      <c r="O518" s="1342" t="n">
        <v>250425.25</v>
      </c>
      <c r="P518" s="553" t="n"/>
      <c r="Q518" s="1347" t="n"/>
    </row>
    <row r="519" outlineLevel="1" ht="41.4" customHeight="1">
      <c r="A519" s="228">
        <f>'01_Preço'!$A$297</f>
        <v/>
      </c>
      <c r="B519" s="163">
        <f>'01_Preço'!A302</f>
        <v/>
      </c>
      <c r="C519" s="168">
        <f>'01_Preço'!$B$302</f>
        <v/>
      </c>
      <c r="D519" s="167" t="inlineStr">
        <is>
          <t>Desmontagem e montagem eletromecânica</t>
        </is>
      </c>
      <c r="E519" s="453" t="n">
        <v>52</v>
      </c>
      <c r="F519" s="1343">
        <f>VLOOKUP(E519,'Tabela de mês'!$A$1:$B$70,2,TRUE)</f>
        <v/>
      </c>
      <c r="G519" s="510" t="inlineStr">
        <is>
          <t>279-SER A</t>
        </is>
      </c>
      <c r="H519" s="161" t="inlineStr">
        <is>
          <t>INSIGHT</t>
        </is>
      </c>
      <c r="I519" s="161" t="inlineStr">
        <is>
          <t>INSIGHT</t>
        </is>
      </c>
      <c r="J519" s="161" t="n"/>
      <c r="K519" s="161" t="n"/>
      <c r="L519" s="164" t="inlineStr">
        <is>
          <t>Conclusão das intervenções e adequações civis para de substituição das válvulas borboleta da 3ª UF</t>
        </is>
      </c>
      <c r="M519" s="416">
        <f>O519/$O$516</f>
        <v/>
      </c>
      <c r="N519" s="1364" t="n"/>
      <c r="O519" s="1342" t="n">
        <v>250425.25</v>
      </c>
      <c r="P519" s="553" t="n"/>
      <c r="Q519" s="1347" t="n"/>
    </row>
    <row r="520" outlineLevel="1" ht="41.4" customHeight="1">
      <c r="A520" s="228" t="inlineStr">
        <is>
          <t>2.14 - Sistema de Adução - Comportas da Chaminé de Equilíbrio e Válvulas Borboleta</t>
        </is>
      </c>
      <c r="B520" s="163" t="inlineStr">
        <is>
          <t>2.14.03</t>
        </is>
      </c>
      <c r="C520" s="168">
        <f>'01_Preço'!$B$302</f>
        <v/>
      </c>
      <c r="D520" s="167" t="inlineStr">
        <is>
          <t>Desmontagem e montagem eletromecânica</t>
        </is>
      </c>
      <c r="E520" s="453" t="n">
        <v>62</v>
      </c>
      <c r="F520" s="1343">
        <f>VLOOKUP(E520,'Tabela de mês'!$A$1:$B$70,2,TRUE)</f>
        <v/>
      </c>
      <c r="G520" s="510" t="inlineStr">
        <is>
          <t>279-SER B</t>
        </is>
      </c>
      <c r="H520" s="161" t="inlineStr">
        <is>
          <t>INSIGHT</t>
        </is>
      </c>
      <c r="I520" s="161" t="inlineStr">
        <is>
          <t>INSIGHT</t>
        </is>
      </c>
      <c r="J520" s="161" t="n"/>
      <c r="K520" s="161" t="n"/>
      <c r="L520" s="164" t="inlineStr">
        <is>
          <t>Conclusão das intervenções e adequações civis para de substituição das válvulas borboleta da 4ª UF</t>
        </is>
      </c>
      <c r="M520" s="416">
        <f>O520/$O$516</f>
        <v/>
      </c>
      <c r="N520" s="1364" t="n"/>
      <c r="O520" s="1342" t="n">
        <v>250425.25</v>
      </c>
      <c r="P520" s="553" t="n"/>
      <c r="Q520" s="1341" t="n"/>
    </row>
    <row r="521" outlineLevel="1" ht="96.59999999999999" customHeight="1">
      <c r="A521" s="461">
        <f>'01_Preço'!$A$297</f>
        <v/>
      </c>
      <c r="B521" s="467">
        <f>'01_Preço'!A304</f>
        <v/>
      </c>
      <c r="C521" s="467">
        <f>'01_Preço'!B304</f>
        <v/>
      </c>
      <c r="D521" s="470">
        <f>'01_Preço'!E304</f>
        <v/>
      </c>
      <c r="E521" s="449" t="n"/>
      <c r="F521" s="449" t="n"/>
      <c r="G521" s="436" t="n"/>
      <c r="H521" s="436" t="n"/>
      <c r="I521" s="436" t="n"/>
      <c r="J521" s="436" t="n"/>
      <c r="K521" s="436" t="n"/>
      <c r="L521" s="437">
        <f>CONCATENATE('01_Preço'!$E$304)</f>
        <v/>
      </c>
      <c r="M521" s="446">
        <f>O521/$N$500</f>
        <v/>
      </c>
      <c r="N521" s="1365" t="n"/>
      <c r="O521" s="1349">
        <f>SUM(O522:O523)</f>
        <v/>
      </c>
      <c r="P521" s="556" t="n"/>
      <c r="Q521" s="1349" t="n"/>
    </row>
    <row r="522" outlineLevel="1" ht="41.4" customHeight="1">
      <c r="A522" s="228">
        <f>'01_Preço'!$A$297</f>
        <v/>
      </c>
      <c r="B522" s="163">
        <f>'01_Preço'!A304</f>
        <v/>
      </c>
      <c r="C522" s="163">
        <f>'01_Preço'!B304</f>
        <v/>
      </c>
      <c r="D522" s="167" t="inlineStr">
        <is>
          <t>Desmontagem e montagem eletromecânica</t>
        </is>
      </c>
      <c r="E522" s="453" t="n">
        <v>61</v>
      </c>
      <c r="F522" s="1343">
        <f>VLOOKUP(E522,'Tabela de mês'!$A$1:$B$70,2,TRUE)</f>
        <v/>
      </c>
      <c r="G522" s="511" t="inlineStr">
        <is>
          <t>274-SER</t>
        </is>
      </c>
      <c r="H522" s="161" t="inlineStr">
        <is>
          <t>INSIGHT</t>
        </is>
      </c>
      <c r="I522" s="161" t="inlineStr">
        <is>
          <t>INSIGHT</t>
        </is>
      </c>
      <c r="J522" s="161" t="n"/>
      <c r="K522" s="161" t="n"/>
      <c r="L522" s="164" t="inlineStr">
        <is>
          <t>Conclusão da desmontagem, reforma e montagem da Comporta 1 da Chaminé de Equilíbrio e de seus sistemas</t>
        </is>
      </c>
      <c r="M522" s="416">
        <f>O522/$O$521</f>
        <v/>
      </c>
      <c r="N522" s="1364" t="n"/>
      <c r="O522" s="1342" t="n">
        <v>404222</v>
      </c>
      <c r="P522" s="553" t="n"/>
      <c r="Q522" s="1347" t="n"/>
    </row>
    <row r="523" outlineLevel="1" ht="41.4" customHeight="1">
      <c r="A523" s="228">
        <f>'01_Preço'!$A$297</f>
        <v/>
      </c>
      <c r="B523" s="163">
        <f>'01_Preço'!A304</f>
        <v/>
      </c>
      <c r="C523" s="163">
        <f>'01_Preço'!B304</f>
        <v/>
      </c>
      <c r="D523" s="167" t="inlineStr">
        <is>
          <t>Desmontagem e montagem eletromecânica</t>
        </is>
      </c>
      <c r="E523" s="453" t="n">
        <v>62</v>
      </c>
      <c r="F523" s="1343">
        <f>VLOOKUP(E523,'Tabela de mês'!$A$1:$B$70,2,TRUE)</f>
        <v/>
      </c>
      <c r="G523" s="511" t="inlineStr">
        <is>
          <t>276-SER</t>
        </is>
      </c>
      <c r="H523" s="161" t="inlineStr">
        <is>
          <t>INSIGHT</t>
        </is>
      </c>
      <c r="I523" s="161" t="inlineStr">
        <is>
          <t>INSIGHT</t>
        </is>
      </c>
      <c r="J523" s="161" t="n"/>
      <c r="K523" s="161" t="n"/>
      <c r="L523" s="164" t="inlineStr">
        <is>
          <t>Conclusão da desmontagem, reforma e montagem da Comporta 2 da Chaminé de Equilíbrio e de seus sistemas</t>
        </is>
      </c>
      <c r="M523" s="416">
        <f>O523/$O$521</f>
        <v/>
      </c>
      <c r="N523" s="1364" t="n"/>
      <c r="O523" s="1342" t="n">
        <v>404222</v>
      </c>
      <c r="P523" s="553" t="n"/>
      <c r="Q523" s="1341" t="n"/>
    </row>
    <row r="524" outlineLevel="1" ht="41.4" customHeight="1">
      <c r="A524" s="461">
        <f>'01_Preço'!$A$297</f>
        <v/>
      </c>
      <c r="B524" s="467">
        <f>'01_Preço'!A306</f>
        <v/>
      </c>
      <c r="C524" s="467">
        <f>'01_Preço'!B306</f>
        <v/>
      </c>
      <c r="D524" s="470">
        <f>'01_Preço'!E306</f>
        <v/>
      </c>
      <c r="E524" s="449" t="n"/>
      <c r="F524" s="449" t="n"/>
      <c r="G524" s="436" t="n"/>
      <c r="H524" s="436" t="n"/>
      <c r="I524" s="436" t="n"/>
      <c r="J524" s="436" t="n"/>
      <c r="K524" s="436" t="n"/>
      <c r="L524" s="437">
        <f>CONCATENATE('01_Preço'!$E$306)</f>
        <v/>
      </c>
      <c r="M524" s="446">
        <f>O524/$N$500</f>
        <v/>
      </c>
      <c r="N524" s="1365" t="n"/>
      <c r="O524" s="1349">
        <f>SUM(O525:O526)</f>
        <v/>
      </c>
      <c r="P524" s="556" t="n"/>
      <c r="Q524" s="1349" t="n"/>
    </row>
    <row r="525" outlineLevel="1" ht="41.4" customHeight="1">
      <c r="A525" s="228">
        <f>'01_Preço'!$A$297</f>
        <v/>
      </c>
      <c r="B525" s="163">
        <f>'01_Preço'!A306</f>
        <v/>
      </c>
      <c r="C525" s="163">
        <f>'01_Preço'!B306</f>
        <v/>
      </c>
      <c r="D525" s="167">
        <f>'01_Preço'!E306</f>
        <v/>
      </c>
      <c r="E525" s="453" t="n">
        <v>61</v>
      </c>
      <c r="F525" s="1343">
        <f>VLOOKUP(E525,'Tabela de mês'!$A$1:$B$70,2,TRUE)</f>
        <v/>
      </c>
      <c r="G525" s="511" t="inlineStr">
        <is>
          <t>275-SER</t>
        </is>
      </c>
      <c r="H525" s="161" t="inlineStr">
        <is>
          <t>INSIGHT</t>
        </is>
      </c>
      <c r="I525" s="161" t="inlineStr">
        <is>
          <t>INSIGHT</t>
        </is>
      </c>
      <c r="J525" s="161" t="n"/>
      <c r="K525" s="161" t="n"/>
      <c r="L525" s="164" t="inlineStr">
        <is>
          <t>Conclusão da proteção anticorrosiva nos tabuleiros da comporta 1</t>
        </is>
      </c>
      <c r="M525" s="416">
        <f>O525/$O$524</f>
        <v/>
      </c>
      <c r="N525" s="1364" t="n"/>
      <c r="O525" s="1342" t="n">
        <v>78558</v>
      </c>
      <c r="P525" s="553" t="n">
        <v>58</v>
      </c>
      <c r="Q525" s="1347" t="n">
        <v>40000</v>
      </c>
    </row>
    <row r="526" outlineLevel="1" ht="41.4" customHeight="1">
      <c r="A526" s="228">
        <f>'01_Preço'!$A$297</f>
        <v/>
      </c>
      <c r="B526" s="163">
        <f>'01_Preço'!A306</f>
        <v/>
      </c>
      <c r="C526" s="163">
        <f>'01_Preço'!B306</f>
        <v/>
      </c>
      <c r="D526" s="167">
        <f>'01_Preço'!E306</f>
        <v/>
      </c>
      <c r="E526" s="453" t="n">
        <v>62</v>
      </c>
      <c r="F526" s="1343">
        <f>VLOOKUP(E526,'Tabela de mês'!$A$1:$B$70,2,TRUE)</f>
        <v/>
      </c>
      <c r="G526" s="511" t="inlineStr">
        <is>
          <t>277-SER</t>
        </is>
      </c>
      <c r="H526" s="161" t="inlineStr">
        <is>
          <t>INSIGHT</t>
        </is>
      </c>
      <c r="I526" s="161" t="inlineStr">
        <is>
          <t>INSIGHT</t>
        </is>
      </c>
      <c r="J526" s="161" t="n"/>
      <c r="K526" s="161" t="n"/>
      <c r="L526" s="164" t="inlineStr">
        <is>
          <t>Conclusão da proteção anticorrosiva nos tabuleiros da comporta 2</t>
        </is>
      </c>
      <c r="M526" s="416">
        <f>O526/$O$524</f>
        <v/>
      </c>
      <c r="N526" s="1364" t="n"/>
      <c r="O526" s="1342" t="n">
        <v>78558</v>
      </c>
      <c r="P526" s="553" t="n">
        <v>58</v>
      </c>
      <c r="Q526" s="1347" t="n">
        <v>40000</v>
      </c>
    </row>
    <row r="527" outlineLevel="1" ht="41.4" customHeight="1">
      <c r="A527" s="461">
        <f>'01_Preço'!$A$297</f>
        <v/>
      </c>
      <c r="B527" s="467">
        <f>'01_Preço'!A308</f>
        <v/>
      </c>
      <c r="C527" s="467">
        <f>'01_Preço'!B308</f>
        <v/>
      </c>
      <c r="D527" s="470">
        <f>'01_Preço'!E308</f>
        <v/>
      </c>
      <c r="E527" s="449" t="n"/>
      <c r="F527" s="449" t="n"/>
      <c r="G527" s="436" t="n"/>
      <c r="H527" s="436" t="n"/>
      <c r="I527" s="436" t="n"/>
      <c r="J527" s="436" t="n"/>
      <c r="K527" s="436" t="n"/>
      <c r="L527" s="437">
        <f>CONCATENATE('01_Preço'!$E$308)</f>
        <v/>
      </c>
      <c r="M527" s="446">
        <f>O527/$N$500</f>
        <v/>
      </c>
      <c r="N527" s="1365" t="n"/>
      <c r="O527" s="1349">
        <f>SUM(O528:O532)</f>
        <v/>
      </c>
      <c r="P527" s="556" t="n"/>
      <c r="Q527" s="1349" t="n"/>
    </row>
    <row r="528" outlineLevel="1" ht="41.4" customHeight="1">
      <c r="A528" s="228">
        <f>'01_Preço'!$A$297</f>
        <v/>
      </c>
      <c r="B528" s="163">
        <f>'01_Preço'!A308</f>
        <v/>
      </c>
      <c r="C528" s="163">
        <f>'01_Preço'!B308</f>
        <v/>
      </c>
      <c r="D528" s="167">
        <f>'01_Preço'!E308</f>
        <v/>
      </c>
      <c r="E528" s="453" t="n">
        <v>34</v>
      </c>
      <c r="F528" s="1343">
        <f>VLOOKUP(E528,'Tabela de mês'!$A$1:$B$70,2,TRUE)</f>
        <v/>
      </c>
      <c r="G528" s="510" t="inlineStr">
        <is>
          <t>280-SER A</t>
        </is>
      </c>
      <c r="H528" s="161" t="inlineStr">
        <is>
          <t>INSIGHT</t>
        </is>
      </c>
      <c r="I528" s="161" t="inlineStr">
        <is>
          <t>INSIGHT</t>
        </is>
      </c>
      <c r="J528" s="161" t="n"/>
      <c r="K528" s="161" t="n"/>
      <c r="L528" s="164" t="inlineStr">
        <is>
          <t>Conclusão do Comissionamento das válvulas borboleta de entrada das turbinas da 1ª UF</t>
        </is>
      </c>
      <c r="M528" s="416">
        <f>O528/$O$527</f>
        <v/>
      </c>
      <c r="N528" s="1364" t="n"/>
      <c r="O528" s="1342" t="n">
        <v>31893.23</v>
      </c>
      <c r="P528" s="553" t="n"/>
      <c r="Q528" s="1347" t="n"/>
    </row>
    <row r="529" outlineLevel="1" ht="41.4" customHeight="1">
      <c r="A529" s="228" t="inlineStr">
        <is>
          <t>2.14 - Sistema de Adução - Comportas da Chaminé de Equilíbrio e Válvulas Borboleta</t>
        </is>
      </c>
      <c r="B529" s="163" t="inlineStr">
        <is>
          <t>2.14.06</t>
        </is>
      </c>
      <c r="C529" s="163" t="inlineStr">
        <is>
          <t>SERVIÇO</t>
        </is>
      </c>
      <c r="D529" s="167" t="inlineStr">
        <is>
          <t>Supervisão, ensaios de campo e comissionamento</t>
        </is>
      </c>
      <c r="E529" s="453" t="n">
        <v>46</v>
      </c>
      <c r="F529" s="1343">
        <f>VLOOKUP(E529,'Tabela de mês'!$A$1:$B$70,2,TRUE)</f>
        <v/>
      </c>
      <c r="G529" s="510" t="inlineStr">
        <is>
          <t>280-SER B</t>
        </is>
      </c>
      <c r="H529" s="161" t="inlineStr">
        <is>
          <t>INSIGHT</t>
        </is>
      </c>
      <c r="I529" s="161" t="inlineStr">
        <is>
          <t>INSIGHT</t>
        </is>
      </c>
      <c r="J529" s="161" t="n"/>
      <c r="K529" s="161" t="n"/>
      <c r="L529" s="164" t="inlineStr">
        <is>
          <t>Conclusão do Comissionamento das válvulas borboleta de entrada das turbinas da 2ª UF</t>
        </is>
      </c>
      <c r="M529" s="416">
        <f>O529/$O$527</f>
        <v/>
      </c>
      <c r="N529" s="1364" t="n"/>
      <c r="O529" s="1342" t="n">
        <v>31893.23</v>
      </c>
      <c r="P529" s="553" t="n"/>
      <c r="Q529" s="1347" t="n"/>
    </row>
    <row r="530" outlineLevel="1" ht="41.4" customHeight="1">
      <c r="A530" s="228">
        <f>'01_Preço'!$A$297</f>
        <v/>
      </c>
      <c r="B530" s="163">
        <f>'01_Preço'!A308</f>
        <v/>
      </c>
      <c r="C530" s="163">
        <f>'01_Preço'!B308</f>
        <v/>
      </c>
      <c r="D530" s="167">
        <f>'01_Preço'!E308</f>
        <v/>
      </c>
      <c r="E530" s="453" t="n">
        <v>63</v>
      </c>
      <c r="F530" s="1343">
        <f>VLOOKUP(E530,'Tabela de mês'!$A$1:$B$70,2,TRUE)</f>
        <v/>
      </c>
      <c r="G530" s="511" t="inlineStr">
        <is>
          <t>281-SER</t>
        </is>
      </c>
      <c r="H530" s="161" t="inlineStr">
        <is>
          <t>INSIGHT</t>
        </is>
      </c>
      <c r="I530" s="161" t="inlineStr">
        <is>
          <t>INSIGHT</t>
        </is>
      </c>
      <c r="J530" s="161" t="n"/>
      <c r="K530" s="161" t="n"/>
      <c r="L530" s="164" t="inlineStr">
        <is>
          <t>Conclusão do Comissionamento das adequações e reforma das Comportas da Chaminé de Equilíbrio</t>
        </is>
      </c>
      <c r="M530" s="416">
        <f>O530/$O$527</f>
        <v/>
      </c>
      <c r="N530" s="1364" t="n"/>
      <c r="O530" s="1342" t="n">
        <v>63786.45</v>
      </c>
      <c r="P530" s="553" t="n"/>
      <c r="Q530" s="1347" t="n"/>
    </row>
    <row r="531" outlineLevel="1" ht="41.4" customHeight="1">
      <c r="A531" s="228" t="inlineStr">
        <is>
          <t>2.14 - Sistema de Adução - Comportas da Chaminé de Equilíbrio e Válvulas Borboleta</t>
        </is>
      </c>
      <c r="B531" s="163" t="inlineStr">
        <is>
          <t>2.14.06</t>
        </is>
      </c>
      <c r="C531" s="163" t="inlineStr">
        <is>
          <t>SERVIÇO</t>
        </is>
      </c>
      <c r="D531" s="167" t="inlineStr">
        <is>
          <t>Supervisão, ensaios de campo e comissionamento</t>
        </is>
      </c>
      <c r="E531" s="453" t="n">
        <v>56</v>
      </c>
      <c r="F531" s="1343">
        <f>VLOOKUP(E531,'Tabela de mês'!$A$1:$B$70,2,TRUE)</f>
        <v/>
      </c>
      <c r="G531" s="510" t="inlineStr">
        <is>
          <t xml:space="preserve">282-SER A </t>
        </is>
      </c>
      <c r="H531" s="161" t="inlineStr">
        <is>
          <t>INSIGHT</t>
        </is>
      </c>
      <c r="I531" s="163" t="inlineStr">
        <is>
          <t>INSIGHT</t>
        </is>
      </c>
      <c r="J531" s="163" t="n"/>
      <c r="K531" s="163" t="n"/>
      <c r="L531" s="165" t="inlineStr">
        <is>
          <t>Conclusão do Comissionamento das válvulas borboleta de entrada das turbinas da 3ª UF</t>
        </is>
      </c>
      <c r="M531" s="416">
        <f>O531/$O$527</f>
        <v/>
      </c>
      <c r="N531" s="1364" t="n"/>
      <c r="O531" s="1342" t="n">
        <v>27337.05</v>
      </c>
      <c r="P531" s="561" t="n"/>
      <c r="Q531" s="1347" t="n"/>
    </row>
    <row r="532" outlineLevel="1" ht="41.4" customHeight="1">
      <c r="A532" s="228">
        <f>'01_Preço'!$A$297</f>
        <v/>
      </c>
      <c r="B532" s="163">
        <f>'01_Preço'!A308</f>
        <v/>
      </c>
      <c r="C532" s="163">
        <f>'01_Preço'!B308</f>
        <v/>
      </c>
      <c r="D532" s="167">
        <f>'01_Preço'!E308</f>
        <v/>
      </c>
      <c r="E532" s="453" t="n">
        <v>66</v>
      </c>
      <c r="F532" s="1343">
        <f>VLOOKUP(E532,'Tabela de mês'!$A$1:$B$70,2,TRUE)</f>
        <v/>
      </c>
      <c r="G532" s="510" t="inlineStr">
        <is>
          <t>282-SER B</t>
        </is>
      </c>
      <c r="H532" s="161" t="inlineStr">
        <is>
          <t>INSIGHT</t>
        </is>
      </c>
      <c r="I532" s="163" t="inlineStr">
        <is>
          <t>INSIGHT</t>
        </is>
      </c>
      <c r="J532" s="163" t="n"/>
      <c r="K532" s="163" t="n"/>
      <c r="L532" s="165" t="inlineStr">
        <is>
          <t>Conclusão do Comissionamento das válvulas borboleta de entrada das turbinas da 4ª UF</t>
        </is>
      </c>
      <c r="M532" s="391">
        <f>O532/$O$527</f>
        <v/>
      </c>
      <c r="N532" s="1342" t="n"/>
      <c r="O532" s="1342" t="n">
        <v>27337.05</v>
      </c>
      <c r="P532" s="561" t="n"/>
      <c r="Q532" s="1347" t="n"/>
    </row>
    <row r="533" outlineLevel="1" ht="41.4" customHeight="1">
      <c r="A533" s="461">
        <f>'01_Preço'!$A$297</f>
        <v/>
      </c>
      <c r="B533" s="469">
        <f>'01_Preço'!A310</f>
        <v/>
      </c>
      <c r="C533" s="469">
        <f>'01_Preço'!B310</f>
        <v/>
      </c>
      <c r="D533" s="471">
        <f>'01_Preço'!E310</f>
        <v/>
      </c>
      <c r="E533" s="449" t="n"/>
      <c r="F533" s="462" t="n"/>
      <c r="G533" s="441" t="n"/>
      <c r="H533" s="441" t="n"/>
      <c r="I533" s="441" t="n"/>
      <c r="J533" s="441" t="n"/>
      <c r="K533" s="441" t="n"/>
      <c r="L533" s="442">
        <f>CONCATENATE('01_Preço'!$E$310)</f>
        <v/>
      </c>
      <c r="M533" s="443">
        <f>O533/$N$500</f>
        <v/>
      </c>
      <c r="N533" s="1357" t="n"/>
      <c r="O533" s="1346">
        <f>SUM(O534:O541)</f>
        <v/>
      </c>
      <c r="P533" s="556" t="n"/>
      <c r="Q533" s="1346" t="n"/>
    </row>
    <row r="534" outlineLevel="1" ht="41.4" customHeight="1">
      <c r="A534" s="228">
        <f>'01_Preço'!$A$297</f>
        <v/>
      </c>
      <c r="B534" s="413">
        <f>'01_Preço'!A310</f>
        <v/>
      </c>
      <c r="C534" s="168">
        <f>'01_Preço'!$B$310</f>
        <v/>
      </c>
      <c r="D534" s="162" t="inlineStr">
        <is>
          <t>Equipamentos e materiais</t>
        </is>
      </c>
      <c r="E534" s="453" t="n">
        <v>31</v>
      </c>
      <c r="F534" s="1343">
        <f>VLOOKUP(E534,'Tabela de mês'!$A$1:$B$70,2,TRUE)</f>
        <v/>
      </c>
      <c r="G534" s="1380" t="inlineStr">
        <is>
          <t>269-MAT A</t>
        </is>
      </c>
      <c r="H534" s="161" t="inlineStr">
        <is>
          <t>HYDROSTEC</t>
        </is>
      </c>
      <c r="I534" s="497" t="inlineStr">
        <is>
          <t>FAT. DIRETO</t>
        </is>
      </c>
      <c r="J534" s="161" t="n"/>
      <c r="K534" s="161" t="n"/>
      <c r="L534" s="164" t="inlineStr">
        <is>
          <t>Entrega em campo das válvulas borboletas 1ª UF</t>
        </is>
      </c>
      <c r="M534" s="391">
        <f>O534/$O$533</f>
        <v/>
      </c>
      <c r="N534" s="1364" t="n"/>
      <c r="O534" s="1340" t="n">
        <v>2000000</v>
      </c>
      <c r="P534" s="561" t="n"/>
      <c r="Q534" s="1347" t="n"/>
      <c r="R534" s="540" t="n"/>
      <c r="S534" s="540" t="n"/>
      <c r="T534" s="540" t="n"/>
      <c r="U534" s="540" t="n"/>
    </row>
    <row r="535" outlineLevel="1" ht="41.4" customHeight="1">
      <c r="A535" s="228">
        <f>'01_Preço'!$A$297</f>
        <v/>
      </c>
      <c r="B535" s="413">
        <f>'01_Preço'!A310</f>
        <v/>
      </c>
      <c r="C535" s="168">
        <f>'01_Preço'!$B$310</f>
        <v/>
      </c>
      <c r="D535" s="162" t="inlineStr">
        <is>
          <t>Equipamentos e materiais</t>
        </is>
      </c>
      <c r="E535" s="453" t="n">
        <v>30</v>
      </c>
      <c r="F535" s="1343">
        <f>VLOOKUP(E535,'Tabela de mês'!$A$1:$B$70,2,TRUE)</f>
        <v/>
      </c>
      <c r="G535" s="1380" t="inlineStr">
        <is>
          <t>269-MAT B</t>
        </is>
      </c>
      <c r="H535" s="660" t="inlineStr">
        <is>
          <t>HINE</t>
        </is>
      </c>
      <c r="I535" s="497" t="inlineStr">
        <is>
          <t>FAT. DIRETO</t>
        </is>
      </c>
      <c r="J535" s="161" t="n"/>
      <c r="K535" s="161" t="n"/>
      <c r="L535" s="164" t="inlineStr">
        <is>
          <t>Entrega em campo dos cilindros da válvula borboleta e bypass 1ª UF</t>
        </is>
      </c>
      <c r="M535" s="391">
        <f>O535/$O$533</f>
        <v/>
      </c>
      <c r="N535" s="1366" t="n"/>
      <c r="O535" s="1367">
        <f>244130.66*2+25406+4100</f>
        <v/>
      </c>
      <c r="P535" s="561" t="n"/>
      <c r="Q535" s="1347" t="n"/>
      <c r="R535" s="1327" t="n"/>
      <c r="S535" s="1327" t="n"/>
      <c r="T535" s="1327" t="n"/>
      <c r="U535" s="1327" t="n"/>
    </row>
    <row r="536" outlineLevel="1" ht="41.4" customHeight="1">
      <c r="A536" s="228">
        <f>'01_Preço'!$A$297</f>
        <v/>
      </c>
      <c r="B536" s="413">
        <f>'01_Preço'!A310</f>
        <v/>
      </c>
      <c r="C536" s="168">
        <f>'01_Preço'!$B$310</f>
        <v/>
      </c>
      <c r="D536" s="162" t="inlineStr">
        <is>
          <t>Equipamentos e materiais</t>
        </is>
      </c>
      <c r="E536" s="453" t="n">
        <v>43</v>
      </c>
      <c r="F536" s="1343">
        <f>VLOOKUP(E536,'Tabela de mês'!$A$1:$B$70,2,TRUE)</f>
        <v/>
      </c>
      <c r="G536" s="1380" t="inlineStr">
        <is>
          <t>269-MAT C</t>
        </is>
      </c>
      <c r="H536" s="161" t="inlineStr">
        <is>
          <t>HYDROSTEC</t>
        </is>
      </c>
      <c r="I536" s="497" t="inlineStr">
        <is>
          <t>FAT. DIRETO</t>
        </is>
      </c>
      <c r="J536" s="161" t="n"/>
      <c r="K536" s="161" t="n"/>
      <c r="L536" s="164" t="inlineStr">
        <is>
          <t>Entrega em campo das válvulas borboletas 2ª UF</t>
        </is>
      </c>
      <c r="M536" s="391">
        <f>O536/$O$533</f>
        <v/>
      </c>
      <c r="N536" s="1364" t="n"/>
      <c r="O536" s="1340" t="n">
        <v>2000000</v>
      </c>
      <c r="P536" s="561" t="n"/>
      <c r="Q536" s="1347" t="n"/>
    </row>
    <row r="537" outlineLevel="1" ht="41.4" customHeight="1">
      <c r="A537" s="228">
        <f>'01_Preço'!$A$297</f>
        <v/>
      </c>
      <c r="B537" s="413">
        <f>'01_Preço'!A310</f>
        <v/>
      </c>
      <c r="C537" s="168">
        <f>'01_Preço'!$B$310</f>
        <v/>
      </c>
      <c r="D537" s="162" t="inlineStr">
        <is>
          <t>Equipamentos e materiais</t>
        </is>
      </c>
      <c r="E537" s="453" t="n">
        <v>39</v>
      </c>
      <c r="F537" s="1343">
        <f>VLOOKUP(E537,'Tabela de mês'!$A$1:$B$70,2,TRUE)</f>
        <v/>
      </c>
      <c r="G537" s="1380" t="inlineStr">
        <is>
          <t>269-MAT D</t>
        </is>
      </c>
      <c r="H537" s="660" t="inlineStr">
        <is>
          <t>HINE</t>
        </is>
      </c>
      <c r="I537" s="497" t="inlineStr">
        <is>
          <t>FAT. DIRETO</t>
        </is>
      </c>
      <c r="J537" s="161" t="n"/>
      <c r="K537" s="161" t="n"/>
      <c r="L537" s="164" t="inlineStr">
        <is>
          <t>Entrega em campo dos cilindros da válvula borboleta e bypass 2ª UF</t>
        </is>
      </c>
      <c r="M537" s="391">
        <f>O537/$O$533</f>
        <v/>
      </c>
      <c r="N537" s="1366" t="n"/>
      <c r="O537" s="1367">
        <f>244130.66*2+25406+4100</f>
        <v/>
      </c>
      <c r="P537" s="561" t="n"/>
      <c r="Q537" s="1347" t="n"/>
    </row>
    <row r="538" outlineLevel="1" ht="41.4" customHeight="1">
      <c r="A538" s="228">
        <f>'01_Preço'!$A$297</f>
        <v/>
      </c>
      <c r="B538" s="413">
        <f>'01_Preço'!A310</f>
        <v/>
      </c>
      <c r="C538" s="168">
        <f>'01_Preço'!$B$310</f>
        <v/>
      </c>
      <c r="D538" s="162" t="inlineStr">
        <is>
          <t>Equipamentos e materiais</t>
        </is>
      </c>
      <c r="E538" s="453" t="n">
        <v>53</v>
      </c>
      <c r="F538" s="1343">
        <f>VLOOKUP(E538,'Tabela de mês'!$A$1:$B$70,2,TRUE)</f>
        <v/>
      </c>
      <c r="G538" s="1380" t="inlineStr">
        <is>
          <t>271-MAT A</t>
        </is>
      </c>
      <c r="H538" s="161" t="inlineStr">
        <is>
          <t>HYDROSTEC</t>
        </is>
      </c>
      <c r="I538" s="497" t="inlineStr">
        <is>
          <t>FAT. DIRETO</t>
        </is>
      </c>
      <c r="J538" s="161" t="n"/>
      <c r="K538" s="161" t="n"/>
      <c r="L538" s="164" t="inlineStr">
        <is>
          <t>Entrega em campo das válvulas borboletas 3ª UF</t>
        </is>
      </c>
      <c r="M538" s="391">
        <f>O538/$O$533</f>
        <v/>
      </c>
      <c r="N538" s="1364" t="n"/>
      <c r="O538" s="1340" t="n">
        <v>2000000</v>
      </c>
      <c r="P538" s="561" t="n"/>
      <c r="Q538" s="1347" t="n"/>
    </row>
    <row r="539" outlineLevel="1" ht="41.4" customHeight="1">
      <c r="A539" s="228">
        <f>'01_Preço'!$A$297</f>
        <v/>
      </c>
      <c r="B539" s="413">
        <f>'01_Preço'!A310</f>
        <v/>
      </c>
      <c r="C539" s="168">
        <f>'01_Preço'!$B$310</f>
        <v/>
      </c>
      <c r="D539" s="162" t="inlineStr">
        <is>
          <t>Equipamentos e materiais</t>
        </is>
      </c>
      <c r="E539" s="453" t="n">
        <v>52</v>
      </c>
      <c r="F539" s="1343">
        <f>VLOOKUP(E539,'Tabela de mês'!$A$1:$B$70,2,TRUE)</f>
        <v/>
      </c>
      <c r="G539" s="1380" t="inlineStr">
        <is>
          <t>271-MAT B</t>
        </is>
      </c>
      <c r="H539" s="660" t="inlineStr">
        <is>
          <t>HINE</t>
        </is>
      </c>
      <c r="I539" s="497" t="inlineStr">
        <is>
          <t>FAT. DIRETO</t>
        </is>
      </c>
      <c r="J539" s="161" t="n"/>
      <c r="K539" s="161" t="n"/>
      <c r="L539" s="164" t="inlineStr">
        <is>
          <t>Entrega em campo dos cilindros da válvula borboleta e bypass 3ª UF</t>
        </is>
      </c>
      <c r="M539" s="391">
        <f>O539/$O$533</f>
        <v/>
      </c>
      <c r="N539" s="1366" t="n"/>
      <c r="O539" s="1367">
        <f>244130.66*2+25406+4100</f>
        <v/>
      </c>
      <c r="P539" s="561" t="n"/>
      <c r="Q539" s="1347" t="n"/>
    </row>
    <row r="540" outlineLevel="1" ht="41.4" customHeight="1">
      <c r="A540" s="228">
        <f>'01_Preço'!$A$297</f>
        <v/>
      </c>
      <c r="B540" s="413">
        <f>'01_Preço'!A310</f>
        <v/>
      </c>
      <c r="C540" s="168">
        <f>'01_Preço'!$B$310</f>
        <v/>
      </c>
      <c r="D540" s="162" t="inlineStr">
        <is>
          <t>Equipamentos e materiais</t>
        </is>
      </c>
      <c r="E540" s="453" t="n">
        <v>53</v>
      </c>
      <c r="F540" s="1343">
        <f>VLOOKUP(E540,'Tabela de mês'!$A$1:$B$70,2,TRUE)</f>
        <v/>
      </c>
      <c r="G540" s="1380" t="inlineStr">
        <is>
          <t>271-MAT C</t>
        </is>
      </c>
      <c r="H540" s="161" t="inlineStr">
        <is>
          <t>HYDROSTEC</t>
        </is>
      </c>
      <c r="I540" s="497" t="inlineStr">
        <is>
          <t>FAT. DIRETO</t>
        </is>
      </c>
      <c r="J540" s="161" t="n"/>
      <c r="K540" s="161" t="n"/>
      <c r="L540" s="164" t="inlineStr">
        <is>
          <t>Entrega em campo das válvulas borboletas 4ª UF</t>
        </is>
      </c>
      <c r="M540" s="391">
        <f>O540/$O$533</f>
        <v/>
      </c>
      <c r="N540" s="1364" t="n"/>
      <c r="O540" s="1340" t="n">
        <v>2000000</v>
      </c>
      <c r="P540" s="561" t="n"/>
      <c r="Q540" s="1347" t="n"/>
    </row>
    <row r="541" outlineLevel="1" ht="41.4" customHeight="1">
      <c r="A541" s="228">
        <f>'01_Preço'!$A$297</f>
        <v/>
      </c>
      <c r="B541" s="413">
        <f>'01_Preço'!A310</f>
        <v/>
      </c>
      <c r="C541" s="168">
        <f>'01_Preço'!$B$310</f>
        <v/>
      </c>
      <c r="D541" s="162" t="inlineStr">
        <is>
          <t>Equipamentos e materiais</t>
        </is>
      </c>
      <c r="E541" s="453" t="n">
        <v>61</v>
      </c>
      <c r="F541" s="1343">
        <f>VLOOKUP(E541,'Tabela de mês'!$A$1:$B$70,2,TRUE)</f>
        <v/>
      </c>
      <c r="G541" s="1380" t="inlineStr">
        <is>
          <t>271-MAT D</t>
        </is>
      </c>
      <c r="H541" s="660" t="inlineStr">
        <is>
          <t>HINE</t>
        </is>
      </c>
      <c r="I541" s="497" t="inlineStr">
        <is>
          <t>FAT. DIRETO</t>
        </is>
      </c>
      <c r="J541" s="161" t="n"/>
      <c r="K541" s="161" t="n"/>
      <c r="L541" s="164" t="inlineStr">
        <is>
          <t>Entrega em campo dos cilindros da válvula borboleta e bypass 4ª UF</t>
        </is>
      </c>
      <c r="M541" s="391">
        <f>O541/$O$533</f>
        <v/>
      </c>
      <c r="N541" s="1366" t="n"/>
      <c r="O541" s="1367">
        <f>244130.66*2+25406+4100</f>
        <v/>
      </c>
      <c r="P541" s="561" t="n"/>
      <c r="Q541" s="1347" t="n"/>
    </row>
    <row r="542" outlineLevel="1" ht="110.4" customHeight="1">
      <c r="A542" s="463">
        <f>'01_Preço'!$A$297</f>
        <v/>
      </c>
      <c r="B542" s="469">
        <f>CONCATENATE('01_Preço'!$A$312,", ",'01_Preço'!$A$314,", ",'01_Preço'!$A$316," e ",'01_Preço'!$A$318)</f>
        <v/>
      </c>
      <c r="C542" s="469">
        <f>'01_Preço'!B312</f>
        <v/>
      </c>
      <c r="D542" s="471">
        <f>'01_Preço'!E312</f>
        <v/>
      </c>
      <c r="E542" s="449" t="n"/>
      <c r="F542" s="462" t="n"/>
      <c r="G542" s="441" t="n"/>
      <c r="H542" s="441" t="n"/>
      <c r="I542" s="441" t="n"/>
      <c r="J542" s="441" t="n"/>
      <c r="K542" s="441" t="n"/>
      <c r="L542" s="469">
        <f>CONCATENATE('01_Preço'!$E$312,", ",'01_Preço'!$E$314,", ",'01_Preço'!$E$316," e ",'01_Preço'!$E$318)</f>
        <v/>
      </c>
      <c r="M542" s="443">
        <f>O542/$N$500</f>
        <v/>
      </c>
      <c r="N542" s="1357" t="n"/>
      <c r="O542" s="1349">
        <f>SUM(O543:O546)</f>
        <v/>
      </c>
      <c r="P542" s="556" t="n"/>
      <c r="Q542" s="1346" t="n"/>
    </row>
    <row r="543" outlineLevel="1" ht="55.2" customHeight="1">
      <c r="A543" s="228">
        <f>'01_Preço'!$A$297</f>
        <v/>
      </c>
      <c r="B543" s="413">
        <f>CONCATENATE('01_Preço'!$A$312,", ",'01_Preço'!$A$314,", ",'01_Preço'!$A$316," e ",'01_Preço'!$A$318)</f>
        <v/>
      </c>
      <c r="C543" s="168">
        <f>'01_Preço'!$B$312</f>
        <v/>
      </c>
      <c r="D543" s="162" t="inlineStr">
        <is>
          <t>Equipamentos e materiais</t>
        </is>
      </c>
      <c r="E543" s="453" t="n">
        <v>30</v>
      </c>
      <c r="F543" s="1343">
        <f>VLOOKUP(E543,'Tabela de mês'!$A$1:$B$70,2,TRUE)</f>
        <v/>
      </c>
      <c r="G543" s="1380" t="inlineStr">
        <is>
          <t>269-MAT E</t>
        </is>
      </c>
      <c r="H543" s="161" t="inlineStr">
        <is>
          <t>INSIGHT</t>
        </is>
      </c>
      <c r="I543" s="161" t="inlineStr">
        <is>
          <t>INSIGHT</t>
        </is>
      </c>
      <c r="J543" s="161" t="n"/>
      <c r="K543" s="161" t="n"/>
      <c r="L543" s="164" t="inlineStr">
        <is>
          <t>Entrega na obra dos equipamentos e materiais para substituição das válvulas borboletas da 1ª UF</t>
        </is>
      </c>
      <c r="M543" s="391">
        <f>O543/$O$542</f>
        <v/>
      </c>
      <c r="N543" s="1340" t="n"/>
      <c r="O543" s="1340" t="n">
        <v>441089.65</v>
      </c>
      <c r="P543" s="561" t="n">
        <v>27</v>
      </c>
      <c r="Q543" s="1347" t="n">
        <v>110000</v>
      </c>
    </row>
    <row r="544" outlineLevel="1" ht="55.2" customHeight="1">
      <c r="A544" s="228">
        <f>'01_Preço'!$A$297</f>
        <v/>
      </c>
      <c r="B544" s="413">
        <f>CONCATENATE('01_Preço'!$A$312,", ",'01_Preço'!$A$314,", ",'01_Preço'!$A$316," e ",'01_Preço'!$A$318)</f>
        <v/>
      </c>
      <c r="C544" s="168">
        <f>'01_Preço'!$B$312</f>
        <v/>
      </c>
      <c r="D544" s="162" t="inlineStr">
        <is>
          <t>Equipamentos e materiais</t>
        </is>
      </c>
      <c r="E544" s="453" t="n">
        <v>39</v>
      </c>
      <c r="F544" s="1343">
        <f>VLOOKUP(E544,'Tabela de mês'!$A$1:$B$70,2,TRUE)</f>
        <v/>
      </c>
      <c r="G544" s="1380" t="inlineStr">
        <is>
          <t>269-MAT F</t>
        </is>
      </c>
      <c r="H544" s="161" t="inlineStr">
        <is>
          <t>INSIGHT</t>
        </is>
      </c>
      <c r="I544" s="161" t="inlineStr">
        <is>
          <t>INSIGHT</t>
        </is>
      </c>
      <c r="J544" s="161" t="n"/>
      <c r="K544" s="161" t="n"/>
      <c r="L544" s="164" t="inlineStr">
        <is>
          <t xml:space="preserve">Entrega na obra dos equipamentos e materiais para substituição das válvulas borboletas da 2ª UF </t>
        </is>
      </c>
      <c r="M544" s="391">
        <f>O544/$O$542</f>
        <v/>
      </c>
      <c r="N544" s="1340" t="n"/>
      <c r="O544" s="1340" t="n">
        <v>441089.65</v>
      </c>
      <c r="P544" s="561" t="n">
        <v>39</v>
      </c>
      <c r="Q544" s="1347" t="n">
        <v>110000</v>
      </c>
    </row>
    <row r="545" outlineLevel="1" ht="55.2" customHeight="1">
      <c r="A545" s="228">
        <f>'01_Preço'!$A$297</f>
        <v/>
      </c>
      <c r="B545" s="413">
        <f>CONCATENATE('01_Preço'!$A$312,", ",'01_Preço'!$A$314,", ",'01_Preço'!$A$316," e ",'01_Preço'!$A$318)</f>
        <v/>
      </c>
      <c r="C545" s="168">
        <f>'01_Preço'!$B$312</f>
        <v/>
      </c>
      <c r="D545" s="162" t="inlineStr">
        <is>
          <t>Equipamentos e materiais</t>
        </is>
      </c>
      <c r="E545" s="453" t="n">
        <v>52</v>
      </c>
      <c r="F545" s="1343">
        <f>VLOOKUP(E545,'Tabela de mês'!$A$1:$B$70,2,TRUE)</f>
        <v/>
      </c>
      <c r="G545" s="1380" t="inlineStr">
        <is>
          <t>271-MAT E</t>
        </is>
      </c>
      <c r="H545" s="161" t="inlineStr">
        <is>
          <t>INSIGHT</t>
        </is>
      </c>
      <c r="I545" s="161" t="inlineStr">
        <is>
          <t>INSIGHT</t>
        </is>
      </c>
      <c r="J545" s="161" t="n"/>
      <c r="K545" s="161" t="n"/>
      <c r="L545" s="164" t="inlineStr">
        <is>
          <t xml:space="preserve">Entrega na obra dos equipamentos e materiais para substituição das válvulas borboletas da 4ª UF </t>
        </is>
      </c>
      <c r="M545" s="391">
        <f>O545/$O$542</f>
        <v/>
      </c>
      <c r="N545" s="1340" t="n"/>
      <c r="O545" s="1340" t="n">
        <v>441089.65</v>
      </c>
      <c r="P545" s="561" t="n">
        <v>49</v>
      </c>
      <c r="Q545" s="1347" t="n">
        <v>110000</v>
      </c>
    </row>
    <row r="546" outlineLevel="1" ht="55.2" customHeight="1">
      <c r="A546" s="228">
        <f>'01_Preço'!$A$297</f>
        <v/>
      </c>
      <c r="B546" s="413">
        <f>CONCATENATE('01_Preço'!$A$312,", ",'01_Preço'!$A$314,", ",'01_Preço'!$A$316," e ",'01_Preço'!$A$318)</f>
        <v/>
      </c>
      <c r="C546" s="168">
        <f>'01_Preço'!$B$312</f>
        <v/>
      </c>
      <c r="D546" s="162" t="inlineStr">
        <is>
          <t>Equipamentos e materiais</t>
        </is>
      </c>
      <c r="E546" s="453" t="n">
        <v>61</v>
      </c>
      <c r="F546" s="1343">
        <f>VLOOKUP(E546,'Tabela de mês'!$A$1:$B$70,2,TRUE)</f>
        <v/>
      </c>
      <c r="G546" s="1380" t="inlineStr">
        <is>
          <t>271-MAT F</t>
        </is>
      </c>
      <c r="H546" s="161" t="inlineStr">
        <is>
          <t>INSIGHT</t>
        </is>
      </c>
      <c r="I546" s="161" t="inlineStr">
        <is>
          <t>INSIGHT</t>
        </is>
      </c>
      <c r="J546" s="161" t="n"/>
      <c r="K546" s="161" t="n"/>
      <c r="L546" s="164" t="inlineStr">
        <is>
          <t>Entrega na obra dos equipamentos e materiais para substituição das válvulas borboletas da 3ª UF</t>
        </is>
      </c>
      <c r="M546" s="391">
        <f>O546/$O$542</f>
        <v/>
      </c>
      <c r="N546" s="1340" t="n"/>
      <c r="O546" s="1340" t="n">
        <v>441089.65</v>
      </c>
      <c r="P546" s="561" t="n">
        <v>49</v>
      </c>
      <c r="Q546" s="1347" t="n">
        <v>110000</v>
      </c>
    </row>
    <row r="547" outlineLevel="1" ht="97.2" customHeight="1" thickBot="1">
      <c r="A547" s="463">
        <f>'01_Preço'!$A$297</f>
        <v/>
      </c>
      <c r="B547" s="469">
        <f>CONCATENATE('01_Preço'!$A$320,", ",'01_Preço'!$A$322,", ",'01_Preço'!$A$324," e ",'01_Preço'!$A$326)</f>
        <v/>
      </c>
      <c r="C547" s="469">
        <f>'01_Preço'!B320</f>
        <v/>
      </c>
      <c r="D547" s="471" t="inlineStr">
        <is>
          <t>Equipamentos e materiais</t>
        </is>
      </c>
      <c r="E547" s="449" t="n">
        <v>58</v>
      </c>
      <c r="F547" s="1348">
        <f>VLOOKUP(E547,'Tabela de mês'!$A$1:$B$70,2,TRUE)</f>
        <v/>
      </c>
      <c r="G547" s="520" t="inlineStr">
        <is>
          <t>270-MAT</t>
        </is>
      </c>
      <c r="H547" s="441" t="inlineStr">
        <is>
          <t>INSIGHT</t>
        </is>
      </c>
      <c r="I547" s="441" t="inlineStr">
        <is>
          <t>INSIGHT</t>
        </is>
      </c>
      <c r="J547" s="441" t="n"/>
      <c r="K547" s="441" t="n"/>
      <c r="L547" s="469" t="inlineStr">
        <is>
          <t>Entrega em campo dos motores e inversores de frequência dos sistemas de içamento das comportas da chaminé de equilíbrio, Painel de alimentação e controle das comportas da chaminé de equilíbrio, Vedações das comportas, incluindo os parafusos de fixação em aço inox e dispositivos de armazenamento para os painéis no topo das ranhuras e Válvulas gaveta 10”, mancais para as hastes de acionamento das válvulas gaveta e tubulações embutidas do sistema de by-pass das comportas da chaminé de equilíbrio</t>
        </is>
      </c>
      <c r="M547" s="443">
        <f>O547/$N$500</f>
        <v/>
      </c>
      <c r="N547" s="1357" t="n"/>
      <c r="O547" s="1381" t="n">
        <v>856895.4399999999</v>
      </c>
      <c r="P547" s="556" t="n">
        <v>54</v>
      </c>
      <c r="Q547" s="1346" t="n">
        <v>400000</v>
      </c>
    </row>
    <row r="548" ht="16.2" customHeight="1" thickBot="1">
      <c r="A548" s="1332" t="inlineStr">
        <is>
          <t>2.15 - Infraestrutura Elétrica</t>
        </is>
      </c>
      <c r="B548" s="1139" t="n"/>
      <c r="C548" s="1139" t="n"/>
      <c r="D548" s="1139" t="n"/>
      <c r="E548" s="1139" t="n"/>
      <c r="F548" s="1139" t="n"/>
      <c r="G548" s="1139" t="n"/>
      <c r="H548" s="1139" t="n"/>
      <c r="I548" s="1139" t="n"/>
      <c r="J548" s="1139" t="n"/>
      <c r="K548" s="1139" t="n"/>
      <c r="L548" s="1139" t="n"/>
      <c r="M548" s="1140" t="n"/>
      <c r="N548" s="1360">
        <f>SUM(O549,O555,O560,O566,O572,O575,O578)</f>
        <v/>
      </c>
      <c r="O548" s="424" t="n"/>
      <c r="P548" s="424" t="n"/>
      <c r="Q548" s="424" t="n"/>
    </row>
    <row r="549" outlineLevel="1" ht="14.4" customHeight="1">
      <c r="A549" s="685">
        <f>'01_Preço'!$A$328</f>
        <v/>
      </c>
      <c r="B549" s="677">
        <f>'01_Preço'!A329</f>
        <v/>
      </c>
      <c r="C549" s="677">
        <f>'01_Preço'!B329</f>
        <v/>
      </c>
      <c r="D549" s="686" t="inlineStr">
        <is>
          <t>Equipamentos e materiais</t>
        </is>
      </c>
      <c r="E549" s="721" t="n"/>
      <c r="F549" s="721" t="n"/>
      <c r="G549" s="683" t="n"/>
      <c r="H549" s="683" t="n"/>
      <c r="I549" s="683" t="n"/>
      <c r="J549" s="683" t="n"/>
      <c r="K549" s="683" t="n"/>
      <c r="L549" s="686">
        <f>'01_Preço'!E329</f>
        <v/>
      </c>
      <c r="M549" s="687">
        <f>O549/$N$548</f>
        <v/>
      </c>
      <c r="N549" s="1369" t="n"/>
      <c r="O549" s="1354">
        <f>SUM(O550:O554)</f>
        <v/>
      </c>
      <c r="P549" s="462" t="n"/>
      <c r="Q549" s="1349" t="n"/>
    </row>
    <row r="550" outlineLevel="1" ht="38.25" customHeight="1">
      <c r="A550" s="393">
        <f>'01_Preço'!$A$328</f>
        <v/>
      </c>
      <c r="B550" s="389">
        <f>'01_Preço'!A329</f>
        <v/>
      </c>
      <c r="C550" s="389">
        <f>'01_Preço'!B329</f>
        <v/>
      </c>
      <c r="D550" s="423">
        <f>'01_Preço'!E329</f>
        <v/>
      </c>
      <c r="E550" s="450" t="n">
        <v>16</v>
      </c>
      <c r="F550" s="1339">
        <f>VLOOKUP(E550,'Tabela de mês'!$A$1:$B$70,2,TRUE)</f>
        <v/>
      </c>
      <c r="G550" s="511" t="inlineStr">
        <is>
          <t>283-SER</t>
        </is>
      </c>
      <c r="H550" s="163" t="inlineStr">
        <is>
          <t>INSIGHT</t>
        </is>
      </c>
      <c r="I550" s="163" t="inlineStr">
        <is>
          <t>INSIGHT</t>
        </is>
      </c>
      <c r="J550" s="163" t="n"/>
      <c r="K550" s="163" t="n"/>
      <c r="L550" s="423" t="inlineStr">
        <is>
          <t>Aprovação do Plano de Emissão de Documentos da Infraestrutura Elétrica</t>
        </is>
      </c>
      <c r="M550" s="391">
        <f>O550/$O$549</f>
        <v/>
      </c>
      <c r="N550" s="1340" t="n"/>
      <c r="O550" s="1340" t="n">
        <v>7947.74</v>
      </c>
      <c r="P550" s="563" t="n"/>
      <c r="Q550" s="1347" t="n"/>
      <c r="S550" s="662" t="inlineStr">
        <is>
          <t>SIM</t>
        </is>
      </c>
    </row>
    <row r="551" outlineLevel="1" ht="27.6" customHeight="1">
      <c r="A551" s="393">
        <f>'01_Preço'!$A$328</f>
        <v/>
      </c>
      <c r="B551" s="389">
        <f>'01_Preço'!A329</f>
        <v/>
      </c>
      <c r="C551" s="389">
        <f>'01_Preço'!B329</f>
        <v/>
      </c>
      <c r="D551" s="423">
        <f>'01_Preço'!E329</f>
        <v/>
      </c>
      <c r="E551" s="730" t="n">
        <v>23</v>
      </c>
      <c r="F551" s="1339">
        <f>VLOOKUP(E551,'Tabela de mês'!$A$1:$B$70,2,TRUE)</f>
        <v/>
      </c>
      <c r="G551" s="510" t="inlineStr">
        <is>
          <t>284-SER</t>
        </is>
      </c>
      <c r="H551" s="163" t="inlineStr">
        <is>
          <t>INSIGHT</t>
        </is>
      </c>
      <c r="I551" s="163" t="inlineStr">
        <is>
          <t>INSIGHT</t>
        </is>
      </c>
      <c r="J551" s="163" t="n"/>
      <c r="K551" s="163" t="n"/>
      <c r="L551" s="342" t="inlineStr">
        <is>
          <t>Aprovação completa dos Documentos do Projeto Executivo do Sistema de Iluminação e Tomadas</t>
        </is>
      </c>
      <c r="M551" s="391">
        <f>O551/$O$549</f>
        <v/>
      </c>
      <c r="N551" s="1340" t="n"/>
      <c r="O551" s="1340" t="n">
        <v>120385.59</v>
      </c>
      <c r="P551" s="561" t="n">
        <v>22</v>
      </c>
      <c r="Q551" s="1347" t="n">
        <v>209300</v>
      </c>
    </row>
    <row r="552" outlineLevel="1" ht="27.6" customHeight="1">
      <c r="A552" s="393">
        <f>'01_Preço'!$A$328</f>
        <v/>
      </c>
      <c r="B552" s="389">
        <f>'01_Preço'!A329</f>
        <v/>
      </c>
      <c r="C552" s="389">
        <f>'01_Preço'!B329</f>
        <v/>
      </c>
      <c r="D552" s="423">
        <f>'01_Preço'!E329</f>
        <v/>
      </c>
      <c r="E552" s="730" t="n">
        <v>24</v>
      </c>
      <c r="F552" s="1339">
        <f>VLOOKUP(E552,'Tabela de mês'!$A$1:$B$70,2,TRUE)</f>
        <v/>
      </c>
      <c r="G552" s="510" t="inlineStr">
        <is>
          <t>285-SER</t>
        </is>
      </c>
      <c r="H552" s="163" t="inlineStr">
        <is>
          <t>INSIGHT</t>
        </is>
      </c>
      <c r="I552" s="163" t="inlineStr">
        <is>
          <t>INSIGHT</t>
        </is>
      </c>
      <c r="J552" s="163" t="n"/>
      <c r="K552" s="163" t="n"/>
      <c r="L552" s="342" t="inlineStr">
        <is>
          <t>Aprovação completa dos Documentos do Projeto Executivo do Sistema de Vias para cabos e de Condutores</t>
        </is>
      </c>
      <c r="M552" s="391">
        <f>O552/$O$549</f>
        <v/>
      </c>
      <c r="N552" s="1340" t="n"/>
      <c r="O552" s="1340" t="n">
        <v>120385.59</v>
      </c>
      <c r="P552" s="561" t="n">
        <v>22</v>
      </c>
      <c r="Q552" s="1347" t="n">
        <v>209300</v>
      </c>
    </row>
    <row r="553" outlineLevel="1" ht="27.6" customHeight="1">
      <c r="A553" s="393">
        <f>'01_Preço'!$A$328</f>
        <v/>
      </c>
      <c r="B553" s="389">
        <f>'01_Preço'!A329</f>
        <v/>
      </c>
      <c r="C553" s="389">
        <f>'01_Preço'!B329</f>
        <v/>
      </c>
      <c r="D553" s="423">
        <f>'01_Preço'!E329</f>
        <v/>
      </c>
      <c r="E553" s="730" t="n">
        <v>25</v>
      </c>
      <c r="F553" s="1339">
        <f>VLOOKUP(E553,'Tabela de mês'!$A$1:$B$70,2,TRUE)</f>
        <v/>
      </c>
      <c r="G553" s="510" t="inlineStr">
        <is>
          <t>286-SER</t>
        </is>
      </c>
      <c r="H553" s="163" t="inlineStr">
        <is>
          <t>INSIGHT</t>
        </is>
      </c>
      <c r="I553" s="163" t="inlineStr">
        <is>
          <t>INSIGHT</t>
        </is>
      </c>
      <c r="J553" s="163" t="n"/>
      <c r="K553" s="163" t="n"/>
      <c r="L553" s="342" t="inlineStr">
        <is>
          <t>Aprovação completa dos Documentos do Projeto Executivo do Sistemas de aterramento e equipotencialização</t>
        </is>
      </c>
      <c r="M553" s="391">
        <f>O553/$O$549</f>
        <v/>
      </c>
      <c r="N553" s="1340" t="n"/>
      <c r="O553" s="1340" t="n">
        <v>120385.59</v>
      </c>
      <c r="P553" s="561" t="n">
        <v>22</v>
      </c>
      <c r="Q553" s="1347" t="n">
        <v>150000</v>
      </c>
    </row>
    <row r="554" outlineLevel="1" ht="14.4" customHeight="1">
      <c r="A554" s="228">
        <f>'01_Preço'!$A$328</f>
        <v/>
      </c>
      <c r="B554" s="161">
        <f>'01_Preço'!A329</f>
        <v/>
      </c>
      <c r="C554" s="161">
        <f>'01_Preço'!B329</f>
        <v/>
      </c>
      <c r="D554" s="162">
        <f>'01_Preço'!E329</f>
        <v/>
      </c>
      <c r="E554" s="453" t="n">
        <v>65</v>
      </c>
      <c r="F554" s="1343">
        <f>VLOOKUP(E554,'Tabela de mês'!$A$1:$B$70,2,TRUE)</f>
        <v/>
      </c>
      <c r="G554" s="513" t="inlineStr">
        <is>
          <t>287-SER</t>
        </is>
      </c>
      <c r="H554" s="161" t="inlineStr">
        <is>
          <t>INSIGHT</t>
        </is>
      </c>
      <c r="I554" s="161" t="inlineStr">
        <is>
          <t>INSIGHT</t>
        </is>
      </c>
      <c r="J554" s="161" t="n"/>
      <c r="K554" s="161" t="n"/>
      <c r="L554" s="164" t="inlineStr">
        <is>
          <t>Aprovação da versão conforme construído do Projeto da Infraestrutura Elétrica</t>
        </is>
      </c>
      <c r="M554" s="416">
        <f>O554/$O$549</f>
        <v/>
      </c>
      <c r="N554" s="1344" t="n"/>
      <c r="O554" s="1373" t="n">
        <v>30895.48</v>
      </c>
      <c r="P554" s="561" t="n">
        <v>65</v>
      </c>
      <c r="Q554" s="1347" t="n">
        <v>593000</v>
      </c>
    </row>
    <row r="555" outlineLevel="1" ht="14.4" customHeight="1">
      <c r="A555" s="463">
        <f>'01_Preço'!$A$328</f>
        <v/>
      </c>
      <c r="B555" s="469">
        <f>'01_Preço'!A331</f>
        <v/>
      </c>
      <c r="C555" s="469">
        <f>'01_Preço'!B331</f>
        <v/>
      </c>
      <c r="D555" s="471" t="inlineStr">
        <is>
          <t>Equipamentos e materiais</t>
        </is>
      </c>
      <c r="E555" s="462" t="n"/>
      <c r="F555" s="462" t="n"/>
      <c r="G555" s="441" t="n"/>
      <c r="H555" s="441" t="n"/>
      <c r="I555" s="441" t="n"/>
      <c r="J555" s="441" t="n"/>
      <c r="K555" s="441" t="n"/>
      <c r="L555" s="471">
        <f>'01_Preço'!E331</f>
        <v/>
      </c>
      <c r="M555" s="443">
        <f>O555/$N$548</f>
        <v/>
      </c>
      <c r="N555" s="1365" t="n"/>
      <c r="O555" s="1349">
        <f>SUM(O556:O559)</f>
        <v/>
      </c>
      <c r="P555" s="556" t="n"/>
      <c r="Q555" s="1349" t="n"/>
    </row>
    <row r="556" outlineLevel="1" ht="27.6" customHeight="1">
      <c r="A556" s="228">
        <f>'01_Preço'!$A$328</f>
        <v/>
      </c>
      <c r="B556" s="163">
        <f>'01_Preço'!$A$331</f>
        <v/>
      </c>
      <c r="C556" s="163">
        <f>'01_Preço'!$B$331</f>
        <v/>
      </c>
      <c r="D556" s="167" t="inlineStr">
        <is>
          <t>Desmontagem e montagem eletromecânica completa</t>
        </is>
      </c>
      <c r="E556" s="453" t="n">
        <v>29</v>
      </c>
      <c r="F556" s="1343">
        <f>VLOOKUP(E556,'Tabela de mês'!$A$1:$B$70,2,TRUE)</f>
        <v/>
      </c>
      <c r="G556" s="510" t="inlineStr">
        <is>
          <t>288-SER A</t>
        </is>
      </c>
      <c r="H556" s="161" t="inlineStr">
        <is>
          <t>INSIGHT</t>
        </is>
      </c>
      <c r="I556" s="161" t="inlineStr">
        <is>
          <t>INSIGHT</t>
        </is>
      </c>
      <c r="J556" s="161" t="n"/>
      <c r="K556" s="161" t="n"/>
      <c r="L556" s="164" t="inlineStr">
        <is>
          <t>Conclusão da desmontagem da infraestrutura elétrica, integrada aos demais equipamentos e sistemas 1ª UF</t>
        </is>
      </c>
      <c r="M556" s="416">
        <f>O556/$O$555</f>
        <v/>
      </c>
      <c r="N556" s="1364" t="n"/>
      <c r="O556" s="1342" t="n">
        <v>158292.08</v>
      </c>
      <c r="P556" s="561" t="n"/>
      <c r="Q556" s="1347" t="n"/>
    </row>
    <row r="557" outlineLevel="1" ht="27.6" customHeight="1">
      <c r="A557" s="228">
        <f>'01_Preço'!$A$328</f>
        <v/>
      </c>
      <c r="B557" s="163">
        <f>'01_Preço'!$A$331</f>
        <v/>
      </c>
      <c r="C557" s="163">
        <f>'01_Preço'!$B$331</f>
        <v/>
      </c>
      <c r="D557" s="167" t="inlineStr">
        <is>
          <t>Desmontagem e montagem eletromecânica completa</t>
        </is>
      </c>
      <c r="E557" s="453" t="n">
        <v>39</v>
      </c>
      <c r="F557" s="1343">
        <f>VLOOKUP(E557,'Tabela de mês'!$A$1:$B$70,2,TRUE)</f>
        <v/>
      </c>
      <c r="G557" s="510" t="inlineStr">
        <is>
          <t>289-SER A</t>
        </is>
      </c>
      <c r="H557" s="161" t="inlineStr">
        <is>
          <t>INSIGHT</t>
        </is>
      </c>
      <c r="I557" s="161" t="inlineStr">
        <is>
          <t>INSIGHT</t>
        </is>
      </c>
      <c r="J557" s="161" t="n"/>
      <c r="K557" s="161" t="n"/>
      <c r="L557" s="164" t="inlineStr">
        <is>
          <t>Conclusão da desmontagem da infraestrutura elétrica, integrada aos demais equipamentos e sistemas 2ª UF</t>
        </is>
      </c>
      <c r="M557" s="416">
        <f>O557/$O$555</f>
        <v/>
      </c>
      <c r="N557" s="1364" t="n"/>
      <c r="O557" s="1342" t="n">
        <v>158292.08</v>
      </c>
      <c r="P557" s="561" t="n"/>
      <c r="Q557" s="1347" t="n"/>
    </row>
    <row r="558" outlineLevel="1" ht="27.6" customHeight="1">
      <c r="A558" s="228">
        <f>'01_Preço'!$A$328</f>
        <v/>
      </c>
      <c r="B558" s="163">
        <f>'01_Preço'!$A$331</f>
        <v/>
      </c>
      <c r="C558" s="163">
        <f>'01_Preço'!$B$331</f>
        <v/>
      </c>
      <c r="D558" s="167" t="inlineStr">
        <is>
          <t>Desmontagem e montagem eletromecânica completa</t>
        </is>
      </c>
      <c r="E558" s="453" t="n">
        <v>49</v>
      </c>
      <c r="F558" s="1343">
        <f>VLOOKUP(E558,'Tabela de mês'!$A$1:$B$70,2,TRUE)</f>
        <v/>
      </c>
      <c r="G558" s="510" t="inlineStr">
        <is>
          <t>290-SER A</t>
        </is>
      </c>
      <c r="H558" s="161" t="inlineStr">
        <is>
          <t>INSIGHT</t>
        </is>
      </c>
      <c r="I558" s="161" t="inlineStr">
        <is>
          <t>INSIGHT</t>
        </is>
      </c>
      <c r="J558" s="161" t="n"/>
      <c r="K558" s="161" t="n"/>
      <c r="L558" s="164" t="inlineStr">
        <is>
          <t>Conclusão da desmontagem da infraestrutura elétrica, integrada aos demais equipamentos e sistemas 3ª UF</t>
        </is>
      </c>
      <c r="M558" s="416">
        <f>O558/$O$555</f>
        <v/>
      </c>
      <c r="N558" s="1364" t="n"/>
      <c r="O558" s="1342" t="n">
        <v>158292.08</v>
      </c>
      <c r="P558" s="561" t="n"/>
      <c r="Q558" s="1347" t="n"/>
    </row>
    <row r="559" outlineLevel="1" ht="27.6" customHeight="1">
      <c r="A559" s="228">
        <f>'01_Preço'!$A$328</f>
        <v/>
      </c>
      <c r="B559" s="163">
        <f>'01_Preço'!$A$331</f>
        <v/>
      </c>
      <c r="C559" s="163">
        <f>'01_Preço'!$B$331</f>
        <v/>
      </c>
      <c r="D559" s="167" t="inlineStr">
        <is>
          <t>Desmontagem e montagem eletromecânica completa</t>
        </is>
      </c>
      <c r="E559" s="453" t="n">
        <v>61</v>
      </c>
      <c r="F559" s="1343">
        <f>VLOOKUP(E559,'Tabela de mês'!$A$1:$B$70,2,TRUE)</f>
        <v/>
      </c>
      <c r="G559" s="510" t="inlineStr">
        <is>
          <t>291-SER A</t>
        </is>
      </c>
      <c r="H559" s="161" t="inlineStr">
        <is>
          <t>INSIGHT</t>
        </is>
      </c>
      <c r="I559" s="161" t="inlineStr">
        <is>
          <t>INSIGHT</t>
        </is>
      </c>
      <c r="J559" s="161" t="n"/>
      <c r="K559" s="161" t="n"/>
      <c r="L559" s="164" t="inlineStr">
        <is>
          <t>Conclusão da desmontagem da infraestrutura elétrica, integrada aos demais equipamentos e sistemas 4ª UF</t>
        </is>
      </c>
      <c r="M559" s="416">
        <f>O559/$O$555</f>
        <v/>
      </c>
      <c r="N559" s="1364" t="n"/>
      <c r="O559" s="1342" t="n">
        <v>158292.08</v>
      </c>
      <c r="P559" s="561" t="n"/>
      <c r="Q559" s="1347" t="n"/>
    </row>
    <row r="560" outlineLevel="1" ht="14.4" customHeight="1">
      <c r="A560" s="463">
        <f>'01_Preço'!$A$328</f>
        <v/>
      </c>
      <c r="B560" s="469">
        <f>'01_Preço'!A331</f>
        <v/>
      </c>
      <c r="C560" s="469">
        <f>'01_Preço'!B331</f>
        <v/>
      </c>
      <c r="D560" s="471" t="inlineStr">
        <is>
          <t>Equipamentos e materiais</t>
        </is>
      </c>
      <c r="E560" s="462" t="n"/>
      <c r="F560" s="462" t="n"/>
      <c r="G560" s="441" t="n"/>
      <c r="H560" s="441" t="n"/>
      <c r="I560" s="441" t="n"/>
      <c r="J560" s="441" t="n"/>
      <c r="K560" s="441" t="n"/>
      <c r="L560" s="471">
        <f>'01_Preço'!E331</f>
        <v/>
      </c>
      <c r="M560" s="443">
        <f>O560/$N$548</f>
        <v/>
      </c>
      <c r="N560" s="1365" t="n"/>
      <c r="O560" s="1349">
        <f>SUM(O561:O565)</f>
        <v/>
      </c>
      <c r="P560" s="556" t="n"/>
      <c r="Q560" s="1349" t="n"/>
    </row>
    <row r="561" outlineLevel="1" ht="27.6" customHeight="1">
      <c r="A561" s="228">
        <f>'01_Preço'!$A$328</f>
        <v/>
      </c>
      <c r="B561" s="163">
        <f>'01_Preço'!$A$331</f>
        <v/>
      </c>
      <c r="C561" s="163">
        <f>'01_Preço'!$B$331</f>
        <v/>
      </c>
      <c r="D561" s="167" t="inlineStr">
        <is>
          <t>Desmontagem e montagem eletromecânica completa</t>
        </is>
      </c>
      <c r="E561" s="453" t="n">
        <v>33</v>
      </c>
      <c r="F561" s="1343">
        <f>VLOOKUP(E561,'Tabela de mês'!$A$1:$B$70,2,TRUE)</f>
        <v/>
      </c>
      <c r="G561" s="510" t="inlineStr">
        <is>
          <t>288-SER B</t>
        </is>
      </c>
      <c r="H561" s="161" t="inlineStr">
        <is>
          <t>INSIGHT</t>
        </is>
      </c>
      <c r="I561" s="161" t="inlineStr">
        <is>
          <t>INSIGHT</t>
        </is>
      </c>
      <c r="J561" s="161" t="n"/>
      <c r="K561" s="161" t="n"/>
      <c r="L561" s="164" t="inlineStr">
        <is>
          <t>Conclusão da montagem  da infraestrutura elétrica, integrada aos demais equipamentos e sistemas 1ª UF</t>
        </is>
      </c>
      <c r="M561" s="416">
        <f>O561/$O$555</f>
        <v/>
      </c>
      <c r="N561" s="1364" t="n"/>
      <c r="O561" s="1342" t="n">
        <v>158292.08</v>
      </c>
      <c r="P561" s="561" t="n"/>
      <c r="Q561" s="1347" t="n"/>
    </row>
    <row r="562" outlineLevel="1" ht="27.6" customHeight="1">
      <c r="A562" s="228">
        <f>'01_Preço'!$A$328</f>
        <v/>
      </c>
      <c r="B562" s="163">
        <f>'01_Preço'!$A$331</f>
        <v/>
      </c>
      <c r="C562" s="163">
        <f>'01_Preço'!$B$331</f>
        <v/>
      </c>
      <c r="D562" s="167" t="inlineStr">
        <is>
          <t>Desmontagem e montagem eletromecânica completa</t>
        </is>
      </c>
      <c r="E562" s="453" t="n">
        <v>45</v>
      </c>
      <c r="F562" s="1343">
        <f>VLOOKUP(E562,'Tabela de mês'!$A$1:$B$70,2,TRUE)</f>
        <v/>
      </c>
      <c r="G562" s="510" t="inlineStr">
        <is>
          <t>289-SER B</t>
        </is>
      </c>
      <c r="H562" s="161" t="inlineStr">
        <is>
          <t>INSIGHT</t>
        </is>
      </c>
      <c r="I562" s="161" t="inlineStr">
        <is>
          <t>INSIGHT</t>
        </is>
      </c>
      <c r="J562" s="161" t="n"/>
      <c r="K562" s="161" t="n"/>
      <c r="L562" s="164" t="inlineStr">
        <is>
          <t>Conclusão da montagem  da infraestrutura elétrica, integrada aos demais equipamentos e sistemas 2ª UF</t>
        </is>
      </c>
      <c r="M562" s="416">
        <f>O562/$O$555</f>
        <v/>
      </c>
      <c r="N562" s="1364" t="n"/>
      <c r="O562" s="1342" t="n">
        <v>158292.08</v>
      </c>
      <c r="P562" s="561" t="n"/>
      <c r="Q562" s="1347" t="n"/>
    </row>
    <row r="563" outlineLevel="1" ht="27.6" customHeight="1">
      <c r="A563" s="228">
        <f>'01_Preço'!$A$328</f>
        <v/>
      </c>
      <c r="B563" s="163">
        <f>'01_Preço'!$A$331</f>
        <v/>
      </c>
      <c r="C563" s="163">
        <f>'01_Preço'!$B$331</f>
        <v/>
      </c>
      <c r="D563" s="167" t="inlineStr">
        <is>
          <t>Desmontagem e montagem eletromecânica completa</t>
        </is>
      </c>
      <c r="E563" s="453" t="n">
        <v>55</v>
      </c>
      <c r="F563" s="1343">
        <f>VLOOKUP(E563,'Tabela de mês'!$A$1:$B$70,2,TRUE)</f>
        <v/>
      </c>
      <c r="G563" s="510" t="inlineStr">
        <is>
          <t>290-SER B</t>
        </is>
      </c>
      <c r="H563" s="161" t="inlineStr">
        <is>
          <t>INSIGHT</t>
        </is>
      </c>
      <c r="I563" s="161" t="inlineStr">
        <is>
          <t>INSIGHT</t>
        </is>
      </c>
      <c r="J563" s="161" t="n"/>
      <c r="K563" s="161" t="n"/>
      <c r="L563" s="164" t="inlineStr">
        <is>
          <t>Conclusão da montagem  da infraestrutura elétrica, integrada aos demais equipamentos e sistemas 3ª UF</t>
        </is>
      </c>
      <c r="M563" s="416">
        <f>O563/$O$555</f>
        <v/>
      </c>
      <c r="N563" s="1364" t="n"/>
      <c r="O563" s="1342" t="n">
        <v>158292.08</v>
      </c>
      <c r="P563" s="561" t="n"/>
      <c r="Q563" s="1347" t="n"/>
    </row>
    <row r="564" outlineLevel="1" ht="27.6" customHeight="1">
      <c r="A564" s="228">
        <f>'01_Preço'!$A$328</f>
        <v/>
      </c>
      <c r="B564" s="163">
        <f>'01_Preço'!$A$331</f>
        <v/>
      </c>
      <c r="C564" s="163">
        <f>'01_Preço'!$B$331</f>
        <v/>
      </c>
      <c r="D564" s="167" t="inlineStr">
        <is>
          <t>Desmontagem e montagem eletromecânica completa</t>
        </is>
      </c>
      <c r="E564" s="453" t="n">
        <v>65</v>
      </c>
      <c r="F564" s="1343">
        <f>VLOOKUP(E564,'Tabela de mês'!$A$1:$B$70,2,TRUE)</f>
        <v/>
      </c>
      <c r="G564" s="510" t="inlineStr">
        <is>
          <t>291-SER B</t>
        </is>
      </c>
      <c r="H564" s="161" t="inlineStr">
        <is>
          <t>INSIGHT</t>
        </is>
      </c>
      <c r="I564" s="161" t="inlineStr">
        <is>
          <t>INSIGHT</t>
        </is>
      </c>
      <c r="J564" s="161" t="n"/>
      <c r="K564" s="161" t="n"/>
      <c r="L564" s="164" t="inlineStr">
        <is>
          <t>Conclusão da montagem  da infraestrutura elétrica, integrada aos demais equipamentos e sistemas 4ª UF</t>
        </is>
      </c>
      <c r="M564" s="416">
        <f>O564/$O$555</f>
        <v/>
      </c>
      <c r="N564" s="1364" t="n"/>
      <c r="O564" s="1342" t="n">
        <v>158292.08</v>
      </c>
      <c r="P564" s="561" t="n"/>
      <c r="Q564" s="1347" t="n"/>
    </row>
    <row r="565" outlineLevel="1" ht="27.6" customHeight="1">
      <c r="A565" s="228">
        <f>'01_Preço'!$A$328</f>
        <v/>
      </c>
      <c r="B565" s="163">
        <f>'01_Preço'!$A$331</f>
        <v/>
      </c>
      <c r="C565" s="163">
        <f>'01_Preço'!$B$331</f>
        <v/>
      </c>
      <c r="D565" s="167" t="inlineStr">
        <is>
          <t>Desmontagem e montagem eletromecânica completa</t>
        </is>
      </c>
      <c r="E565" s="453" t="n">
        <v>65</v>
      </c>
      <c r="F565" s="1343">
        <f>VLOOKUP(E565,'Tabela de mês'!$A$1:$B$70,2,TRUE)</f>
        <v/>
      </c>
      <c r="G565" s="510" t="inlineStr">
        <is>
          <t>291-SER C</t>
        </is>
      </c>
      <c r="H565" s="161" t="inlineStr">
        <is>
          <t>INSIGHT</t>
        </is>
      </c>
      <c r="I565" s="161" t="inlineStr">
        <is>
          <t>INSIGHT</t>
        </is>
      </c>
      <c r="J565" s="161" t="n"/>
      <c r="K565" s="161" t="n"/>
      <c r="L565" s="164" t="inlineStr">
        <is>
          <t>Conclusão da montagem  da infraestrutura elétrica de iluminação, tomadas e casa de força (L1 L2, L3, L4 e L5)</t>
        </is>
      </c>
      <c r="M565" s="416">
        <f>O565/$O$555</f>
        <v/>
      </c>
      <c r="N565" s="1364" t="n"/>
      <c r="O565" s="1342" t="n">
        <v>158292.08</v>
      </c>
      <c r="P565" s="561" t="n"/>
      <c r="Q565" s="1347" t="n"/>
    </row>
    <row r="566" outlineLevel="1" ht="24.6" customHeight="1">
      <c r="A566" s="463">
        <f>'01_Preço'!$A$328</f>
        <v/>
      </c>
      <c r="B566" s="469">
        <f>'01_Preço'!A333</f>
        <v/>
      </c>
      <c r="C566" s="469">
        <f>'01_Preço'!B333</f>
        <v/>
      </c>
      <c r="D566" s="471" t="inlineStr">
        <is>
          <t>Equipamentos e materiais</t>
        </is>
      </c>
      <c r="E566" s="462" t="n"/>
      <c r="F566" s="462" t="n"/>
      <c r="G566" s="441" t="n"/>
      <c r="H566" s="441" t="n"/>
      <c r="I566" s="441" t="n"/>
      <c r="J566" s="441" t="n"/>
      <c r="K566" s="441" t="n"/>
      <c r="L566" s="471">
        <f>'01_Preço'!E333</f>
        <v/>
      </c>
      <c r="M566" s="443">
        <f>O566/$N$548</f>
        <v/>
      </c>
      <c r="N566" s="1365" t="n"/>
      <c r="O566" s="1349">
        <f>SUM(O567:O571)</f>
        <v/>
      </c>
      <c r="P566" s="556" t="n"/>
      <c r="Q566" s="1349" t="n"/>
    </row>
    <row r="567" outlineLevel="1" ht="27.6" customHeight="1">
      <c r="A567" s="228">
        <f>'01_Preço'!$A$328</f>
        <v/>
      </c>
      <c r="B567" s="163">
        <f>'01_Preço'!A333</f>
        <v/>
      </c>
      <c r="C567" s="163">
        <f>'01_Preço'!B333</f>
        <v/>
      </c>
      <c r="D567" s="167">
        <f>'01_Preço'!E333</f>
        <v/>
      </c>
      <c r="E567" s="453" t="n">
        <v>34</v>
      </c>
      <c r="F567" s="1343">
        <f>VLOOKUP(E567,'Tabela de mês'!$A$1:$B$70,2,TRUE)</f>
        <v/>
      </c>
      <c r="G567" s="510" t="inlineStr">
        <is>
          <t>299-SER A</t>
        </is>
      </c>
      <c r="H567" s="161" t="inlineStr">
        <is>
          <t>INSIGHT</t>
        </is>
      </c>
      <c r="I567" s="161" t="inlineStr">
        <is>
          <t>INSIGHT</t>
        </is>
      </c>
      <c r="J567" s="161" t="n"/>
      <c r="K567" s="161" t="n"/>
      <c r="L567" s="164" t="inlineStr">
        <is>
          <t>Conclusão do comissionamento  da infraestrutura elétrica, integrada aos demais equipamentos e sistemas 1ª UF</t>
        </is>
      </c>
      <c r="M567" s="416">
        <f>O567/$O$566</f>
        <v/>
      </c>
      <c r="N567" s="1364" t="n"/>
      <c r="O567" s="1342" t="n">
        <v>155050.76</v>
      </c>
      <c r="P567" s="561" t="n"/>
      <c r="Q567" s="1347" t="n"/>
    </row>
    <row r="568" outlineLevel="1" ht="27.6" customHeight="1">
      <c r="A568" s="228">
        <f>'01_Preço'!$A$328</f>
        <v/>
      </c>
      <c r="B568" s="163">
        <f>'01_Preço'!A333</f>
        <v/>
      </c>
      <c r="C568" s="163">
        <f>'01_Preço'!B333</f>
        <v/>
      </c>
      <c r="D568" s="167">
        <f>'01_Preço'!E333</f>
        <v/>
      </c>
      <c r="E568" s="453" t="n">
        <v>46</v>
      </c>
      <c r="F568" s="1343">
        <f>VLOOKUP(E568,'Tabela de mês'!$A$1:$B$70,2,TRUE)</f>
        <v/>
      </c>
      <c r="G568" s="510" t="inlineStr">
        <is>
          <t>299-SER B</t>
        </is>
      </c>
      <c r="H568" s="161" t="inlineStr">
        <is>
          <t>INSIGHT</t>
        </is>
      </c>
      <c r="I568" s="161" t="inlineStr">
        <is>
          <t>INSIGHT</t>
        </is>
      </c>
      <c r="J568" s="161" t="n"/>
      <c r="K568" s="161" t="n"/>
      <c r="L568" s="164" t="inlineStr">
        <is>
          <t>Conclusão do comissionamento  da infraestrutura elétrica, integrada aos demais equipamentos e sistemas 2ª UF</t>
        </is>
      </c>
      <c r="M568" s="416">
        <f>O568/$O$566</f>
        <v/>
      </c>
      <c r="N568" s="1364" t="n"/>
      <c r="O568" s="1342" t="n">
        <v>22150.11</v>
      </c>
      <c r="P568" s="561" t="n"/>
      <c r="Q568" s="1347" t="n"/>
    </row>
    <row r="569" outlineLevel="1" ht="27.6" customHeight="1">
      <c r="A569" s="228">
        <f>'01_Preço'!$A$328</f>
        <v/>
      </c>
      <c r="B569" s="163">
        <f>'01_Preço'!A333</f>
        <v/>
      </c>
      <c r="C569" s="163">
        <f>'01_Preço'!B333</f>
        <v/>
      </c>
      <c r="D569" s="167">
        <f>'01_Preço'!E333</f>
        <v/>
      </c>
      <c r="E569" s="453" t="n">
        <v>56</v>
      </c>
      <c r="F569" s="1343">
        <f>VLOOKUP(E569,'Tabela de mês'!$A$1:$B$70,2,TRUE)</f>
        <v/>
      </c>
      <c r="G569" s="510" t="inlineStr">
        <is>
          <t>300-SER A</t>
        </is>
      </c>
      <c r="H569" s="161" t="inlineStr">
        <is>
          <t>INSIGHT</t>
        </is>
      </c>
      <c r="I569" s="161" t="inlineStr">
        <is>
          <t>INSIGHT</t>
        </is>
      </c>
      <c r="J569" s="161" t="n"/>
      <c r="K569" s="161" t="n"/>
      <c r="L569" s="164" t="inlineStr">
        <is>
          <t>Conclusão do comissionamento  da infraestrutura elétrica, integrada aos demais equipamentos e sistemas 3ª UF</t>
        </is>
      </c>
      <c r="M569" s="416">
        <f>O569/$O$566</f>
        <v/>
      </c>
      <c r="N569" s="1364" t="n"/>
      <c r="O569" s="1342" t="n">
        <v>44300.22</v>
      </c>
      <c r="P569" s="561" t="n"/>
      <c r="Q569" s="1347" t="n"/>
    </row>
    <row r="570" outlineLevel="1" ht="27.6" customHeight="1">
      <c r="A570" s="228">
        <f>'01_Preço'!$A$328</f>
        <v/>
      </c>
      <c r="B570" s="163">
        <f>'01_Preço'!A333</f>
        <v/>
      </c>
      <c r="C570" s="163">
        <f>'01_Preço'!B333</f>
        <v/>
      </c>
      <c r="D570" s="167">
        <f>'01_Preço'!E333</f>
        <v/>
      </c>
      <c r="E570" s="453" t="n">
        <v>66</v>
      </c>
      <c r="F570" s="1343">
        <f>VLOOKUP(E570,'Tabela de mês'!$A$1:$B$70,2,TRUE)</f>
        <v/>
      </c>
      <c r="G570" s="510" t="inlineStr">
        <is>
          <t>300-SER B</t>
        </is>
      </c>
      <c r="H570" s="161" t="inlineStr">
        <is>
          <t>INSIGHT</t>
        </is>
      </c>
      <c r="I570" s="161" t="inlineStr">
        <is>
          <t>INSIGHT</t>
        </is>
      </c>
      <c r="J570" s="161" t="n"/>
      <c r="K570" s="161" t="n"/>
      <c r="L570" s="164" t="inlineStr">
        <is>
          <t>Conclusão do comissionamento  da infraestrutura elétrica, integrada aos demais equipamentos e sistemas 4ª UF</t>
        </is>
      </c>
      <c r="M570" s="416">
        <f>O570/$O$566</f>
        <v/>
      </c>
      <c r="N570" s="1364" t="n"/>
      <c r="O570" s="1342" t="n">
        <v>22150.11</v>
      </c>
      <c r="P570" s="561" t="n"/>
      <c r="Q570" s="1347" t="n"/>
    </row>
    <row r="571" outlineLevel="1" ht="27.6" customHeight="1">
      <c r="A571" s="228">
        <f>'01_Preço'!$A$328</f>
        <v/>
      </c>
      <c r="B571" s="163">
        <f>'01_Preço'!A333</f>
        <v/>
      </c>
      <c r="C571" s="163">
        <f>'01_Preço'!B333</f>
        <v/>
      </c>
      <c r="D571" s="167">
        <f>'01_Preço'!E333</f>
        <v/>
      </c>
      <c r="E571" s="453" t="n">
        <v>66</v>
      </c>
      <c r="F571" s="1343">
        <f>VLOOKUP(E571,'Tabela de mês'!$A$1:$B$70,2,TRUE)</f>
        <v/>
      </c>
      <c r="G571" s="510" t="inlineStr">
        <is>
          <t>298-SER</t>
        </is>
      </c>
      <c r="H571" s="161" t="inlineStr">
        <is>
          <t>INSIGHT</t>
        </is>
      </c>
      <c r="I571" s="161" t="inlineStr">
        <is>
          <t>INSIGHT</t>
        </is>
      </c>
      <c r="J571" s="161" t="n"/>
      <c r="K571" s="161" t="n"/>
      <c r="L571" s="164" t="inlineStr">
        <is>
          <t>Conclusão do comissionamento  da infraestrutura elétrica de iluminação, tomadas e casa de força (L1 L2, L3, L4 e L5)</t>
        </is>
      </c>
      <c r="M571" s="416">
        <f>O571/$O$566</f>
        <v/>
      </c>
      <c r="N571" s="1364" t="n"/>
      <c r="O571" s="1342" t="n">
        <v>22150.11</v>
      </c>
      <c r="P571" s="561" t="n"/>
      <c r="Q571" s="1347" t="n"/>
    </row>
    <row r="572" outlineLevel="1" ht="24.6" customHeight="1">
      <c r="A572" s="463">
        <f>'01_Preço'!$A$328</f>
        <v/>
      </c>
      <c r="B572" s="469">
        <f>'01_Preço'!A335</f>
        <v/>
      </c>
      <c r="C572" s="469">
        <f>'01_Preço'!B335</f>
        <v/>
      </c>
      <c r="D572" s="471" t="inlineStr">
        <is>
          <t>Equipamentos e materiais</t>
        </is>
      </c>
      <c r="E572" s="462" t="n"/>
      <c r="F572" s="462" t="n"/>
      <c r="G572" s="441" t="n"/>
      <c r="H572" s="441" t="n"/>
      <c r="I572" s="441" t="n"/>
      <c r="J572" s="441" t="n"/>
      <c r="K572" s="441" t="n"/>
      <c r="L572" s="471">
        <f>'01_Preço'!E335</f>
        <v/>
      </c>
      <c r="M572" s="443">
        <f>O572/$N$548</f>
        <v/>
      </c>
      <c r="N572" s="1365" t="n"/>
      <c r="O572" s="1349">
        <f>SUM(O573:O574)</f>
        <v/>
      </c>
      <c r="P572" s="556" t="n"/>
      <c r="Q572" s="1349" t="n"/>
    </row>
    <row r="573" outlineLevel="1" ht="27.6" customHeight="1">
      <c r="A573" s="228">
        <f>'01_Preço'!$A$328</f>
        <v/>
      </c>
      <c r="B573" s="163">
        <f>'01_Preço'!A335</f>
        <v/>
      </c>
      <c r="C573" s="163">
        <f>'01_Preço'!B335</f>
        <v/>
      </c>
      <c r="D573" s="167" t="inlineStr">
        <is>
          <t>Equipamentos e materiais</t>
        </is>
      </c>
      <c r="E573" s="453" t="n">
        <v>32</v>
      </c>
      <c r="F573" s="1343">
        <f>VLOOKUP(E573,'Tabela de mês'!$A$1:$B$70,2,TRUE)</f>
        <v/>
      </c>
      <c r="G573" s="510" t="inlineStr">
        <is>
          <t>296-MAT</t>
        </is>
      </c>
      <c r="H573" s="161" t="inlineStr">
        <is>
          <t>INSIGHT</t>
        </is>
      </c>
      <c r="I573" s="161" t="inlineStr">
        <is>
          <t>INSIGHT</t>
        </is>
      </c>
      <c r="J573" s="161" t="n"/>
      <c r="K573" s="161" t="n"/>
      <c r="L573" s="164" t="inlineStr">
        <is>
          <t>Entrega em campo de 50% dos materiais do Sistemas de aterramento e equipotencialização</t>
        </is>
      </c>
      <c r="M573" s="416">
        <f>O573/$O$572</f>
        <v/>
      </c>
      <c r="N573" s="1364" t="n"/>
      <c r="O573" s="1342" t="n">
        <v>135297.03</v>
      </c>
      <c r="P573" s="561" t="n">
        <v>22</v>
      </c>
      <c r="Q573" s="1347" t="n">
        <v>40000</v>
      </c>
    </row>
    <row r="574" outlineLevel="1" ht="27.6" customHeight="1">
      <c r="A574" s="228">
        <f>'01_Preço'!$A$328</f>
        <v/>
      </c>
      <c r="B574" s="163">
        <f>'01_Preço'!A335</f>
        <v/>
      </c>
      <c r="C574" s="163">
        <f>'01_Preço'!B335</f>
        <v/>
      </c>
      <c r="D574" s="167" t="inlineStr">
        <is>
          <t>Equipamentos e materiais</t>
        </is>
      </c>
      <c r="E574" s="453" t="n">
        <v>44</v>
      </c>
      <c r="F574" s="1343">
        <f>VLOOKUP(E574,'Tabela de mês'!$A$1:$B$70,2,TRUE)</f>
        <v/>
      </c>
      <c r="G574" s="510" t="inlineStr">
        <is>
          <t>297-MAT</t>
        </is>
      </c>
      <c r="H574" s="161" t="inlineStr">
        <is>
          <t>INSIGHT</t>
        </is>
      </c>
      <c r="I574" s="161" t="inlineStr">
        <is>
          <t>INSIGHT</t>
        </is>
      </c>
      <c r="J574" s="161" t="n"/>
      <c r="K574" s="161" t="n"/>
      <c r="L574" s="164" t="inlineStr">
        <is>
          <t>Entrega em campo de 100% dos materiais do Sistemas de aterramento e equipotencialização</t>
        </is>
      </c>
      <c r="M574" s="416">
        <f>O574/$O$572</f>
        <v/>
      </c>
      <c r="N574" s="1364" t="n"/>
      <c r="O574" s="1342" t="n">
        <v>135297.03</v>
      </c>
      <c r="P574" s="561" t="n">
        <v>40</v>
      </c>
      <c r="Q574" s="1347" t="n">
        <v>40000</v>
      </c>
    </row>
    <row r="575" outlineLevel="1" ht="24.6" customHeight="1">
      <c r="A575" s="463">
        <f>'01_Preço'!$A$328</f>
        <v/>
      </c>
      <c r="B575" s="469">
        <f>'01_Preço'!A337</f>
        <v/>
      </c>
      <c r="C575" s="469">
        <f>'01_Preço'!B337</f>
        <v/>
      </c>
      <c r="D575" s="471" t="inlineStr">
        <is>
          <t>Equipamentos e materiais</t>
        </is>
      </c>
      <c r="E575" s="462" t="n"/>
      <c r="F575" s="462" t="n"/>
      <c r="G575" s="441" t="n"/>
      <c r="H575" s="441" t="n"/>
      <c r="I575" s="441" t="n"/>
      <c r="J575" s="441" t="n"/>
      <c r="K575" s="441" t="n"/>
      <c r="L575" s="471">
        <f>'01_Preço'!E337</f>
        <v/>
      </c>
      <c r="M575" s="443">
        <f>O575/$N$548</f>
        <v/>
      </c>
      <c r="N575" s="1365" t="n"/>
      <c r="O575" s="1349">
        <f>SUM(O576:O577)</f>
        <v/>
      </c>
      <c r="P575" s="556" t="n"/>
      <c r="Q575" s="1349" t="n"/>
    </row>
    <row r="576" outlineLevel="1" ht="27.6" customHeight="1">
      <c r="A576" s="228">
        <f>'01_Preço'!$A$328</f>
        <v/>
      </c>
      <c r="B576" s="163">
        <f>'01_Preço'!A337</f>
        <v/>
      </c>
      <c r="C576" s="163">
        <f>'01_Preço'!B337</f>
        <v/>
      </c>
      <c r="D576" s="167" t="inlineStr">
        <is>
          <t>Equipamentos e materiais</t>
        </is>
      </c>
      <c r="E576" s="453" t="n">
        <v>32</v>
      </c>
      <c r="F576" s="1343">
        <f>VLOOKUP(E576,'Tabela de mês'!$A$1:$B$70,2,TRUE)</f>
        <v/>
      </c>
      <c r="G576" s="510" t="inlineStr">
        <is>
          <t>294-MAT</t>
        </is>
      </c>
      <c r="H576" s="161" t="inlineStr">
        <is>
          <t>INSIGHT</t>
        </is>
      </c>
      <c r="I576" s="161" t="inlineStr">
        <is>
          <t>INSIGHT</t>
        </is>
      </c>
      <c r="J576" s="161" t="n"/>
      <c r="K576" s="161" t="n"/>
      <c r="L576" s="164" t="inlineStr">
        <is>
          <t>Entrega em campo de 50% dos materiais do Sistema de Vias para cabos e de Condutores</t>
        </is>
      </c>
      <c r="M576" s="391">
        <f>O576/$N$548</f>
        <v/>
      </c>
      <c r="N576" s="1364" t="n"/>
      <c r="O576" s="1342" t="n">
        <v>220297.03</v>
      </c>
      <c r="P576" s="561" t="n">
        <v>22</v>
      </c>
      <c r="Q576" s="1347" t="n">
        <v>120000</v>
      </c>
    </row>
    <row r="577" outlineLevel="1" ht="27.6" customHeight="1">
      <c r="A577" s="228">
        <f>'01_Preço'!$A$328</f>
        <v/>
      </c>
      <c r="B577" s="163">
        <f>'01_Preço'!A337</f>
        <v/>
      </c>
      <c r="C577" s="163">
        <f>'01_Preço'!B337</f>
        <v/>
      </c>
      <c r="D577" s="167" t="inlineStr">
        <is>
          <t>Equipamentos e materiais</t>
        </is>
      </c>
      <c r="E577" s="453" t="n">
        <v>44</v>
      </c>
      <c r="F577" s="1343">
        <f>VLOOKUP(E577,'Tabela de mês'!$A$1:$B$70,2,TRUE)</f>
        <v/>
      </c>
      <c r="G577" s="510" t="inlineStr">
        <is>
          <t>295-MAT</t>
        </is>
      </c>
      <c r="H577" s="161" t="inlineStr">
        <is>
          <t>INSIGHT</t>
        </is>
      </c>
      <c r="I577" s="161" t="inlineStr">
        <is>
          <t>INSIGHT</t>
        </is>
      </c>
      <c r="J577" s="161" t="n"/>
      <c r="K577" s="161" t="n"/>
      <c r="L577" s="164" t="inlineStr">
        <is>
          <t>Entrega em campo de 100% dos materiais do Sistema de Vias para cabos e de Condutores</t>
        </is>
      </c>
      <c r="M577" s="391">
        <f>O577/$N$548</f>
        <v/>
      </c>
      <c r="N577" s="1364" t="n"/>
      <c r="O577" s="1342" t="n">
        <v>220297.03</v>
      </c>
      <c r="P577" s="561" t="n">
        <v>40</v>
      </c>
      <c r="Q577" s="1347" t="n">
        <v>120000</v>
      </c>
    </row>
    <row r="578" outlineLevel="1" ht="55.2" customHeight="1">
      <c r="A578" s="463">
        <f>'01_Preço'!$A$328</f>
        <v/>
      </c>
      <c r="B578" s="469">
        <f>CONCATENATE('01_Preço'!$A$339,", ",'01_Preço'!$A$341,", ",'01_Preço'!$A$343," e ",'01_Preço'!$A$345)</f>
        <v/>
      </c>
      <c r="C578" s="469">
        <f>'01_Preço'!B339</f>
        <v/>
      </c>
      <c r="D578" s="471" t="inlineStr">
        <is>
          <t>Equipamentos e materiais</t>
        </is>
      </c>
      <c r="E578" s="462" t="n"/>
      <c r="F578" s="462" t="n"/>
      <c r="G578" s="441" t="n"/>
      <c r="H578" s="441" t="n"/>
      <c r="I578" s="441" t="n"/>
      <c r="J578" s="441" t="n"/>
      <c r="K578" s="441" t="n"/>
      <c r="L578" s="471">
        <f>CONCATENATE('01_Preço'!$E$339,", ",'01_Preço'!$E$341,", ",'01_Preço'!$E$343," e ",'01_Preço'!$E$345)</f>
        <v/>
      </c>
      <c r="M578" s="443">
        <f>O578/$N$548</f>
        <v/>
      </c>
      <c r="N578" s="1365" t="n"/>
      <c r="O578" s="1349">
        <f>SUM(O579:O580)</f>
        <v/>
      </c>
      <c r="P578" s="556" t="n"/>
      <c r="Q578" s="1349" t="n"/>
    </row>
    <row r="579" outlineLevel="1" ht="55.2" customHeight="1">
      <c r="A579" s="228">
        <f>'01_Preço'!$A$328</f>
        <v/>
      </c>
      <c r="B579" s="173">
        <f>CONCATENATE('01_Preço'!$A$339,", ",'01_Preço'!$A$341,", ",'01_Preço'!$A$343," e ",'01_Preço'!$A$345)</f>
        <v/>
      </c>
      <c r="C579" s="168">
        <f>'01_Preço'!B339</f>
        <v/>
      </c>
      <c r="D579" s="167" t="inlineStr">
        <is>
          <t>Equipamentos e materiais</t>
        </is>
      </c>
      <c r="E579" s="453" t="n">
        <v>32</v>
      </c>
      <c r="F579" s="1343">
        <f>VLOOKUP(E579,'Tabela de mês'!$A$1:$B$70,2,TRUE)</f>
        <v/>
      </c>
      <c r="G579" s="510" t="inlineStr">
        <is>
          <t>292-MAT</t>
        </is>
      </c>
      <c r="H579" s="161" t="inlineStr">
        <is>
          <t>INSIGHT</t>
        </is>
      </c>
      <c r="I579" s="161" t="inlineStr">
        <is>
          <t>INSIGHT</t>
        </is>
      </c>
      <c r="J579" s="161" t="n"/>
      <c r="K579" s="161" t="n"/>
      <c r="L579" s="164" t="inlineStr">
        <is>
          <t>Entrega em campo de 50% dos equipamentos e materiais do Sistema de Iluminação e Tomadas</t>
        </is>
      </c>
      <c r="M579" s="391">
        <f>O579/$N$548</f>
        <v/>
      </c>
      <c r="N579" s="1364" t="n"/>
      <c r="O579" s="1342" t="n">
        <v>681188.12</v>
      </c>
      <c r="P579" s="561" t="n">
        <v>22</v>
      </c>
      <c r="Q579" s="1347" t="n">
        <v>325000</v>
      </c>
    </row>
    <row r="580" outlineLevel="1" ht="55.8" customHeight="1" thickBot="1">
      <c r="A580" s="228">
        <f>'01_Preço'!$A$328</f>
        <v/>
      </c>
      <c r="B580" s="173">
        <f>CONCATENATE('01_Preço'!$A$339,", ",'01_Preço'!$A$341,", ",'01_Preço'!$A$343," e ",'01_Preço'!$A$345)</f>
        <v/>
      </c>
      <c r="C580" s="168">
        <f>'01_Preço'!B339</f>
        <v/>
      </c>
      <c r="D580" s="167" t="inlineStr">
        <is>
          <t>Equipamentos e materiais</t>
        </is>
      </c>
      <c r="E580" s="453" t="n">
        <v>44</v>
      </c>
      <c r="F580" s="1343">
        <f>VLOOKUP(E580,'Tabela de mês'!$A$1:$B$70,2,TRUE)</f>
        <v/>
      </c>
      <c r="G580" s="510" t="inlineStr">
        <is>
          <t>293-MAT</t>
        </is>
      </c>
      <c r="H580" s="161" t="inlineStr">
        <is>
          <t>INSIGHT</t>
        </is>
      </c>
      <c r="I580" s="161" t="inlineStr">
        <is>
          <t>INSIGHT</t>
        </is>
      </c>
      <c r="J580" s="161" t="n"/>
      <c r="K580" s="161" t="n"/>
      <c r="L580" s="164" t="inlineStr">
        <is>
          <t>Entrega em campo de 100% dos equipamentos e materiais do Sistema de Iluminação e Tomadas</t>
        </is>
      </c>
      <c r="M580" s="391">
        <f>O580/$N$548</f>
        <v/>
      </c>
      <c r="N580" s="1364" t="n"/>
      <c r="O580" s="1342" t="n">
        <v>681188.12</v>
      </c>
      <c r="P580" s="561" t="n">
        <v>40</v>
      </c>
      <c r="Q580" s="1347" t="n">
        <v>325000</v>
      </c>
    </row>
    <row r="581" ht="16.2" customHeight="1" thickBot="1">
      <c r="A581" s="1332" t="inlineStr">
        <is>
          <t>2.16 - Cubículos de Média Tensão</t>
        </is>
      </c>
      <c r="B581" s="1139" t="n"/>
      <c r="C581" s="1139" t="n"/>
      <c r="D581" s="1139" t="n"/>
      <c r="E581" s="1139" t="n"/>
      <c r="F581" s="1139" t="n"/>
      <c r="G581" s="1139" t="n"/>
      <c r="H581" s="1139" t="n"/>
      <c r="I581" s="1139" t="n"/>
      <c r="J581" s="1139" t="n"/>
      <c r="K581" s="1139" t="n"/>
      <c r="L581" s="1139" t="n"/>
      <c r="M581" s="1140" t="n"/>
      <c r="N581" s="1360">
        <f>SUM(O582,O589,O592,O597,O602)</f>
        <v/>
      </c>
      <c r="O581" s="503" t="n"/>
      <c r="P581" s="1053" t="n"/>
      <c r="Q581" s="424" t="n"/>
    </row>
    <row r="582" outlineLevel="1" ht="24.6" customHeight="1">
      <c r="A582" s="464">
        <f>'01_Preço'!$A$347</f>
        <v/>
      </c>
      <c r="B582" s="486">
        <f>'01_Preço'!A348</f>
        <v/>
      </c>
      <c r="C582" s="486">
        <f>'01_Preço'!B348</f>
        <v/>
      </c>
      <c r="D582" s="678">
        <f>'01_Preço'!E348</f>
        <v/>
      </c>
      <c r="E582" s="721" t="n"/>
      <c r="F582" s="479" t="n"/>
      <c r="G582" s="487" t="n"/>
      <c r="H582" s="487" t="n"/>
      <c r="I582" s="487" t="n"/>
      <c r="J582" s="487" t="n"/>
      <c r="K582" s="487" t="n"/>
      <c r="L582" s="678">
        <f>'01_Preço'!E348</f>
        <v/>
      </c>
      <c r="M582" s="679">
        <f>O582/$N$581</f>
        <v/>
      </c>
      <c r="N582" s="1369" t="n"/>
      <c r="O582" s="1354">
        <f>SUM(O583:O588)</f>
        <v/>
      </c>
      <c r="P582" s="556" t="n"/>
      <c r="Q582" s="1349" t="n"/>
    </row>
    <row r="583" outlineLevel="1" ht="40.5" customHeight="1">
      <c r="A583" s="393">
        <f>'01_Preço'!$A$347</f>
        <v/>
      </c>
      <c r="B583" s="413">
        <f>'01_Preço'!A348</f>
        <v/>
      </c>
      <c r="C583" s="413">
        <f>'01_Preço'!B348</f>
        <v/>
      </c>
      <c r="D583" s="414">
        <f>'01_Preço'!E348</f>
        <v/>
      </c>
      <c r="E583" s="450" t="n">
        <v>16</v>
      </c>
      <c r="F583" s="1339">
        <f>VLOOKUP(E583,'Tabela de mês'!$A$1:$B$70,2,TRUE)</f>
        <v/>
      </c>
      <c r="G583" s="511" t="inlineStr">
        <is>
          <t>301-SER</t>
        </is>
      </c>
      <c r="H583" s="163" t="inlineStr">
        <is>
          <t>ERZEG</t>
        </is>
      </c>
      <c r="I583" s="163" t="inlineStr">
        <is>
          <t>INSIGHT</t>
        </is>
      </c>
      <c r="J583" s="163" t="n"/>
      <c r="K583" s="163" t="n"/>
      <c r="L583" s="423" t="inlineStr">
        <is>
          <t>Aprovação do Plano de Emissão de Documentos dos Cubículos de Média Tensão</t>
        </is>
      </c>
      <c r="M583" s="391">
        <f>O583/$O$582</f>
        <v/>
      </c>
      <c r="N583" s="1340" t="n"/>
      <c r="O583" s="1340" t="n">
        <v>12761.25</v>
      </c>
      <c r="P583" s="453" t="n">
        <v>28</v>
      </c>
      <c r="Q583" s="1338" t="n">
        <v>400000</v>
      </c>
      <c r="S583" s="662" t="inlineStr">
        <is>
          <t>SIM</t>
        </is>
      </c>
    </row>
    <row r="584" outlineLevel="1" ht="27.6" customHeight="1">
      <c r="A584" s="393">
        <f>'01_Preço'!$A$347</f>
        <v/>
      </c>
      <c r="B584" s="413">
        <f>'01_Preço'!A348</f>
        <v/>
      </c>
      <c r="C584" s="413">
        <f>'01_Preço'!B348</f>
        <v/>
      </c>
      <c r="D584" s="414">
        <f>'01_Preço'!E348</f>
        <v/>
      </c>
      <c r="E584" s="730" t="n">
        <v>21</v>
      </c>
      <c r="F584" s="1339">
        <f>VLOOKUP(E584,'Tabela de mês'!$A$1:$B$70,2,TRUE)</f>
        <v/>
      </c>
      <c r="G584" s="510" t="inlineStr">
        <is>
          <t>302-SER A</t>
        </is>
      </c>
      <c r="H584" s="163" t="inlineStr">
        <is>
          <t>ERZEG</t>
        </is>
      </c>
      <c r="I584" s="163" t="inlineStr">
        <is>
          <t>INSIGHT</t>
        </is>
      </c>
      <c r="J584" s="163" t="n"/>
      <c r="K584" s="163" t="n"/>
      <c r="L584" s="342" t="inlineStr">
        <is>
          <t>Aprovação completa dos Documentos do Projeto Executivo e de Fabricação dos Cubículos de Média Tensão 1ª UF</t>
        </is>
      </c>
      <c r="M584" s="391">
        <f>O584/$O$582</f>
        <v/>
      </c>
      <c r="N584" s="1340" t="n"/>
      <c r="O584" s="1340" t="n">
        <v>82138.42999999999</v>
      </c>
      <c r="P584" s="453" t="n">
        <v>40</v>
      </c>
      <c r="Q584" s="1338" t="n">
        <v>400000</v>
      </c>
    </row>
    <row r="585" outlineLevel="1" ht="27.6" customHeight="1">
      <c r="A585" s="393">
        <f>'01_Preço'!$A$347</f>
        <v/>
      </c>
      <c r="B585" s="413">
        <f>'01_Preço'!A348</f>
        <v/>
      </c>
      <c r="C585" s="413">
        <f>'01_Preço'!B348</f>
        <v/>
      </c>
      <c r="D585" s="414">
        <f>'01_Preço'!E348</f>
        <v/>
      </c>
      <c r="E585" s="730" t="n">
        <v>24</v>
      </c>
      <c r="F585" s="1339">
        <f>VLOOKUP(E585,'Tabela de mês'!$A$1:$B$70,2,TRUE)</f>
        <v/>
      </c>
      <c r="G585" s="510" t="inlineStr">
        <is>
          <t>302-SER B</t>
        </is>
      </c>
      <c r="H585" s="163" t="inlineStr">
        <is>
          <t>ERZEG</t>
        </is>
      </c>
      <c r="I585" s="163" t="inlineStr">
        <is>
          <t>INSIGHT</t>
        </is>
      </c>
      <c r="J585" s="163" t="n"/>
      <c r="K585" s="163" t="n"/>
      <c r="L585" s="342" t="inlineStr">
        <is>
          <t>Aprovação completa dos Documentos do Projeto Executivo e de Fabricação dos Cubículos de Média Tensão 2ª UF</t>
        </is>
      </c>
      <c r="M585" s="391">
        <f>O585/$O$582</f>
        <v/>
      </c>
      <c r="N585" s="1340" t="n"/>
      <c r="O585" s="1340" t="n">
        <v>82138.42999999999</v>
      </c>
      <c r="P585" s="453" t="n">
        <v>53</v>
      </c>
      <c r="Q585" s="1338" t="n">
        <v>400000</v>
      </c>
    </row>
    <row r="586" outlineLevel="1" ht="27.6" customHeight="1">
      <c r="A586" s="393">
        <f>'01_Preço'!$A$347</f>
        <v/>
      </c>
      <c r="B586" s="413">
        <f>'01_Preço'!A348</f>
        <v/>
      </c>
      <c r="C586" s="413">
        <f>'01_Preço'!B348</f>
        <v/>
      </c>
      <c r="D586" s="414">
        <f>'01_Preço'!E348</f>
        <v/>
      </c>
      <c r="E586" s="730" t="n">
        <v>24</v>
      </c>
      <c r="F586" s="1339">
        <f>VLOOKUP(E586,'Tabela de mês'!$A$1:$B$70,2,TRUE)</f>
        <v/>
      </c>
      <c r="G586" s="510" t="inlineStr">
        <is>
          <t>302-SER C</t>
        </is>
      </c>
      <c r="H586" s="163" t="inlineStr">
        <is>
          <t>ERZEG</t>
        </is>
      </c>
      <c r="I586" s="163" t="inlineStr">
        <is>
          <t>INSIGHT</t>
        </is>
      </c>
      <c r="J586" s="163" t="n"/>
      <c r="K586" s="163" t="n"/>
      <c r="L586" s="342" t="inlineStr">
        <is>
          <t>Aprovação completa dos Documentos do Projeto Executivo e de Fabricação dos Cubículos de Média Tensão 3ª UF</t>
        </is>
      </c>
      <c r="M586" s="391">
        <f>O586/$O$582</f>
        <v/>
      </c>
      <c r="N586" s="1340" t="n"/>
      <c r="O586" s="1340" t="n">
        <v>82138.42999999999</v>
      </c>
      <c r="P586" s="453" t="n">
        <v>62</v>
      </c>
      <c r="Q586" s="1338" t="n">
        <v>400000</v>
      </c>
    </row>
    <row r="587" outlineLevel="1" ht="27.6" customHeight="1">
      <c r="A587" s="393">
        <f>'01_Preço'!$A$347</f>
        <v/>
      </c>
      <c r="B587" s="413">
        <f>'01_Preço'!A348</f>
        <v/>
      </c>
      <c r="C587" s="413">
        <f>'01_Preço'!B348</f>
        <v/>
      </c>
      <c r="D587" s="414">
        <f>'01_Preço'!E348</f>
        <v/>
      </c>
      <c r="E587" s="730" t="n">
        <v>24</v>
      </c>
      <c r="F587" s="1339">
        <f>VLOOKUP(E587,'Tabela de mês'!$A$1:$B$70,2,TRUE)</f>
        <v/>
      </c>
      <c r="G587" s="510" t="inlineStr">
        <is>
          <t>302-SER D</t>
        </is>
      </c>
      <c r="H587" s="163" t="inlineStr">
        <is>
          <t>ERZEG</t>
        </is>
      </c>
      <c r="I587" s="163" t="inlineStr">
        <is>
          <t>INSIGHT</t>
        </is>
      </c>
      <c r="J587" s="163" t="n"/>
      <c r="K587" s="163" t="n"/>
      <c r="L587" s="342" t="inlineStr">
        <is>
          <t>Aprovação completa dos Documentos do Projeto Executivo e de Fabricação dos Cubículos de Média Tensão 4ª UF</t>
        </is>
      </c>
      <c r="M587" s="391">
        <f>O587/$O$582</f>
        <v/>
      </c>
      <c r="N587" s="1340" t="n"/>
      <c r="O587" s="1340" t="n">
        <v>82138.42999999999</v>
      </c>
      <c r="P587" s="730" t="n"/>
      <c r="Q587" s="1338" t="n"/>
    </row>
    <row r="588" outlineLevel="1" ht="27.6" customHeight="1">
      <c r="A588" s="393">
        <f>'01_Preço'!$A$347</f>
        <v/>
      </c>
      <c r="B588" s="413">
        <f>'01_Preço'!A348</f>
        <v/>
      </c>
      <c r="C588" s="413">
        <f>'01_Preço'!B348</f>
        <v/>
      </c>
      <c r="D588" s="414">
        <f>'01_Preço'!E348</f>
        <v/>
      </c>
      <c r="E588" s="730" t="n">
        <v>65</v>
      </c>
      <c r="F588" s="1339">
        <f>VLOOKUP(E588,'Tabela de mês'!$A$1:$B$70,2,TRUE)</f>
        <v/>
      </c>
      <c r="G588" s="511" t="inlineStr">
        <is>
          <t>303-SER</t>
        </is>
      </c>
      <c r="H588" s="163" t="inlineStr">
        <is>
          <t>ERZEG</t>
        </is>
      </c>
      <c r="I588" s="163" t="inlineStr">
        <is>
          <t>INSIGHT</t>
        </is>
      </c>
      <c r="J588" s="163" t="n"/>
      <c r="K588" s="163" t="n"/>
      <c r="L588" s="342" t="inlineStr">
        <is>
          <t>Aprovação da versão conforme construído do Projeto dos Cubículos de Média Tensão</t>
        </is>
      </c>
      <c r="M588" s="391">
        <f>O588/$O$582</f>
        <v/>
      </c>
      <c r="N588" s="1340" t="n"/>
      <c r="O588" s="1340" t="n">
        <v>28761.25</v>
      </c>
      <c r="P588" s="565" t="n"/>
      <c r="Q588" s="1370" t="n"/>
    </row>
    <row r="589" outlineLevel="1" ht="27.6" customHeight="1">
      <c r="A589" s="472">
        <f>'01_Preço'!$A$347</f>
        <v/>
      </c>
      <c r="B589" s="467">
        <f>'01_Preço'!A350</f>
        <v/>
      </c>
      <c r="C589" s="467">
        <f>'01_Preço'!B350</f>
        <v/>
      </c>
      <c r="D589" s="471">
        <f>'01_Preço'!$E$352</f>
        <v/>
      </c>
      <c r="E589" s="462" t="n"/>
      <c r="F589" s="462" t="n"/>
      <c r="G589" s="441" t="n"/>
      <c r="H589" s="441" t="n"/>
      <c r="I589" s="441" t="n"/>
      <c r="J589" s="436" t="n"/>
      <c r="K589" s="436" t="n"/>
      <c r="L589" s="470">
        <f>'01_Preço'!E350</f>
        <v/>
      </c>
      <c r="M589" s="446">
        <f>O589/$N$581</f>
        <v/>
      </c>
      <c r="N589" s="1365" t="n"/>
      <c r="O589" s="1349">
        <f>O590+O591</f>
        <v/>
      </c>
      <c r="P589" s="556" t="n"/>
      <c r="Q589" s="1349" t="n"/>
    </row>
    <row r="590" outlineLevel="1" ht="27.6" customHeight="1">
      <c r="A590" s="228">
        <f>'01_Preço'!$A$347</f>
        <v/>
      </c>
      <c r="B590" s="426">
        <f>'01_Preço'!A350</f>
        <v/>
      </c>
      <c r="C590" s="168">
        <f>'01_Preço'!$B$350</f>
        <v/>
      </c>
      <c r="D590" s="169">
        <f>'01_Preço'!$E$352</f>
        <v/>
      </c>
      <c r="E590" s="453" t="n">
        <v>28</v>
      </c>
      <c r="F590" s="1343">
        <f>VLOOKUP(E590,'Tabela de mês'!$A$1:$B$70,2,TRUE)</f>
        <v/>
      </c>
      <c r="G590" s="510" t="inlineStr">
        <is>
          <t>308-SER B</t>
        </is>
      </c>
      <c r="H590" s="163" t="inlineStr">
        <is>
          <t>INSIGHT</t>
        </is>
      </c>
      <c r="I590" s="163" t="inlineStr">
        <is>
          <t>INSIGHT</t>
        </is>
      </c>
      <c r="J590" s="161" t="n"/>
      <c r="K590" s="161" t="n"/>
      <c r="L590" s="164" t="inlineStr">
        <is>
          <t>Conclusão da Desmontagem  de todos equipamentos e componentes dos Cubículos de Média Tensão associados a 1ª UF</t>
        </is>
      </c>
      <c r="M590" s="391">
        <f>O590/$O$589</f>
        <v/>
      </c>
      <c r="N590" s="1364" t="n"/>
      <c r="O590" s="1342" t="n">
        <v>98806.25</v>
      </c>
      <c r="P590" s="553" t="n"/>
      <c r="Q590" s="1347" t="n"/>
    </row>
    <row r="591" outlineLevel="1" ht="27.6" customHeight="1">
      <c r="A591" s="228">
        <f>'01_Preço'!$A$347</f>
        <v/>
      </c>
      <c r="B591" s="426">
        <f>'01_Preço'!A350</f>
        <v/>
      </c>
      <c r="C591" s="168">
        <f>'01_Preço'!$B$350</f>
        <v/>
      </c>
      <c r="D591" s="169">
        <f>'01_Preço'!$E$352</f>
        <v/>
      </c>
      <c r="E591" s="453" t="n">
        <v>39</v>
      </c>
      <c r="F591" s="1343">
        <f>VLOOKUP(E591,'Tabela de mês'!$A$1:$B$70,2,TRUE)</f>
        <v/>
      </c>
      <c r="G591" s="510" t="inlineStr">
        <is>
          <t>310-SER B</t>
        </is>
      </c>
      <c r="H591" s="163" t="inlineStr">
        <is>
          <t>INSIGHT</t>
        </is>
      </c>
      <c r="I591" s="163" t="inlineStr">
        <is>
          <t>INSIGHT</t>
        </is>
      </c>
      <c r="J591" s="161" t="n"/>
      <c r="K591" s="161" t="n"/>
      <c r="L591" s="164" t="inlineStr">
        <is>
          <t>Conclusão da Desmontagem  de todos equipamentos e componentes dos Cubículos de Média Tensão associados a 2ª UF</t>
        </is>
      </c>
      <c r="M591" s="391">
        <f>O591/$O$589</f>
        <v/>
      </c>
      <c r="N591" s="1364" t="n"/>
      <c r="O591" s="1342" t="n">
        <v>98806.25</v>
      </c>
      <c r="P591" s="553" t="n"/>
      <c r="Q591" s="1347" t="n"/>
    </row>
    <row r="592" outlineLevel="1" ht="27.6" customHeight="1">
      <c r="A592" s="472">
        <f>'01_Preço'!$A$347</f>
        <v/>
      </c>
      <c r="B592" s="467">
        <f>'01_Preço'!A352</f>
        <v/>
      </c>
      <c r="C592" s="467">
        <f>'01_Preço'!B352</f>
        <v/>
      </c>
      <c r="D592" s="471">
        <f>'01_Preço'!$E$354</f>
        <v/>
      </c>
      <c r="E592" s="462" t="n"/>
      <c r="F592" s="462" t="n"/>
      <c r="G592" s="441" t="n"/>
      <c r="H592" s="441" t="n"/>
      <c r="I592" s="441" t="n"/>
      <c r="J592" s="436" t="n"/>
      <c r="K592" s="436" t="n"/>
      <c r="L592" s="470">
        <f>'01_Preço'!E352</f>
        <v/>
      </c>
      <c r="M592" s="446">
        <f>O592/$N$581</f>
        <v/>
      </c>
      <c r="N592" s="1365" t="n"/>
      <c r="O592" s="1349">
        <f>SUM(O593:O596)</f>
        <v/>
      </c>
      <c r="P592" s="556" t="n"/>
      <c r="Q592" s="1349" t="n"/>
    </row>
    <row r="593" outlineLevel="1" ht="41.4" customHeight="1">
      <c r="A593" s="228" t="inlineStr">
        <is>
          <t>2.16 - Cubículos de Média Tensão</t>
        </is>
      </c>
      <c r="B593" s="426">
        <f>'01_Preço'!A352</f>
        <v/>
      </c>
      <c r="C593" s="168" t="inlineStr">
        <is>
          <t>SERVIÇO</t>
        </is>
      </c>
      <c r="D593" s="169" t="inlineStr">
        <is>
          <t>Montagem eletromecânica completa</t>
        </is>
      </c>
      <c r="E593" s="453" t="n">
        <v>28</v>
      </c>
      <c r="F593" s="1343">
        <f>VLOOKUP(E593,'Tabela de mês'!$A$1:$B$70,2,TRUE)</f>
        <v/>
      </c>
      <c r="G593" s="510" t="inlineStr">
        <is>
          <t>308-SER A</t>
        </is>
      </c>
      <c r="H593" s="163" t="inlineStr">
        <is>
          <t>INSIGHT</t>
        </is>
      </c>
      <c r="I593" s="163" t="inlineStr">
        <is>
          <t>INSIGHT</t>
        </is>
      </c>
      <c r="J593" s="161" t="n"/>
      <c r="K593" s="161" t="n"/>
      <c r="L593" s="164" t="inlineStr">
        <is>
          <t>Conclusão da  Montagem de todos equipamentos e componentes dos Cubículos de Média Tensão com disjuntor de UG e serviço auxiliar incorporado associados a 1ª UF</t>
        </is>
      </c>
      <c r="M593" s="391">
        <f>O593/$O$592</f>
        <v/>
      </c>
      <c r="N593" s="1364" t="n"/>
      <c r="O593" s="1342" t="n">
        <v>178599.6</v>
      </c>
      <c r="P593" s="553" t="n"/>
      <c r="Q593" s="1347" t="n"/>
    </row>
    <row r="594" outlineLevel="1" ht="27.6" customHeight="1">
      <c r="A594" s="228" t="inlineStr">
        <is>
          <t>2.16 - Cubículos de Média Tensão</t>
        </is>
      </c>
      <c r="B594" s="426">
        <f>'01_Preço'!A352</f>
        <v/>
      </c>
      <c r="C594" s="168" t="inlineStr">
        <is>
          <t>SERVIÇO</t>
        </is>
      </c>
      <c r="D594" s="169" t="inlineStr">
        <is>
          <t>Montagem eletromecânica completa</t>
        </is>
      </c>
      <c r="E594" s="453" t="n">
        <v>40</v>
      </c>
      <c r="F594" s="1343">
        <f>VLOOKUP(E594,'Tabela de mês'!$A$1:$B$70,2,TRUE)</f>
        <v/>
      </c>
      <c r="G594" s="510" t="inlineStr">
        <is>
          <t>309-SER</t>
        </is>
      </c>
      <c r="H594" s="163" t="inlineStr">
        <is>
          <t>INSIGHT</t>
        </is>
      </c>
      <c r="I594" s="163" t="inlineStr">
        <is>
          <t>INSIGHT</t>
        </is>
      </c>
      <c r="J594" s="161" t="n"/>
      <c r="K594" s="161" t="n"/>
      <c r="L594" s="164" t="inlineStr">
        <is>
          <t>Conclusão da  Montagem de todos equipamentos e componentes dos Cubículos de Média Tensão associados a 2ª UF</t>
        </is>
      </c>
      <c r="M594" s="391">
        <f>O594/$O$592</f>
        <v/>
      </c>
      <c r="N594" s="1364" t="n"/>
      <c r="O594" s="1342" t="n">
        <v>119066.4</v>
      </c>
      <c r="P594" s="553" t="n"/>
      <c r="Q594" s="1347" t="n"/>
    </row>
    <row r="595" outlineLevel="1" ht="27.6" customHeight="1">
      <c r="A595" s="228" t="inlineStr">
        <is>
          <t>2.16 - Cubículos de Média Tensão</t>
        </is>
      </c>
      <c r="B595" s="426">
        <f>'01_Preço'!A352</f>
        <v/>
      </c>
      <c r="C595" s="168" t="inlineStr">
        <is>
          <t>SERVIÇO</t>
        </is>
      </c>
      <c r="D595" s="169" t="inlineStr">
        <is>
          <t>Montagem eletromecânica completa</t>
        </is>
      </c>
      <c r="E595" s="453" t="n">
        <v>53</v>
      </c>
      <c r="F595" s="1343">
        <f>VLOOKUP(E595,'Tabela de mês'!$A$1:$B$70,2,TRUE)</f>
        <v/>
      </c>
      <c r="G595" s="510" t="inlineStr">
        <is>
          <t>310-SER A</t>
        </is>
      </c>
      <c r="H595" s="163" t="inlineStr">
        <is>
          <t>INSIGHT</t>
        </is>
      </c>
      <c r="I595" s="163" t="inlineStr">
        <is>
          <t>INSIGHT</t>
        </is>
      </c>
      <c r="J595" s="161" t="n"/>
      <c r="K595" s="161" t="n"/>
      <c r="L595" s="164" t="inlineStr">
        <is>
          <t>Conclusão da  Montagem de todos equipamentos e componentes dos Cubículos de Média Tensão associados a 3ª UF</t>
        </is>
      </c>
      <c r="M595" s="391">
        <f>O595/$O$592</f>
        <v/>
      </c>
      <c r="N595" s="1364" t="n"/>
      <c r="O595" s="1342" t="n">
        <v>119066.4</v>
      </c>
      <c r="P595" s="553" t="n"/>
      <c r="Q595" s="1347" t="n"/>
    </row>
    <row r="596" outlineLevel="1" ht="41.4" customHeight="1">
      <c r="A596" s="228" t="inlineStr">
        <is>
          <t>2.16 - Cubículos de Média Tensão</t>
        </is>
      </c>
      <c r="B596" s="426">
        <f>'01_Preço'!A352</f>
        <v/>
      </c>
      <c r="C596" s="168" t="inlineStr">
        <is>
          <t>SERVIÇO</t>
        </is>
      </c>
      <c r="D596" s="169" t="inlineStr">
        <is>
          <t>Montagem eletromecânica completa</t>
        </is>
      </c>
      <c r="E596" s="453" t="n">
        <v>62</v>
      </c>
      <c r="F596" s="1343">
        <f>VLOOKUP(E596,'Tabela de mês'!$A$1:$B$70,2,TRUE)</f>
        <v/>
      </c>
      <c r="G596" s="510" t="inlineStr">
        <is>
          <t>311-SER</t>
        </is>
      </c>
      <c r="H596" s="163" t="inlineStr">
        <is>
          <t>INSIGHT</t>
        </is>
      </c>
      <c r="I596" s="163" t="inlineStr">
        <is>
          <t>INSIGHT</t>
        </is>
      </c>
      <c r="J596" s="161" t="n"/>
      <c r="K596" s="161" t="n"/>
      <c r="L596" s="164" t="inlineStr">
        <is>
          <t>Conclusão da  Montagem de todos equipamentos e componentes dos Cubículos de Média Tensão com disjuntor de UG e serviço auxiliar incorporado associados a 4ª UF</t>
        </is>
      </c>
      <c r="M596" s="391">
        <f>O596/$O$592</f>
        <v/>
      </c>
      <c r="N596" s="1364" t="n"/>
      <c r="O596" s="1342" t="n">
        <v>178599.6</v>
      </c>
      <c r="P596" s="553" t="n"/>
      <c r="Q596" s="1347" t="n"/>
    </row>
    <row r="597" outlineLevel="1" ht="27.6" customHeight="1">
      <c r="A597" s="472">
        <f>'01_Preço'!$A$347</f>
        <v/>
      </c>
      <c r="B597" s="467">
        <f>'01_Preço'!A354</f>
        <v/>
      </c>
      <c r="C597" s="467">
        <f>'01_Preço'!B354</f>
        <v/>
      </c>
      <c r="D597" s="471">
        <f>'01_Preço'!$E$356</f>
        <v/>
      </c>
      <c r="E597" s="462" t="n"/>
      <c r="F597" s="462" t="n"/>
      <c r="G597" s="441" t="n"/>
      <c r="H597" s="441" t="n"/>
      <c r="I597" s="441" t="n"/>
      <c r="J597" s="436" t="n"/>
      <c r="K597" s="436" t="n"/>
      <c r="L597" s="470">
        <f>'01_Preço'!E354</f>
        <v/>
      </c>
      <c r="M597" s="446">
        <f>O597/$N$581</f>
        <v/>
      </c>
      <c r="N597" s="1365" t="n"/>
      <c r="O597" s="1349">
        <f>SUM(O598:O601)</f>
        <v/>
      </c>
      <c r="P597" s="556" t="n"/>
      <c r="Q597" s="1349" t="n"/>
    </row>
    <row r="598" outlineLevel="1" ht="27.6" customHeight="1">
      <c r="A598" s="393">
        <f>'01_Preço'!$A$347</f>
        <v/>
      </c>
      <c r="B598" s="168">
        <f>'01_Preço'!$A$354</f>
        <v/>
      </c>
      <c r="C598" s="168">
        <f>'01_Preço'!$B$354</f>
        <v/>
      </c>
      <c r="D598" s="169">
        <f>'01_Preço'!$E$354</f>
        <v/>
      </c>
      <c r="E598" s="453" t="n">
        <v>34</v>
      </c>
      <c r="F598" s="1343">
        <f>VLOOKUP(E598,'Tabela de mês'!$A$1:$B$70,2,TRUE)</f>
        <v/>
      </c>
      <c r="G598" s="510" t="inlineStr">
        <is>
          <t>312-SER</t>
        </is>
      </c>
      <c r="H598" s="163" t="inlineStr">
        <is>
          <t>ERZEG</t>
        </is>
      </c>
      <c r="I598" s="163" t="inlineStr">
        <is>
          <t>INSIGHT</t>
        </is>
      </c>
      <c r="J598" s="161" t="n"/>
      <c r="K598" s="161" t="n"/>
      <c r="L598" s="164" t="inlineStr">
        <is>
          <t>Conclusão do Comissionamento dos Cubículos de Média Tensão com disjuntor de UG e serviço auxiliar incorporado associados a 1ª UF</t>
        </is>
      </c>
      <c r="M598" s="391">
        <f>O598/$O$597</f>
        <v/>
      </c>
      <c r="N598" s="1364" t="n"/>
      <c r="O598" s="1342" t="n">
        <v>23618.148</v>
      </c>
      <c r="P598" s="561" t="n"/>
      <c r="Q598" s="1347" t="n"/>
    </row>
    <row r="599" outlineLevel="1" ht="27.6" customHeight="1">
      <c r="A599" s="393">
        <f>'01_Preço'!$A$347</f>
        <v/>
      </c>
      <c r="B599" s="168">
        <f>'01_Preço'!$A$354</f>
        <v/>
      </c>
      <c r="C599" s="168">
        <f>'01_Preço'!$B$354</f>
        <v/>
      </c>
      <c r="D599" s="169">
        <f>'01_Preço'!$E$354</f>
        <v/>
      </c>
      <c r="E599" s="453" t="n">
        <v>46</v>
      </c>
      <c r="F599" s="1343">
        <f>VLOOKUP(E599,'Tabela de mês'!$A$1:$B$70,2,TRUE)</f>
        <v/>
      </c>
      <c r="G599" s="510" t="inlineStr">
        <is>
          <t>313-SER</t>
        </is>
      </c>
      <c r="H599" s="163" t="inlineStr">
        <is>
          <t>ERZEG</t>
        </is>
      </c>
      <c r="I599" s="163" t="inlineStr">
        <is>
          <t>INSIGHT</t>
        </is>
      </c>
      <c r="J599" s="161" t="n"/>
      <c r="K599" s="161" t="n"/>
      <c r="L599" s="164" t="inlineStr">
        <is>
          <t>Conclusão do Comissionamento dos Cubículos de Média Tensão associados a 2ª UF</t>
        </is>
      </c>
      <c r="M599" s="391">
        <f>O599/$O$597</f>
        <v/>
      </c>
      <c r="N599" s="1364" t="n"/>
      <c r="O599" s="1342" t="n">
        <v>15745.432</v>
      </c>
      <c r="P599" s="561" t="n"/>
      <c r="Q599" s="1347" t="n"/>
    </row>
    <row r="600" outlineLevel="1" ht="27.6" customHeight="1">
      <c r="A600" s="393">
        <f>'01_Preço'!$A$347</f>
        <v/>
      </c>
      <c r="B600" s="168">
        <f>'01_Preço'!$A$354</f>
        <v/>
      </c>
      <c r="C600" s="168">
        <f>'01_Preço'!$B$354</f>
        <v/>
      </c>
      <c r="D600" s="169">
        <f>'01_Preço'!$E$354</f>
        <v/>
      </c>
      <c r="E600" s="453" t="n">
        <v>56</v>
      </c>
      <c r="F600" s="1343">
        <f>VLOOKUP(E600,'Tabela de mês'!$A$1:$B$70,2,TRUE)</f>
        <v/>
      </c>
      <c r="G600" s="510" t="inlineStr">
        <is>
          <t>314-SER</t>
        </is>
      </c>
      <c r="H600" s="163" t="inlineStr">
        <is>
          <t>ERZEG</t>
        </is>
      </c>
      <c r="I600" s="163" t="inlineStr">
        <is>
          <t>INSIGHT</t>
        </is>
      </c>
      <c r="J600" s="161" t="n"/>
      <c r="K600" s="161" t="n"/>
      <c r="L600" s="164" t="inlineStr">
        <is>
          <t>Conclusão do Comissionamento dos Cubículos de Média Tensão associados a 3ª UF</t>
        </is>
      </c>
      <c r="M600" s="391">
        <f>O600/$O$597</f>
        <v/>
      </c>
      <c r="N600" s="1364" t="n"/>
      <c r="O600" s="1342" t="n">
        <v>15745.432</v>
      </c>
      <c r="P600" s="561" t="n"/>
      <c r="Q600" s="1347" t="n"/>
    </row>
    <row r="601" outlineLevel="1" ht="27.6" customHeight="1">
      <c r="A601" s="393">
        <f>'01_Preço'!$A$347</f>
        <v/>
      </c>
      <c r="B601" s="168">
        <f>'01_Preço'!$A$354</f>
        <v/>
      </c>
      <c r="C601" s="168">
        <f>'01_Preço'!$B$354</f>
        <v/>
      </c>
      <c r="D601" s="169">
        <f>'01_Preço'!$E$354</f>
        <v/>
      </c>
      <c r="E601" s="453" t="n">
        <v>66</v>
      </c>
      <c r="F601" s="1343">
        <f>VLOOKUP(E601,'Tabela de mês'!$A$1:$B$70,2,TRUE)</f>
        <v/>
      </c>
      <c r="G601" s="510" t="inlineStr">
        <is>
          <t>315-SER</t>
        </is>
      </c>
      <c r="H601" s="163" t="inlineStr">
        <is>
          <t>ERZEG</t>
        </is>
      </c>
      <c r="I601" s="163" t="inlineStr">
        <is>
          <t>INSIGHT</t>
        </is>
      </c>
      <c r="J601" s="163" t="n"/>
      <c r="K601" s="163" t="n"/>
      <c r="L601" s="164" t="inlineStr">
        <is>
          <t>Conclusão do Comissionamento dos Cubículos de Média Tensão com disjuntor de UG e serviço auxiliar incorporado associados a 4ª UF</t>
        </is>
      </c>
      <c r="M601" s="391">
        <f>O601/$O$597</f>
        <v/>
      </c>
      <c r="N601" s="1364" t="n"/>
      <c r="O601" s="1342" t="n">
        <v>23618.148</v>
      </c>
      <c r="P601" s="561" t="n"/>
      <c r="Q601" s="1342" t="n"/>
    </row>
    <row r="602" outlineLevel="1" ht="55.2" customHeight="1">
      <c r="A602" s="685">
        <f>'01_Preço'!$A$347</f>
        <v/>
      </c>
      <c r="B602" s="677">
        <f>CONCATENATE('01_Preço'!$A$356,", ",'01_Preço'!$A$358,", ",'01_Preço'!$A$360," e ",'01_Preço'!$A$362)</f>
        <v/>
      </c>
      <c r="C602" s="677">
        <f>'01_Preço'!B356</f>
        <v/>
      </c>
      <c r="D602" s="686" t="inlineStr">
        <is>
          <t>Equipamentos e materiais</t>
        </is>
      </c>
      <c r="E602" s="721" t="n"/>
      <c r="F602" s="721" t="n"/>
      <c r="G602" s="683" t="n"/>
      <c r="H602" s="683" t="n"/>
      <c r="I602" s="683" t="n"/>
      <c r="J602" s="487" t="n"/>
      <c r="K602" s="487" t="n"/>
      <c r="L602" s="678">
        <f>'01_Preço'!E356</f>
        <v/>
      </c>
      <c r="M602" s="687">
        <f>O602/$N$581</f>
        <v/>
      </c>
      <c r="N602" s="1382" t="n"/>
      <c r="O602" s="1354">
        <f>SUM(O603:O606)</f>
        <v/>
      </c>
      <c r="P602" s="556" t="n"/>
      <c r="Q602" s="1346" t="n"/>
    </row>
    <row r="603" outlineLevel="1" ht="55.2" customHeight="1">
      <c r="A603" s="393" t="inlineStr">
        <is>
          <t>2.16 - Cubículos de Média Tensão</t>
        </is>
      </c>
      <c r="B603" s="413">
        <f>CONCATENATE('01_Preço'!$A$356,", ",'01_Preço'!$A$358,", ",'01_Preço'!$A$360," e ",'01_Preço'!$A$362)</f>
        <v/>
      </c>
      <c r="C603" s="413">
        <f>'01_Preço'!$B$356</f>
        <v/>
      </c>
      <c r="D603" s="423" t="inlineStr">
        <is>
          <t>Equipamentos e materiais</t>
        </is>
      </c>
      <c r="E603" s="730" t="n">
        <v>26</v>
      </c>
      <c r="F603" s="1339">
        <f>VLOOKUP(E603,'Tabela de mês'!$A$1:$B$70,2,TRUE)</f>
        <v/>
      </c>
      <c r="G603" s="510" t="inlineStr">
        <is>
          <t>304-MAT</t>
        </is>
      </c>
      <c r="H603" s="163" t="inlineStr">
        <is>
          <t>ERZEG</t>
        </is>
      </c>
      <c r="I603" s="163" t="inlineStr">
        <is>
          <t>INSIGHT</t>
        </is>
      </c>
      <c r="J603" s="163" t="n"/>
      <c r="K603" s="163" t="n"/>
      <c r="L603" s="342" t="inlineStr">
        <is>
          <t>Entrega em campo dos equipamentos e componentes dos cubículos de média tensão com disjuntor de UG e serviço auxiliar incorporado associados a 1ª UF</t>
        </is>
      </c>
      <c r="M603" s="391">
        <f>O603/$O$602</f>
        <v/>
      </c>
      <c r="N603" s="1340" t="n"/>
      <c r="O603" s="1340" t="n">
        <v>1708825.5</v>
      </c>
      <c r="P603" s="553" t="n">
        <v>19</v>
      </c>
      <c r="Q603" s="1340" t="n">
        <v>1582713.75</v>
      </c>
    </row>
    <row r="604" outlineLevel="1" ht="55.2" customHeight="1">
      <c r="A604" s="228" t="inlineStr">
        <is>
          <t>2.16 - Cubículos de Média Tensão</t>
        </is>
      </c>
      <c r="B604" s="693">
        <f>CONCATENATE('01_Preço'!$A$356,", ",'01_Preço'!$A$358,", ",'01_Preço'!$A$360," e ",'01_Preço'!$A$362)</f>
        <v/>
      </c>
      <c r="C604" s="170">
        <f>'01_Preço'!$B$356</f>
        <v/>
      </c>
      <c r="D604" s="162" t="inlineStr">
        <is>
          <t>Equipamentos e materiais</t>
        </is>
      </c>
      <c r="E604" s="453" t="n">
        <v>38</v>
      </c>
      <c r="F604" s="1343">
        <f>VLOOKUP(E604,'Tabela de mês'!$A$1:$B$70,2,TRUE)</f>
        <v/>
      </c>
      <c r="G604" s="520" t="inlineStr">
        <is>
          <t>305-MAT</t>
        </is>
      </c>
      <c r="H604" s="161" t="inlineStr">
        <is>
          <t>ERZEG</t>
        </is>
      </c>
      <c r="I604" s="161" t="inlineStr">
        <is>
          <t>INSIGHT</t>
        </is>
      </c>
      <c r="J604" s="161" t="n"/>
      <c r="K604" s="161" t="n"/>
      <c r="L604" s="422" t="inlineStr">
        <is>
          <t>Entrega em campo dos equipamentos e componentes dos cubículos de média tensão 2ª UF</t>
        </is>
      </c>
      <c r="M604" s="416">
        <f>O604/$O$602</f>
        <v/>
      </c>
      <c r="N604" s="1376" t="n"/>
      <c r="O604" s="1355" t="n">
        <v>569608.5</v>
      </c>
      <c r="P604" s="553" t="n">
        <v>29</v>
      </c>
      <c r="Q604" s="1340" t="n">
        <v>527571.25</v>
      </c>
    </row>
    <row r="605" outlineLevel="1" ht="55.2" customHeight="1">
      <c r="A605" s="228" t="inlineStr">
        <is>
          <t>2.16 - Cubículos de Média Tensão</t>
        </is>
      </c>
      <c r="B605" s="176">
        <f>CONCATENATE('01_Preço'!$A$356,", ",'01_Preço'!$A$358,", ",'01_Preço'!$A$360," e ",'01_Preço'!$A$362)</f>
        <v/>
      </c>
      <c r="C605" s="168">
        <f>'01_Preço'!$B$356</f>
        <v/>
      </c>
      <c r="D605" s="167" t="inlineStr">
        <is>
          <t>Equipamentos e materiais</t>
        </is>
      </c>
      <c r="E605" s="453" t="n">
        <v>51</v>
      </c>
      <c r="F605" s="1343">
        <f>VLOOKUP(E605,'Tabela de mês'!$A$1:$B$70,2,TRUE)</f>
        <v/>
      </c>
      <c r="G605" s="510" t="inlineStr">
        <is>
          <t>306-MAT</t>
        </is>
      </c>
      <c r="H605" s="161" t="inlineStr">
        <is>
          <t>ERZEG</t>
        </is>
      </c>
      <c r="I605" s="163" t="inlineStr">
        <is>
          <t>INSIGHT</t>
        </is>
      </c>
      <c r="J605" s="161" t="n"/>
      <c r="K605" s="161" t="n"/>
      <c r="L605" s="422" t="inlineStr">
        <is>
          <t>Entrega em campo dos equipamentos e componentes dos cubículos de média tensão 3ª UF</t>
        </is>
      </c>
      <c r="M605" s="391">
        <f>O605/$O$602</f>
        <v/>
      </c>
      <c r="N605" s="1383" t="n"/>
      <c r="O605" s="1340" t="n">
        <v>569608.5</v>
      </c>
      <c r="P605" s="553" t="n">
        <v>42</v>
      </c>
      <c r="Q605" s="1340" t="n">
        <v>1582713.75</v>
      </c>
    </row>
    <row r="606" outlineLevel="1" ht="28.2" customHeight="1" thickBot="1">
      <c r="A606" s="228">
        <f>'01_Preço'!$A$347</f>
        <v/>
      </c>
      <c r="B606" s="163" t="inlineStr">
        <is>
          <t>2.16.05 a 2.16.08</t>
        </is>
      </c>
      <c r="C606" s="168">
        <f>'01_Preço'!$B$356</f>
        <v/>
      </c>
      <c r="D606" s="167" t="inlineStr">
        <is>
          <t>Equipamentos e materiais</t>
        </is>
      </c>
      <c r="E606" s="453" t="n">
        <v>60</v>
      </c>
      <c r="F606" s="1343">
        <f>VLOOKUP(E606,'Tabela de mês'!$A$1:$B$70,2,TRUE)</f>
        <v/>
      </c>
      <c r="G606" s="510" t="inlineStr">
        <is>
          <t>307-MAT</t>
        </is>
      </c>
      <c r="H606" s="161" t="inlineStr">
        <is>
          <t>ERZEG</t>
        </is>
      </c>
      <c r="I606" s="163" t="inlineStr">
        <is>
          <t>INSIGHT</t>
        </is>
      </c>
      <c r="J606" s="161" t="n"/>
      <c r="K606" s="161" t="n"/>
      <c r="L606" s="422" t="inlineStr">
        <is>
          <t>Entrega em campo dos equipamentos e componentes dos cubículos de média tensão com disjuntor de UG e serviço auxiliar incorporado associados a 4ª UF</t>
        </is>
      </c>
      <c r="M606" s="391">
        <f>O606/$O$602</f>
        <v/>
      </c>
      <c r="N606" s="1384" t="n"/>
      <c r="O606" s="1340" t="n">
        <v>1708825.5</v>
      </c>
      <c r="P606" s="553" t="n">
        <v>52</v>
      </c>
      <c r="Q606" s="1340" t="n">
        <v>527571.25</v>
      </c>
    </row>
    <row r="607" ht="16.2" customHeight="1" thickBot="1">
      <c r="A607" s="1332" t="inlineStr">
        <is>
          <t>2.18 - Sistema de Ar Comprimido</t>
        </is>
      </c>
      <c r="B607" s="1139" t="n"/>
      <c r="C607" s="1139" t="n"/>
      <c r="D607" s="1139" t="n"/>
      <c r="E607" s="1139" t="n"/>
      <c r="F607" s="1139" t="n"/>
      <c r="G607" s="1139" t="n"/>
      <c r="H607" s="1139" t="n"/>
      <c r="I607" s="1139" t="n"/>
      <c r="J607" s="1139" t="n"/>
      <c r="K607" s="1139" t="n"/>
      <c r="L607" s="1139" t="n"/>
      <c r="M607" s="1140" t="n"/>
      <c r="N607" s="1360">
        <f>SUM(O608,O613:O620)</f>
        <v/>
      </c>
      <c r="O607" s="1385" t="n"/>
      <c r="P607" s="1053" t="n"/>
      <c r="Q607" s="424" t="n"/>
    </row>
    <row r="608" outlineLevel="1" ht="14.4" customHeight="1">
      <c r="A608" s="464">
        <f>'01_Preço'!$A$365</f>
        <v/>
      </c>
      <c r="B608" s="486">
        <f>'01_Preço'!A366</f>
        <v/>
      </c>
      <c r="C608" s="486">
        <f>'01_Preço'!B366</f>
        <v/>
      </c>
      <c r="D608" s="678" t="inlineStr">
        <is>
          <t>Equipamentos e materiais</t>
        </is>
      </c>
      <c r="E608" s="479" t="n"/>
      <c r="F608" s="479" t="n"/>
      <c r="G608" s="487" t="n"/>
      <c r="H608" s="487" t="n"/>
      <c r="I608" s="487" t="n"/>
      <c r="J608" s="487" t="n"/>
      <c r="K608" s="487" t="n"/>
      <c r="L608" s="678">
        <f>'01_Preço'!E366</f>
        <v/>
      </c>
      <c r="M608" s="687">
        <f>O608/$N$607</f>
        <v/>
      </c>
      <c r="N608" s="1382" t="n"/>
      <c r="O608" s="1362">
        <f>SUM(O609:O612)</f>
        <v/>
      </c>
      <c r="P608" s="552" t="n"/>
      <c r="Q608" s="1346" t="n"/>
    </row>
    <row r="609" outlineLevel="1" ht="40.5" customHeight="1">
      <c r="A609" s="393">
        <f>'01_Preço'!$A$365</f>
        <v/>
      </c>
      <c r="B609" s="389">
        <f>'01_Preço'!A366</f>
        <v/>
      </c>
      <c r="C609" s="389">
        <f>'01_Preço'!B366</f>
        <v/>
      </c>
      <c r="D609" s="423">
        <f>'01_Preço'!E366</f>
        <v/>
      </c>
      <c r="E609" s="450" t="n">
        <v>16</v>
      </c>
      <c r="F609" s="1339">
        <f>VLOOKUP(E609,'Tabela de mês'!$A$1:$B$70,2,TRUE)</f>
        <v/>
      </c>
      <c r="G609" s="511" t="inlineStr">
        <is>
          <t>316-SER</t>
        </is>
      </c>
      <c r="H609" s="163" t="inlineStr">
        <is>
          <t>ALL ENERGY</t>
        </is>
      </c>
      <c r="I609" s="163" t="inlineStr">
        <is>
          <t>INSIGHT</t>
        </is>
      </c>
      <c r="J609" s="163" t="n"/>
      <c r="K609" s="163" t="n"/>
      <c r="L609" s="423" t="inlineStr">
        <is>
          <t>Aprovação do Plano de Emissão de Documentos do Sistema de Ar Comprimido</t>
        </is>
      </c>
      <c r="M609" s="391">
        <f>O609/$O$608</f>
        <v/>
      </c>
      <c r="N609" s="1340" t="n"/>
      <c r="O609" s="1340" t="n">
        <v>3315.232329860831</v>
      </c>
      <c r="P609" s="563" t="n"/>
      <c r="Q609" s="1338" t="n"/>
      <c r="S609" s="662" t="inlineStr">
        <is>
          <t>SIM</t>
        </is>
      </c>
    </row>
    <row r="610" outlineLevel="1" ht="40.5" customHeight="1">
      <c r="A610" s="668">
        <f>'01_Preço'!$A$365</f>
        <v/>
      </c>
      <c r="B610" s="417">
        <f>'01_Preço'!A366</f>
        <v/>
      </c>
      <c r="C610" s="417">
        <f>'01_Preço'!B366</f>
        <v/>
      </c>
      <c r="D610" s="390">
        <f>'01_Preço'!E366</f>
        <v/>
      </c>
      <c r="E610" s="731" t="n">
        <v>25</v>
      </c>
      <c r="F610" s="1343">
        <f>VLOOKUP(E610,'Tabela de mês'!$A$1:$B$70,2,TRUE)</f>
        <v/>
      </c>
      <c r="G610" s="520" t="inlineStr">
        <is>
          <t>317-SER</t>
        </is>
      </c>
      <c r="H610" s="161" t="inlineStr">
        <is>
          <t>ALL ENERGY</t>
        </is>
      </c>
      <c r="I610" s="496" t="inlineStr">
        <is>
          <t>FAT. DIRETO</t>
        </is>
      </c>
      <c r="J610" s="161" t="n"/>
      <c r="K610" s="161" t="n"/>
      <c r="L610" s="390" t="inlineStr">
        <is>
          <t>Aprovação da Memória de Cálculo e Dimensionamento do Sistema de Ar Comprimido</t>
        </is>
      </c>
      <c r="M610" s="416">
        <f>O610/$O$608</f>
        <v/>
      </c>
      <c r="N610" s="1355" t="n"/>
      <c r="O610" s="1355" t="n">
        <v>13260.9293194433</v>
      </c>
      <c r="P610" s="563" t="n"/>
      <c r="Q610" s="1338" t="n"/>
    </row>
    <row r="611" outlineLevel="1" ht="27.6" customHeight="1">
      <c r="A611" s="393">
        <f>'01_Preço'!$A$365</f>
        <v/>
      </c>
      <c r="B611" s="389">
        <f>'01_Preço'!A366</f>
        <v/>
      </c>
      <c r="C611" s="389">
        <f>'01_Preço'!B366</f>
        <v/>
      </c>
      <c r="D611" s="423">
        <f>'01_Preço'!E366</f>
        <v/>
      </c>
      <c r="E611" s="730" t="n">
        <v>26</v>
      </c>
      <c r="F611" s="1339">
        <f>VLOOKUP(E611,'Tabela de mês'!$A$1:$B$70,2,TRUE)</f>
        <v/>
      </c>
      <c r="G611" s="510" t="inlineStr">
        <is>
          <t>318-SER</t>
        </is>
      </c>
      <c r="H611" s="163" t="inlineStr">
        <is>
          <t>ALL ENERGY</t>
        </is>
      </c>
      <c r="I611" s="497" t="inlineStr">
        <is>
          <t>FAT. DIRETO</t>
        </is>
      </c>
      <c r="J611" s="163" t="n"/>
      <c r="K611" s="163" t="n"/>
      <c r="L611" s="342" t="inlineStr">
        <is>
          <t>Aprovação completa dos Documentos do Projeto Executivo e de Fabricação do Sistema de Ar Comprimido</t>
        </is>
      </c>
      <c r="M611" s="391">
        <f>O611/$O$608</f>
        <v/>
      </c>
      <c r="N611" s="1340" t="n"/>
      <c r="O611" s="1340" t="n">
        <v>43413.2526180516</v>
      </c>
      <c r="P611" s="561" t="n"/>
      <c r="Q611" s="1341" t="n"/>
    </row>
    <row r="612" outlineLevel="1" ht="27.6" customHeight="1">
      <c r="A612" s="228">
        <f>'01_Preço'!$A$365</f>
        <v/>
      </c>
      <c r="B612" s="177">
        <f>'01_Preço'!A366</f>
        <v/>
      </c>
      <c r="C612" s="177">
        <f>'01_Preço'!B366</f>
        <v/>
      </c>
      <c r="D612" s="178">
        <f>'01_Preço'!E366</f>
        <v/>
      </c>
      <c r="E612" s="731" t="n">
        <v>65</v>
      </c>
      <c r="F612" s="1343">
        <f>VLOOKUP(E612,'Tabela de mês'!$A$1:$B$70,2,TRUE)</f>
        <v/>
      </c>
      <c r="G612" s="520" t="inlineStr">
        <is>
          <t>319-SER</t>
        </is>
      </c>
      <c r="H612" s="161" t="inlineStr">
        <is>
          <t>ALL ENERGY</t>
        </is>
      </c>
      <c r="I612" s="496" t="inlineStr">
        <is>
          <t>FAT. DIRETO</t>
        </is>
      </c>
      <c r="J612" s="177" t="n"/>
      <c r="K612" s="177" t="n"/>
      <c r="L612" s="172" t="inlineStr">
        <is>
          <t>Aprovação da versão conforme construído do Projeto do Sistema de Ar Comprimido</t>
        </is>
      </c>
      <c r="M612" s="416">
        <f>O612/$O$608</f>
        <v/>
      </c>
      <c r="N612" s="1374" t="n"/>
      <c r="O612" s="1373" t="n">
        <v>6315.23232986083</v>
      </c>
      <c r="P612" s="560" t="n"/>
      <c r="Q612" s="1341" t="n"/>
    </row>
    <row r="613" outlineLevel="1" ht="27.6" customHeight="1">
      <c r="A613" s="463">
        <f>'01_Preço'!$A$365</f>
        <v/>
      </c>
      <c r="B613" s="469">
        <f>'01_Preço'!A368</f>
        <v/>
      </c>
      <c r="C613" s="469">
        <f>'01_Preço'!B368</f>
        <v/>
      </c>
      <c r="D613" s="471" t="inlineStr">
        <is>
          <t>Equipamentos e materiais</t>
        </is>
      </c>
      <c r="E613" s="449" t="n">
        <v>32</v>
      </c>
      <c r="F613" s="1348">
        <f>VLOOKUP('03_Eventos_pagamentos'!E613,'Tabela de mês'!$A$1:$B$70,2,TRUE)</f>
        <v/>
      </c>
      <c r="G613" s="510" t="inlineStr">
        <is>
          <t>321-SER A</t>
        </is>
      </c>
      <c r="H613" s="441" t="inlineStr">
        <is>
          <t>ALL ENERGY</t>
        </is>
      </c>
      <c r="I613" s="497" t="inlineStr">
        <is>
          <t>FAT. DIRETO</t>
        </is>
      </c>
      <c r="J613" s="441" t="n"/>
      <c r="K613" s="441" t="n"/>
      <c r="L613" s="471" t="inlineStr">
        <is>
          <t>Conclusão da 1ª etapa da desmontagem dos equipamentos e componentes do Sistema de Ar Comprimido - 7kg</t>
        </is>
      </c>
      <c r="M613" s="443">
        <f>O613/$N$607</f>
        <v/>
      </c>
      <c r="N613" s="1346" t="n"/>
      <c r="O613" s="1346" t="n">
        <v>106979.652</v>
      </c>
      <c r="P613" s="560" t="n"/>
      <c r="Q613" s="1341" t="n"/>
    </row>
    <row r="614" outlineLevel="1" ht="27.6" customHeight="1">
      <c r="A614" s="463">
        <f>'01_Preço'!$A$365</f>
        <v/>
      </c>
      <c r="B614" s="469">
        <f>'01_Preço'!A368</f>
        <v/>
      </c>
      <c r="C614" s="469">
        <f>'01_Preço'!B368</f>
        <v/>
      </c>
      <c r="D614" s="471" t="inlineStr">
        <is>
          <t>Equipamentos e materiais</t>
        </is>
      </c>
      <c r="E614" s="449" t="n">
        <v>60</v>
      </c>
      <c r="F614" s="1348">
        <f>VLOOKUP('03_Eventos_pagamentos'!E614,'Tabela de mês'!$A$1:$B$70,2,TRUE)</f>
        <v/>
      </c>
      <c r="G614" s="510" t="inlineStr">
        <is>
          <t>321-SER B</t>
        </is>
      </c>
      <c r="H614" s="441" t="inlineStr">
        <is>
          <t>ALL ENERGY</t>
        </is>
      </c>
      <c r="I614" s="497" t="inlineStr">
        <is>
          <t>FAT. DIRETO</t>
        </is>
      </c>
      <c r="J614" s="441" t="n"/>
      <c r="K614" s="441" t="n"/>
      <c r="L614" s="471" t="inlineStr">
        <is>
          <t>Conclusão da etapa final de desmontagem dos equipamentos e componentes do Sistema de Ar Comprimido - 25kg</t>
        </is>
      </c>
      <c r="M614" s="443">
        <f>O614/$N$607</f>
        <v/>
      </c>
      <c r="N614" s="1357" t="n"/>
      <c r="O614" s="1346" t="n">
        <v>71319.76800000001</v>
      </c>
      <c r="P614" s="560" t="n"/>
      <c r="Q614" s="1341" t="n"/>
    </row>
    <row r="615" outlineLevel="1" ht="27.6" customHeight="1">
      <c r="A615" s="463">
        <f>'01_Preço'!$A$365</f>
        <v/>
      </c>
      <c r="B615" s="469">
        <f>'01_Preço'!A368</f>
        <v/>
      </c>
      <c r="C615" s="469">
        <f>'01_Preço'!B368</f>
        <v/>
      </c>
      <c r="D615" s="471" t="inlineStr">
        <is>
          <t>Equipamentos e materiais</t>
        </is>
      </c>
      <c r="E615" s="449" t="n">
        <v>33</v>
      </c>
      <c r="F615" s="1348">
        <f>VLOOKUP('03_Eventos_pagamentos'!E615,'Tabela de mês'!$A$1:$B$70,2,TRUE)</f>
        <v/>
      </c>
      <c r="G615" s="510" t="inlineStr">
        <is>
          <t>321-SER C</t>
        </is>
      </c>
      <c r="H615" s="441" t="inlineStr">
        <is>
          <t>ALL ENERGY</t>
        </is>
      </c>
      <c r="I615" s="497" t="inlineStr">
        <is>
          <t>FAT. DIRETO</t>
        </is>
      </c>
      <c r="J615" s="441" t="n"/>
      <c r="K615" s="441" t="n"/>
      <c r="L615" s="471" t="inlineStr">
        <is>
          <t>Conclusão da 1ª etapa da montagem dos equipamentos e componentes do Sistema de Ar Comprimido 7kg</t>
        </is>
      </c>
      <c r="M615" s="443">
        <f>O615/$N$607</f>
        <v/>
      </c>
      <c r="N615" s="1357" t="n"/>
      <c r="O615" s="1346" t="n">
        <v>106979.652</v>
      </c>
      <c r="P615" s="560" t="n"/>
      <c r="Q615" s="1341" t="n"/>
    </row>
    <row r="616" outlineLevel="1" ht="27.6" customHeight="1">
      <c r="A616" s="463">
        <f>'01_Preço'!$A$365</f>
        <v/>
      </c>
      <c r="B616" s="469">
        <f>'01_Preço'!A368</f>
        <v/>
      </c>
      <c r="C616" s="469">
        <f>'01_Preço'!B368</f>
        <v/>
      </c>
      <c r="D616" s="471" t="inlineStr">
        <is>
          <t>Equipamentos e materiais</t>
        </is>
      </c>
      <c r="E616" s="449" t="n">
        <v>61</v>
      </c>
      <c r="F616" s="1348">
        <f>VLOOKUP('03_Eventos_pagamentos'!E616,'Tabela de mês'!$A$1:$B$70,2,TRUE)</f>
        <v/>
      </c>
      <c r="G616" s="510" t="inlineStr">
        <is>
          <t>321-SER D</t>
        </is>
      </c>
      <c r="H616" s="441" t="inlineStr">
        <is>
          <t>ALL ENERGY</t>
        </is>
      </c>
      <c r="I616" s="497" t="inlineStr">
        <is>
          <t>FAT. DIRETO</t>
        </is>
      </c>
      <c r="J616" s="441" t="n"/>
      <c r="K616" s="441" t="n"/>
      <c r="L616" s="471" t="inlineStr">
        <is>
          <t>Conclusão da etapa final da montagem dos equipamentos e componentes do Sistema de Ar Comprimido 7kg</t>
        </is>
      </c>
      <c r="M616" s="443">
        <f>O616/$N$607</f>
        <v/>
      </c>
      <c r="N616" s="1357" t="n"/>
      <c r="O616" s="1346" t="n">
        <v>71319.76800000001</v>
      </c>
      <c r="P616" s="560" t="n"/>
      <c r="Q616" s="1341" t="n"/>
    </row>
    <row r="617" outlineLevel="1" ht="27.6" customHeight="1">
      <c r="A617" s="463">
        <f>'01_Preço'!$A$365</f>
        <v/>
      </c>
      <c r="B617" s="469">
        <f>'01_Preço'!A370</f>
        <v/>
      </c>
      <c r="C617" s="469">
        <f>'01_Preço'!B370</f>
        <v/>
      </c>
      <c r="D617" s="471">
        <f>'01_Preço'!E370</f>
        <v/>
      </c>
      <c r="E617" s="449" t="n">
        <v>34</v>
      </c>
      <c r="F617" s="1348">
        <f>VLOOKUP('03_Eventos_pagamentos'!E617,'Tabela de mês'!$A$1:$B$70,2,TRUE)</f>
        <v/>
      </c>
      <c r="G617" s="510" t="inlineStr">
        <is>
          <t>322-SER A</t>
        </is>
      </c>
      <c r="H617" s="441" t="inlineStr">
        <is>
          <t>ALL ENERGY</t>
        </is>
      </c>
      <c r="I617" s="497" t="inlineStr">
        <is>
          <t>FAT. DIRETO</t>
        </is>
      </c>
      <c r="J617" s="441" t="n"/>
      <c r="K617" s="441" t="n"/>
      <c r="L617" s="471" t="inlineStr">
        <is>
          <t>Conclusão da 1ª etapa do Comissionamento do Sistema de Ar Comprimido</t>
        </is>
      </c>
      <c r="M617" s="443">
        <f>O617/$N$607</f>
        <v/>
      </c>
      <c r="N617" s="1346" t="n"/>
      <c r="O617" s="1346" t="n">
        <v>17729.76</v>
      </c>
      <c r="P617" s="560" t="n"/>
      <c r="Q617" s="1341" t="n"/>
    </row>
    <row r="618" outlineLevel="1" ht="27.6" customHeight="1">
      <c r="A618" s="463">
        <f>'01_Preço'!$A$365</f>
        <v/>
      </c>
      <c r="B618" s="469">
        <f>'01_Preço'!A370</f>
        <v/>
      </c>
      <c r="C618" s="469">
        <f>'01_Preço'!B370</f>
        <v/>
      </c>
      <c r="D618" s="471">
        <f>'01_Preço'!E370</f>
        <v/>
      </c>
      <c r="E618" s="449" t="n">
        <v>62</v>
      </c>
      <c r="F618" s="1348">
        <f>VLOOKUP('03_Eventos_pagamentos'!E618,'Tabela de mês'!$A$1:$B$70,2,TRUE)</f>
        <v/>
      </c>
      <c r="G618" s="510" t="inlineStr">
        <is>
          <t>322-SER B</t>
        </is>
      </c>
      <c r="H618" s="441" t="inlineStr">
        <is>
          <t>ALL ENERGY</t>
        </is>
      </c>
      <c r="I618" s="497" t="inlineStr">
        <is>
          <t>FAT. DIRETO</t>
        </is>
      </c>
      <c r="J618" s="441" t="n"/>
      <c r="K618" s="441" t="n"/>
      <c r="L618" s="471" t="inlineStr">
        <is>
          <t>Conclusão da etapa final do Comissionamento do Sistema de Ar Comprimido</t>
        </is>
      </c>
      <c r="M618" s="443">
        <f>O618/$N$607</f>
        <v/>
      </c>
      <c r="N618" s="1357" t="n"/>
      <c r="O618" s="1346" t="n">
        <v>17729.76</v>
      </c>
      <c r="P618" s="560" t="n"/>
      <c r="Q618" s="1341" t="n"/>
    </row>
    <row r="619" outlineLevel="1" ht="27.6" customHeight="1">
      <c r="A619" s="463">
        <f>'01_Preço'!$A$365</f>
        <v/>
      </c>
      <c r="B619" s="469">
        <f>CONCATENATE('01_Preço'!$A$372)</f>
        <v/>
      </c>
      <c r="C619" s="469">
        <f>'01_Preço'!B372</f>
        <v/>
      </c>
      <c r="D619" s="471">
        <f>'01_Preço'!E372</f>
        <v/>
      </c>
      <c r="E619" s="449" t="n">
        <v>31</v>
      </c>
      <c r="F619" s="1348">
        <f>VLOOKUP('03_Eventos_pagamentos'!E619,'Tabela de mês'!$A$1:$B$70,2,TRUE)</f>
        <v/>
      </c>
      <c r="G619" s="510" t="inlineStr">
        <is>
          <t>320-MAT A</t>
        </is>
      </c>
      <c r="H619" s="441" t="inlineStr">
        <is>
          <t>ALL ENERGY</t>
        </is>
      </c>
      <c r="I619" s="497" t="inlineStr">
        <is>
          <t>FAT. DIRETO</t>
        </is>
      </c>
      <c r="J619" s="441" t="n"/>
      <c r="K619" s="441" t="n"/>
      <c r="L619" s="471" t="inlineStr">
        <is>
          <t>Entrega em campo dos compressores para o sistema de ar de baixa pressão</t>
        </is>
      </c>
      <c r="M619" s="443">
        <f>O619/$N$607</f>
        <v/>
      </c>
      <c r="N619" s="1357" t="n"/>
      <c r="O619" s="1346" t="n">
        <v>300896.6</v>
      </c>
      <c r="P619" s="560" t="n"/>
      <c r="Q619" s="1341" t="n"/>
    </row>
    <row r="620" outlineLevel="1" ht="43.95" customHeight="1" thickBot="1">
      <c r="A620" s="463">
        <f>'01_Preço'!$A$365</f>
        <v/>
      </c>
      <c r="B620" s="469">
        <f>CONCATENATE("",'01_Preço'!$A$374,)</f>
        <v/>
      </c>
      <c r="C620" s="469">
        <f>'01_Preço'!B374</f>
        <v/>
      </c>
      <c r="D620" s="471">
        <f>'01_Preço'!E374</f>
        <v/>
      </c>
      <c r="E620" s="449" t="n">
        <v>31</v>
      </c>
      <c r="F620" s="1348">
        <f>VLOOKUP('03_Eventos_pagamentos'!E620,'Tabela de mês'!$A$1:$B$70,2,TRUE)</f>
        <v/>
      </c>
      <c r="G620" s="510" t="inlineStr">
        <is>
          <t>320-MAT B</t>
        </is>
      </c>
      <c r="H620" s="441" t="inlineStr">
        <is>
          <t>ALL ENERGY</t>
        </is>
      </c>
      <c r="I620" s="497" t="inlineStr">
        <is>
          <t>FAT. DIRETO</t>
        </is>
      </c>
      <c r="J620" s="441" t="n"/>
      <c r="K620" s="441" t="n"/>
      <c r="L620" s="471" t="inlineStr">
        <is>
          <t>Entrega em campo das tubulações, suportes, adaptações e acessórios para o Sistema de Ar Comprimido</t>
        </is>
      </c>
      <c r="M620" s="443">
        <f>O620/$N$607</f>
        <v/>
      </c>
      <c r="N620" s="1357" t="n"/>
      <c r="O620" s="1346" t="n">
        <v>81936.42999999999</v>
      </c>
      <c r="P620" s="560" t="n"/>
      <c r="Q620" s="1341" t="n"/>
    </row>
    <row r="621" ht="16.2" customHeight="1" thickBot="1">
      <c r="A621" s="1332" t="inlineStr">
        <is>
          <t>2.21 - Interferências Civis</t>
        </is>
      </c>
      <c r="B621" s="1139" t="n"/>
      <c r="C621" s="1139" t="n"/>
      <c r="D621" s="1139" t="n"/>
      <c r="E621" s="1139" t="n"/>
      <c r="F621" s="1139" t="n"/>
      <c r="G621" s="1139" t="n"/>
      <c r="H621" s="1139" t="n"/>
      <c r="I621" s="1139" t="n"/>
      <c r="J621" s="1139" t="n"/>
      <c r="K621" s="1139" t="n"/>
      <c r="L621" s="1139" t="n"/>
      <c r="M621" s="1140" t="n"/>
      <c r="N621" s="1360">
        <f>SUM(O622,O629:O630,O635:O644)</f>
        <v/>
      </c>
      <c r="O621" s="503" t="n"/>
      <c r="P621" s="1053" t="n"/>
      <c r="Q621" s="424" t="n"/>
    </row>
    <row r="622" outlineLevel="1" ht="14.4" customHeight="1">
      <c r="A622" s="685">
        <f>'01_Preço'!$A$376</f>
        <v/>
      </c>
      <c r="B622" s="683">
        <f>'01_Preço'!A377</f>
        <v/>
      </c>
      <c r="C622" s="677">
        <f>'01_Preço'!B377</f>
        <v/>
      </c>
      <c r="D622" s="686">
        <f>'01_Preço'!E377</f>
        <v/>
      </c>
      <c r="E622" s="721" t="n"/>
      <c r="F622" s="721" t="n"/>
      <c r="G622" s="683" t="n"/>
      <c r="H622" s="683" t="n"/>
      <c r="I622" s="683" t="n"/>
      <c r="J622" s="683" t="n"/>
      <c r="K622" s="683" t="n"/>
      <c r="L622" s="686">
        <f>'01_Preço'!E377</f>
        <v/>
      </c>
      <c r="M622" s="687">
        <f>O622/$N$621</f>
        <v/>
      </c>
      <c r="N622" s="1382" t="n"/>
      <c r="O622" s="1386">
        <f>SUM(O623:O628)</f>
        <v/>
      </c>
      <c r="P622" s="556" t="n"/>
      <c r="Q622" s="1346" t="n"/>
    </row>
    <row r="623" outlineLevel="1" ht="14.4" customHeight="1">
      <c r="A623" s="393">
        <f>'01_Preço'!$A$376</f>
        <v/>
      </c>
      <c r="B623" s="163">
        <f>'01_Preço'!A377</f>
        <v/>
      </c>
      <c r="C623" s="163">
        <f>'01_Preço'!B377</f>
        <v/>
      </c>
      <c r="D623" s="167">
        <f>'01_Preço'!E377</f>
        <v/>
      </c>
      <c r="E623" s="450" t="n">
        <v>16</v>
      </c>
      <c r="F623" s="1339">
        <f>VLOOKUP(E623,'Tabela de mês'!$A$1:$B$70,2,TRUE)</f>
        <v/>
      </c>
      <c r="G623" s="511" t="inlineStr">
        <is>
          <t>323-SER</t>
        </is>
      </c>
      <c r="H623" s="163" t="inlineStr">
        <is>
          <t>INSIGHT</t>
        </is>
      </c>
      <c r="I623" s="163" t="inlineStr">
        <is>
          <t>INSIGHT</t>
        </is>
      </c>
      <c r="J623" s="163" t="n"/>
      <c r="K623" s="163" t="n"/>
      <c r="L623" s="167" t="inlineStr">
        <is>
          <t>Aprovação do plano de emissão de documentos das interferências civis</t>
        </is>
      </c>
      <c r="M623" s="391">
        <f>O623/$O$622</f>
        <v/>
      </c>
      <c r="N623" s="1342" t="n"/>
      <c r="O623" s="1342" t="n">
        <v>11005.77</v>
      </c>
      <c r="P623" s="561" t="n"/>
      <c r="Q623" s="1341" t="n"/>
      <c r="S623" s="662" t="inlineStr">
        <is>
          <t>SIM</t>
        </is>
      </c>
    </row>
    <row r="624" outlineLevel="1" ht="27.6" customHeight="1">
      <c r="A624" s="393">
        <f>'01_Preço'!$A$376</f>
        <v/>
      </c>
      <c r="B624" s="389">
        <f>'01_Preço'!A377</f>
        <v/>
      </c>
      <c r="C624" s="389">
        <f>'01_Preço'!B377</f>
        <v/>
      </c>
      <c r="D624" s="423">
        <f>'01_Preço'!E377</f>
        <v/>
      </c>
      <c r="E624" s="730" t="n">
        <v>22</v>
      </c>
      <c r="F624" s="1339">
        <f>VLOOKUP(E624,'Tabela de mês'!$A$1:$B$70,2,TRUE)</f>
        <v/>
      </c>
      <c r="G624" s="511" t="inlineStr">
        <is>
          <t>324-SER</t>
        </is>
      </c>
      <c r="H624" s="163" t="inlineStr">
        <is>
          <t>INSIGHT</t>
        </is>
      </c>
      <c r="I624" s="163" t="inlineStr">
        <is>
          <t>INSIGHT</t>
        </is>
      </c>
      <c r="J624" s="163" t="n"/>
      <c r="K624" s="163" t="n"/>
      <c r="L624" s="423" t="inlineStr">
        <is>
          <t>Aprovação dos Documentos dos projetos de canaletas, demolição da casa de força</t>
        </is>
      </c>
      <c r="M624" s="391">
        <f>O624/$O$622</f>
        <v/>
      </c>
      <c r="N624" s="1340" t="n"/>
      <c r="O624" s="1340" t="n">
        <v>48425.38</v>
      </c>
      <c r="P624" s="561" t="n"/>
      <c r="Q624" s="1341" t="n"/>
    </row>
    <row r="625" outlineLevel="1" ht="27.6" customHeight="1">
      <c r="A625" s="393">
        <f>'01_Preço'!$A$376</f>
        <v/>
      </c>
      <c r="B625" s="389">
        <f>'01_Preço'!A377</f>
        <v/>
      </c>
      <c r="C625" s="389">
        <f>'01_Preço'!B377</f>
        <v/>
      </c>
      <c r="D625" s="423">
        <f>'01_Preço'!E377</f>
        <v/>
      </c>
      <c r="E625" s="730" t="n">
        <v>23</v>
      </c>
      <c r="F625" s="1339">
        <f>VLOOKUP(E625,'Tabela de mês'!$A$1:$B$70,2,TRUE)</f>
        <v/>
      </c>
      <c r="G625" s="511" t="inlineStr">
        <is>
          <t>325-SER</t>
        </is>
      </c>
      <c r="H625" s="163" t="inlineStr">
        <is>
          <t>INSIGHT</t>
        </is>
      </c>
      <c r="I625" s="163" t="inlineStr">
        <is>
          <t>INSIGHT</t>
        </is>
      </c>
      <c r="J625" s="163" t="n"/>
      <c r="K625" s="163" t="n"/>
      <c r="L625" s="423" t="inlineStr">
        <is>
          <t>Aprovação de Documentos do Projeto Executivo Civil da edícula do GMG e abrigo de óleo</t>
        </is>
      </c>
      <c r="M625" s="391">
        <f>O625/$O$622</f>
        <v/>
      </c>
      <c r="N625" s="1340" t="n"/>
      <c r="O625" s="1340" t="n">
        <v>48425.38</v>
      </c>
      <c r="P625" s="561" t="n"/>
      <c r="Q625" s="1341" t="n"/>
    </row>
    <row r="626" outlineLevel="1" ht="27.6" customHeight="1">
      <c r="A626" s="393">
        <f>'01_Preço'!$A$376</f>
        <v/>
      </c>
      <c r="B626" s="389">
        <f>'01_Preço'!A377</f>
        <v/>
      </c>
      <c r="C626" s="389">
        <f>'01_Preço'!B377</f>
        <v/>
      </c>
      <c r="D626" s="423">
        <f>'01_Preço'!E377</f>
        <v/>
      </c>
      <c r="E626" s="730" t="n">
        <v>24</v>
      </c>
      <c r="F626" s="1339">
        <f>VLOOKUP(E626,'Tabela de mês'!$A$1:$B$70,2,TRUE)</f>
        <v/>
      </c>
      <c r="G626" s="511" t="inlineStr">
        <is>
          <t>326-SER</t>
        </is>
      </c>
      <c r="H626" s="163" t="inlineStr">
        <is>
          <t>INSIGHT</t>
        </is>
      </c>
      <c r="I626" s="163" t="inlineStr">
        <is>
          <t>INSIGHT</t>
        </is>
      </c>
      <c r="J626" s="163" t="n"/>
      <c r="K626" s="163" t="n"/>
      <c r="L626" s="423" t="inlineStr">
        <is>
          <t>Aprovação dos Documentos do Projeto Executivo Civil das edículas dos vertedouros, tomada d'agua</t>
        </is>
      </c>
      <c r="M626" s="391">
        <f>O626/$O$622</f>
        <v/>
      </c>
      <c r="N626" s="1340" t="n"/>
      <c r="O626" s="1340" t="n">
        <v>66034.61</v>
      </c>
      <c r="P626" s="561" t="n"/>
      <c r="Q626" s="1341" t="n"/>
    </row>
    <row r="627" outlineLevel="1" ht="14.4" customHeight="1">
      <c r="A627" s="393">
        <f>'01_Preço'!$A$376</f>
        <v/>
      </c>
      <c r="B627" s="163">
        <f>'01_Preço'!A377</f>
        <v/>
      </c>
      <c r="C627" s="163">
        <f>'01_Preço'!B377</f>
        <v/>
      </c>
      <c r="D627" s="167">
        <f>'01_Preço'!E377</f>
        <v/>
      </c>
      <c r="E627" s="730" t="n">
        <v>65</v>
      </c>
      <c r="F627" s="1339">
        <f>VLOOKUP(E627,'Tabela de mês'!$A$1:$B$70,2,TRUE)</f>
        <v/>
      </c>
      <c r="G627" s="511" t="inlineStr">
        <is>
          <t>327-SER</t>
        </is>
      </c>
      <c r="H627" s="163" t="inlineStr">
        <is>
          <t>INSIGHT</t>
        </is>
      </c>
      <c r="I627" s="163" t="inlineStr">
        <is>
          <t>INSIGHT</t>
        </is>
      </c>
      <c r="J627" s="163" t="n"/>
      <c r="K627" s="163" t="n"/>
      <c r="L627" s="165" t="inlineStr">
        <is>
          <t>Emissão do Auto de Vistoria do Corpo de Bombeiros (AVCB)</t>
        </is>
      </c>
      <c r="M627" s="391">
        <f>O627/$O$622</f>
        <v/>
      </c>
      <c r="N627" s="1342" t="n"/>
      <c r="O627" s="1342" t="n">
        <v>24212.69</v>
      </c>
      <c r="P627" s="561" t="n"/>
      <c r="Q627" s="1341" t="n"/>
    </row>
    <row r="628" outlineLevel="1" ht="14.4" customHeight="1">
      <c r="A628" s="393">
        <f>'01_Preço'!$A$376</f>
        <v/>
      </c>
      <c r="B628" s="163">
        <f>'01_Preço'!A377</f>
        <v/>
      </c>
      <c r="C628" s="163">
        <f>'01_Preço'!B377</f>
        <v/>
      </c>
      <c r="D628" s="167">
        <f>'01_Preço'!E377</f>
        <v/>
      </c>
      <c r="E628" s="730" t="n">
        <v>65</v>
      </c>
      <c r="F628" s="1339">
        <f>VLOOKUP(E628,'Tabela de mês'!$A$1:$B$70,2,TRUE)</f>
        <v/>
      </c>
      <c r="G628" s="511" t="inlineStr">
        <is>
          <t>328-SER</t>
        </is>
      </c>
      <c r="H628" s="163" t="inlineStr">
        <is>
          <t>INSIGHT</t>
        </is>
      </c>
      <c r="I628" s="163" t="inlineStr">
        <is>
          <t>INSIGHT</t>
        </is>
      </c>
      <c r="J628" s="163" t="n"/>
      <c r="K628" s="163" t="n"/>
      <c r="L628" s="165" t="inlineStr">
        <is>
          <t>Aprovação da versão conforme construído do Projeto das Interferências Civis</t>
        </is>
      </c>
      <c r="M628" s="391">
        <f>O628/$O$622</f>
        <v/>
      </c>
      <c r="N628" s="1342" t="n"/>
      <c r="O628" s="1342" t="n">
        <v>22011.54</v>
      </c>
      <c r="P628" s="561" t="n"/>
      <c r="Q628" s="1341" t="n"/>
    </row>
    <row r="629" outlineLevel="1" ht="14.4" customHeight="1">
      <c r="A629" s="463">
        <f>'01_Preço'!$A$376</f>
        <v/>
      </c>
      <c r="B629" s="441">
        <f>'01_Preço'!A379</f>
        <v/>
      </c>
      <c r="C629" s="469">
        <f>'01_Preço'!B379</f>
        <v/>
      </c>
      <c r="D629" s="471">
        <f>'01_Preço'!E379</f>
        <v/>
      </c>
      <c r="E629" s="449" t="n">
        <v>19</v>
      </c>
      <c r="F629" s="1348">
        <f>VLOOKUP(E629,'Tabela de mês'!$A$1:$B$70,2,TRUE)</f>
        <v/>
      </c>
      <c r="G629" s="511" t="inlineStr">
        <is>
          <t>329-SER</t>
        </is>
      </c>
      <c r="H629" s="441" t="inlineStr">
        <is>
          <t>INSIGHT</t>
        </is>
      </c>
      <c r="I629" s="441" t="inlineStr">
        <is>
          <t>INSIGHT</t>
        </is>
      </c>
      <c r="J629" s="441" t="n"/>
      <c r="K629" s="441" t="n"/>
      <c r="L629" s="471">
        <f>'01_Preço'!E379</f>
        <v/>
      </c>
      <c r="M629" s="443">
        <f>O629/$N$621</f>
        <v/>
      </c>
      <c r="N629" s="1357" t="n"/>
      <c r="O629" s="1346" t="n">
        <v>325662.58</v>
      </c>
      <c r="P629" s="556" t="n"/>
      <c r="Q629" s="1346" t="n"/>
      <c r="S629" s="663" t="inlineStr">
        <is>
          <t>PARCIAL</t>
        </is>
      </c>
    </row>
    <row r="630" outlineLevel="1" ht="41.4" customHeight="1">
      <c r="A630" s="685">
        <f>'01_Preço'!$A$376</f>
        <v/>
      </c>
      <c r="B630" s="683">
        <f>'01_Preço'!A381</f>
        <v/>
      </c>
      <c r="C630" s="677">
        <f>'01_Preço'!B381</f>
        <v/>
      </c>
      <c r="D630" s="686" t="inlineStr">
        <is>
          <t>Obras civis</t>
        </is>
      </c>
      <c r="E630" s="721" t="n"/>
      <c r="F630" s="721" t="n"/>
      <c r="G630" s="683" t="n"/>
      <c r="H630" s="683" t="inlineStr">
        <is>
          <t>INSIGHT</t>
        </is>
      </c>
      <c r="I630" s="683" t="inlineStr">
        <is>
          <t>INSIGHT</t>
        </is>
      </c>
      <c r="J630" s="683" t="n"/>
      <c r="K630" s="683" t="n"/>
      <c r="L630" s="686">
        <f>'01_Preço'!E381</f>
        <v/>
      </c>
      <c r="M630" s="687">
        <f>O630/$N$621</f>
        <v/>
      </c>
      <c r="N630" s="1382" t="n"/>
      <c r="O630" s="1386">
        <f>SUM(O631:O634)</f>
        <v/>
      </c>
      <c r="P630" s="462" t="n">
        <v>19</v>
      </c>
      <c r="Q630" s="1346">
        <f>0.5*O630</f>
        <v/>
      </c>
    </row>
    <row r="631" outlineLevel="1" ht="27.6" customHeight="1">
      <c r="A631" s="393">
        <f>'01_Preço'!$A$376</f>
        <v/>
      </c>
      <c r="B631" s="389">
        <f>'01_Preço'!A381</f>
        <v/>
      </c>
      <c r="C631" s="413">
        <f>'01_Preço'!B381</f>
        <v/>
      </c>
      <c r="D631" s="414" t="inlineStr">
        <is>
          <t>Obras civis</t>
        </is>
      </c>
      <c r="E631" s="730" t="n">
        <v>20</v>
      </c>
      <c r="F631" s="1339">
        <f>VLOOKUP(E631,'Tabela de mês'!$A$1:$B$70,2,TRUE)</f>
        <v/>
      </c>
      <c r="G631" s="511" t="inlineStr">
        <is>
          <t>330-SER</t>
        </is>
      </c>
      <c r="H631" s="389" t="inlineStr">
        <is>
          <t>INSIGHT</t>
        </is>
      </c>
      <c r="I631" s="389" t="inlineStr">
        <is>
          <t>INSIGHT</t>
        </is>
      </c>
      <c r="J631" s="389" t="n"/>
      <c r="K631" s="389" t="n"/>
      <c r="L631" s="414" t="inlineStr">
        <is>
          <t>Demolições e remoções, execução de paredes em alvenaria, recomposição de revestimento de paredes e pisos após intervenções da 1ª UF</t>
        </is>
      </c>
      <c r="M631" s="391">
        <f>O631/$O$630</f>
        <v/>
      </c>
      <c r="N631" s="1340" t="n"/>
      <c r="O631" s="1340" t="n">
        <v>56281.55</v>
      </c>
      <c r="P631" s="556" t="n">
        <v>19</v>
      </c>
      <c r="Q631" s="1346" t="n">
        <v>5000</v>
      </c>
    </row>
    <row r="632" outlineLevel="1" ht="27.6" customHeight="1">
      <c r="A632" s="393">
        <f>'01_Preço'!$A$376</f>
        <v/>
      </c>
      <c r="B632" s="389">
        <f>'01_Preço'!A381</f>
        <v/>
      </c>
      <c r="C632" s="413">
        <f>'01_Preço'!B381</f>
        <v/>
      </c>
      <c r="D632" s="414" t="inlineStr">
        <is>
          <t>Obras civis</t>
        </is>
      </c>
      <c r="E632" s="730" t="n">
        <v>20</v>
      </c>
      <c r="F632" s="1339">
        <f>VLOOKUP(E632,'Tabela de mês'!$A$1:$B$70,2,TRUE)</f>
        <v/>
      </c>
      <c r="G632" s="511" t="inlineStr">
        <is>
          <t>331-SER</t>
        </is>
      </c>
      <c r="H632" s="389" t="inlineStr">
        <is>
          <t>INSIGHT</t>
        </is>
      </c>
      <c r="I632" s="389" t="inlineStr">
        <is>
          <t>INSIGHT</t>
        </is>
      </c>
      <c r="J632" s="389" t="n"/>
      <c r="K632" s="389" t="n"/>
      <c r="L632" s="414" t="inlineStr">
        <is>
          <t>Demolições e remoções, execução de paredes em alvenaria, recomposição de revestimento de paredes e pisos após intervenções da 2ª UF</t>
        </is>
      </c>
      <c r="M632" s="391">
        <f>O632/$O$630</f>
        <v/>
      </c>
      <c r="N632" s="1340" t="n"/>
      <c r="O632" s="1340" t="n">
        <v>56281.55</v>
      </c>
      <c r="P632" s="556" t="n">
        <v>19</v>
      </c>
      <c r="Q632" s="1346" t="n">
        <v>5000</v>
      </c>
    </row>
    <row r="633" outlineLevel="1" ht="27.6" customHeight="1">
      <c r="A633" s="393">
        <f>'01_Preço'!$A$376</f>
        <v/>
      </c>
      <c r="B633" s="389">
        <f>'01_Preço'!A381</f>
        <v/>
      </c>
      <c r="C633" s="413">
        <f>'01_Preço'!B381</f>
        <v/>
      </c>
      <c r="D633" s="414" t="inlineStr">
        <is>
          <t>Obras civis</t>
        </is>
      </c>
      <c r="E633" s="730" t="n">
        <v>20</v>
      </c>
      <c r="F633" s="1339">
        <f>VLOOKUP(E633,'Tabela de mês'!$A$1:$B$70,2,TRUE)</f>
        <v/>
      </c>
      <c r="G633" s="511" t="inlineStr">
        <is>
          <t>332-SER</t>
        </is>
      </c>
      <c r="H633" s="389" t="inlineStr">
        <is>
          <t>INSIGHT</t>
        </is>
      </c>
      <c r="I633" s="389" t="inlineStr">
        <is>
          <t>INSIGHT</t>
        </is>
      </c>
      <c r="J633" s="389" t="n"/>
      <c r="K633" s="389" t="n"/>
      <c r="L633" s="414" t="inlineStr">
        <is>
          <t>Demolições e remoções, execução de paredes em alvenaria, recomposição de revestimento de paredes e pisos após intervenções da 3ª UF</t>
        </is>
      </c>
      <c r="M633" s="391">
        <f>O633/$O$630</f>
        <v/>
      </c>
      <c r="N633" s="1340" t="n"/>
      <c r="O633" s="1340" t="n">
        <v>56281.55</v>
      </c>
      <c r="P633" s="556" t="n">
        <v>19</v>
      </c>
      <c r="Q633" s="1346" t="n">
        <v>5000</v>
      </c>
    </row>
    <row r="634" outlineLevel="1" ht="27.6" customHeight="1">
      <c r="A634" s="668">
        <f>'01_Preço'!$A$376</f>
        <v/>
      </c>
      <c r="B634" s="417">
        <f>'01_Preço'!A381</f>
        <v/>
      </c>
      <c r="C634" s="426">
        <f>'01_Preço'!B385</f>
        <v/>
      </c>
      <c r="D634" s="427" t="inlineStr">
        <is>
          <t>Obras civis</t>
        </is>
      </c>
      <c r="E634" s="453" t="n">
        <v>56</v>
      </c>
      <c r="F634" s="1343">
        <f>VLOOKUP(E634,'Tabela de mês'!$A$1:$B$70,2,TRUE)</f>
        <v/>
      </c>
      <c r="G634" s="513" t="inlineStr">
        <is>
          <t>333-SER</t>
        </is>
      </c>
      <c r="H634" s="417" t="inlineStr">
        <is>
          <t>INSIGHT</t>
        </is>
      </c>
      <c r="I634" s="417" t="inlineStr">
        <is>
          <t>INSIGHT</t>
        </is>
      </c>
      <c r="J634" s="417" t="n"/>
      <c r="K634" s="417" t="n"/>
      <c r="L634" s="427" t="inlineStr">
        <is>
          <t>Demolições e remoções, execução de paredes em alvenaria, recomposição de revestimento de paredes e pisos após intervenções da 4ª UF</t>
        </is>
      </c>
      <c r="M634" s="416">
        <f>O634/$O$630</f>
        <v/>
      </c>
      <c r="N634" s="1355" t="n"/>
      <c r="O634" s="1373" t="n">
        <v>56281.55</v>
      </c>
      <c r="P634" s="462" t="n"/>
      <c r="Q634" s="1346" t="n"/>
    </row>
    <row r="635" outlineLevel="1" ht="14.4" customHeight="1">
      <c r="A635" s="685">
        <f>'01_Preço'!$A$376</f>
        <v/>
      </c>
      <c r="B635" s="683">
        <f>'01_Preço'!A383</f>
        <v/>
      </c>
      <c r="C635" s="677">
        <f>'01_Preço'!B383</f>
        <v/>
      </c>
      <c r="D635" s="686" t="inlineStr">
        <is>
          <t>Obras civis</t>
        </is>
      </c>
      <c r="E635" s="449" t="n">
        <v>60</v>
      </c>
      <c r="F635" s="1348">
        <f>VLOOKUP(E635,'Tabela de mês'!$A$1:$B$70,2,TRUE)</f>
        <v/>
      </c>
      <c r="G635" s="519" t="inlineStr">
        <is>
          <t>334-SER</t>
        </is>
      </c>
      <c r="H635" s="441" t="inlineStr">
        <is>
          <t>INSIGHT</t>
        </is>
      </c>
      <c r="I635" s="441" t="inlineStr">
        <is>
          <t>INSIGHT</t>
        </is>
      </c>
      <c r="J635" s="441" t="n"/>
      <c r="K635" s="441" t="n"/>
      <c r="L635" s="686" t="inlineStr">
        <is>
          <t>Conclusão das adequação civis da Sala de Baterias</t>
        </is>
      </c>
      <c r="M635" s="687">
        <f>O635/$N$621</f>
        <v/>
      </c>
      <c r="N635" s="1382" t="n"/>
      <c r="O635" s="1386" t="n">
        <v>76376.89</v>
      </c>
      <c r="P635" s="556" t="n">
        <v>55</v>
      </c>
      <c r="Q635" s="1346">
        <f>0.5*O635</f>
        <v/>
      </c>
    </row>
    <row r="636" outlineLevel="1" ht="14.4" customHeight="1">
      <c r="A636" s="685">
        <f>'01_Preço'!$A$376</f>
        <v/>
      </c>
      <c r="B636" s="683">
        <f>'01_Preço'!A385</f>
        <v/>
      </c>
      <c r="C636" s="677">
        <f>'01_Preço'!B385</f>
        <v/>
      </c>
      <c r="D636" s="686" t="inlineStr">
        <is>
          <t>Obras civis</t>
        </is>
      </c>
      <c r="E636" s="449" t="n">
        <v>26</v>
      </c>
      <c r="F636" s="1348">
        <f>VLOOKUP(E636,'Tabela de mês'!$A$1:$B$70,2,TRUE)</f>
        <v/>
      </c>
      <c r="G636" s="519" t="inlineStr">
        <is>
          <t>335-SER</t>
        </is>
      </c>
      <c r="H636" s="441" t="inlineStr">
        <is>
          <t>INSIGHT</t>
        </is>
      </c>
      <c r="I636" s="441" t="inlineStr">
        <is>
          <t>INSIGHT</t>
        </is>
      </c>
      <c r="J636" s="441" t="n"/>
      <c r="K636" s="441" t="n"/>
      <c r="L636" s="686" t="inlineStr">
        <is>
          <t>Conclusão das adequação civis do Depósito de Óleo</t>
        </is>
      </c>
      <c r="M636" s="687">
        <f>O636/$N$621</f>
        <v/>
      </c>
      <c r="N636" s="1382" t="n"/>
      <c r="O636" s="1386" t="n">
        <v>90167.16</v>
      </c>
      <c r="P636" s="556" t="n">
        <v>20</v>
      </c>
      <c r="Q636" s="1346">
        <f>0.5*O636</f>
        <v/>
      </c>
    </row>
    <row r="637" outlineLevel="1" ht="27.6" customHeight="1">
      <c r="A637" s="472">
        <f>'01_Preço'!$A$376</f>
        <v/>
      </c>
      <c r="B637" s="436">
        <f>'01_Preço'!A387</f>
        <v/>
      </c>
      <c r="C637" s="467">
        <f>'01_Preço'!B387</f>
        <v/>
      </c>
      <c r="D637" s="470" t="inlineStr">
        <is>
          <t>Obras civis</t>
        </is>
      </c>
      <c r="E637" s="449" t="n">
        <v>32</v>
      </c>
      <c r="F637" s="1348">
        <f>VLOOKUP(E637,'Tabela de mês'!$A$1:$B$70,2,TRUE)</f>
        <v/>
      </c>
      <c r="G637" s="513" t="inlineStr">
        <is>
          <t>336-SER</t>
        </is>
      </c>
      <c r="H637" s="441" t="inlineStr">
        <is>
          <t>INSIGHT</t>
        </is>
      </c>
      <c r="I637" s="441" t="inlineStr">
        <is>
          <t>INSIGHT</t>
        </is>
      </c>
      <c r="J637" s="441" t="n"/>
      <c r="K637" s="441" t="n"/>
      <c r="L637" s="470" t="inlineStr">
        <is>
          <t>Conclusão da construção de edícula para equipamentos e base para instalação de câmeras - Barramento de Guanhães</t>
        </is>
      </c>
      <c r="M637" s="687">
        <f>O637/$N$621</f>
        <v/>
      </c>
      <c r="N637" s="1386" t="n"/>
      <c r="O637" s="1386" t="n">
        <v>90167.16</v>
      </c>
      <c r="P637" s="556" t="n">
        <v>30</v>
      </c>
      <c r="Q637" s="1346">
        <f>0.5*O637</f>
        <v/>
      </c>
    </row>
    <row r="638" outlineLevel="1" ht="27.6" customHeight="1">
      <c r="A638" s="463">
        <f>'01_Preço'!$A$376</f>
        <v/>
      </c>
      <c r="B638" s="441">
        <f>'01_Preço'!A389</f>
        <v/>
      </c>
      <c r="C638" s="469">
        <f>'01_Preço'!B389</f>
        <v/>
      </c>
      <c r="D638" s="471" t="inlineStr">
        <is>
          <t>Obras civis</t>
        </is>
      </c>
      <c r="E638" s="449" t="n">
        <v>32</v>
      </c>
      <c r="F638" s="1348">
        <f>VLOOKUP(E638,'Tabela de mês'!$A$1:$B$70,2,TRUE)</f>
        <v/>
      </c>
      <c r="G638" s="511" t="inlineStr">
        <is>
          <t>337-SER</t>
        </is>
      </c>
      <c r="H638" s="441" t="inlineStr">
        <is>
          <t>INSIGHT</t>
        </is>
      </c>
      <c r="I638" s="441" t="inlineStr">
        <is>
          <t>INSIGHT</t>
        </is>
      </c>
      <c r="J638" s="441" t="n"/>
      <c r="K638" s="441" t="n"/>
      <c r="L638" s="471" t="inlineStr">
        <is>
          <t>Conclusão da construção de edícula para equipamentos e base para instalação de câmeras - Barramento de Santo Antônio</t>
        </is>
      </c>
      <c r="M638" s="443">
        <f>O638/$N$621</f>
        <v/>
      </c>
      <c r="N638" s="1357" t="n"/>
      <c r="O638" s="1346" t="n">
        <v>90167.16</v>
      </c>
      <c r="P638" s="556" t="n">
        <v>30</v>
      </c>
      <c r="Q638" s="1346">
        <f>0.5*O638</f>
        <v/>
      </c>
    </row>
    <row r="639" outlineLevel="1" ht="27.6" customHeight="1">
      <c r="A639" s="685">
        <f>'01_Preço'!$A$376</f>
        <v/>
      </c>
      <c r="B639" s="683">
        <f>'01_Preço'!A391</f>
        <v/>
      </c>
      <c r="C639" s="677">
        <f>'01_Preço'!B391</f>
        <v/>
      </c>
      <c r="D639" s="686" t="inlineStr">
        <is>
          <t>Obras civis</t>
        </is>
      </c>
      <c r="E639" s="449" t="n">
        <v>27</v>
      </c>
      <c r="F639" s="1348">
        <f>VLOOKUP(E639,'Tabela de mês'!$A$1:$B$70,2,TRUE)</f>
        <v/>
      </c>
      <c r="G639" s="519" t="inlineStr">
        <is>
          <t>338-SER</t>
        </is>
      </c>
      <c r="H639" s="441" t="inlineStr">
        <is>
          <t>INSIGHT</t>
        </is>
      </c>
      <c r="I639" s="441" t="inlineStr">
        <is>
          <t>INSIGHT</t>
        </is>
      </c>
      <c r="J639" s="441" t="n"/>
      <c r="K639" s="441" t="n"/>
      <c r="L639" s="686" t="inlineStr">
        <is>
          <t>Conclusão da construção de edícula para equipamentos na Tomada D'água Santo Antônio</t>
        </is>
      </c>
      <c r="M639" s="687">
        <f>O639/$N$621</f>
        <v/>
      </c>
      <c r="N639" s="1382" t="n"/>
      <c r="O639" s="1386" t="n">
        <v>108200.59</v>
      </c>
      <c r="P639" s="556" t="n">
        <v>22</v>
      </c>
      <c r="Q639" s="1346">
        <f>0.5*O639</f>
        <v/>
      </c>
    </row>
    <row r="640" outlineLevel="1" ht="14.4" customHeight="1">
      <c r="A640" s="685">
        <f>'01_Preço'!$A$376</f>
        <v/>
      </c>
      <c r="B640" s="683">
        <f>'01_Preço'!A393</f>
        <v/>
      </c>
      <c r="C640" s="677">
        <f>'01_Preço'!B393</f>
        <v/>
      </c>
      <c r="D640" s="686" t="inlineStr">
        <is>
          <t>Obras civis</t>
        </is>
      </c>
      <c r="E640" s="449" t="n">
        <v>26</v>
      </c>
      <c r="F640" s="1348">
        <f>VLOOKUP(E640,'Tabela de mês'!$A$1:$B$70,2,TRUE)</f>
        <v/>
      </c>
      <c r="G640" s="519" t="inlineStr">
        <is>
          <t>339-SER</t>
        </is>
      </c>
      <c r="H640" s="441" t="inlineStr">
        <is>
          <t>INSIGHT</t>
        </is>
      </c>
      <c r="I640" s="441" t="inlineStr">
        <is>
          <t>INSIGHT</t>
        </is>
      </c>
      <c r="J640" s="441" t="n"/>
      <c r="K640" s="441" t="n"/>
      <c r="L640" s="471" t="inlineStr">
        <is>
          <t>Construção de abrigo para GMG da casa de força</t>
        </is>
      </c>
      <c r="M640" s="443">
        <f>O640/$N$621</f>
        <v/>
      </c>
      <c r="N640" s="1357" t="n"/>
      <c r="O640" s="1386" t="n">
        <v>58343.46</v>
      </c>
      <c r="P640" s="556" t="n">
        <v>20</v>
      </c>
      <c r="Q640" s="1346">
        <f>0.5*O640</f>
        <v/>
      </c>
    </row>
    <row r="641" outlineLevel="1" ht="14.4" customHeight="1">
      <c r="A641" s="472">
        <f>'01_Preço'!$A$376</f>
        <v/>
      </c>
      <c r="B641" s="436">
        <f>'01_Preço'!$A$395</f>
        <v/>
      </c>
      <c r="C641" s="467">
        <f>'01_Preço'!B395</f>
        <v/>
      </c>
      <c r="D641" s="470" t="inlineStr">
        <is>
          <t>Obras civis</t>
        </is>
      </c>
      <c r="E641" s="449" t="n">
        <v>67</v>
      </c>
      <c r="F641" s="1348">
        <f>VLOOKUP(E641,'Tabela de mês'!$A$1:$B$70,2,TRUE)</f>
        <v/>
      </c>
      <c r="G641" s="513" t="inlineStr">
        <is>
          <t>340-SER</t>
        </is>
      </c>
      <c r="H641" s="441" t="inlineStr">
        <is>
          <t>INSIGHT</t>
        </is>
      </c>
      <c r="I641" s="441" t="inlineStr">
        <is>
          <t>INSIGHT</t>
        </is>
      </c>
      <c r="J641" s="441" t="n"/>
      <c r="K641" s="441" t="n"/>
      <c r="L641" s="470" t="inlineStr">
        <is>
          <t>Conclusão da revitalização do piso da casa de força</t>
        </is>
      </c>
      <c r="M641" s="446">
        <f>O641/$N$621</f>
        <v/>
      </c>
      <c r="N641" s="1365" t="n"/>
      <c r="O641" s="1386" t="n">
        <v>469504.5</v>
      </c>
      <c r="P641" s="556" t="n">
        <v>65</v>
      </c>
      <c r="Q641" s="1346">
        <f>0.5*O641</f>
        <v/>
      </c>
    </row>
    <row r="642" outlineLevel="1" ht="27.6" customHeight="1">
      <c r="A642" s="685">
        <f>'01_Preço'!$A$376</f>
        <v/>
      </c>
      <c r="B642" s="683">
        <f>'01_Preço'!$A$397</f>
        <v/>
      </c>
      <c r="C642" s="677">
        <f>'01_Preço'!B397</f>
        <v/>
      </c>
      <c r="D642" s="686" t="inlineStr">
        <is>
          <t>Obras civis</t>
        </is>
      </c>
      <c r="E642" s="479" t="n">
        <v>62</v>
      </c>
      <c r="F642" s="1387">
        <f>VLOOKUP(E642,'Tabela de mês'!$A$1:$B$70,2,TRUE)</f>
        <v/>
      </c>
      <c r="G642" s="519" t="inlineStr">
        <is>
          <t>341-SER</t>
        </is>
      </c>
      <c r="H642" s="683" t="inlineStr">
        <is>
          <t>INSIGHT</t>
        </is>
      </c>
      <c r="I642" s="683" t="inlineStr">
        <is>
          <t>INSIGHT</t>
        </is>
      </c>
      <c r="J642" s="683" t="n"/>
      <c r="K642" s="683" t="n"/>
      <c r="L642" s="686" t="inlineStr">
        <is>
          <t>Conclusão da adequação das Escadas e Passarela de Acesso às Edículas da Chaminé de Equilíbrio</t>
        </is>
      </c>
      <c r="M642" s="687">
        <f>O642/$N$621</f>
        <v/>
      </c>
      <c r="N642" s="1382" t="n"/>
      <c r="O642" s="1386" t="n">
        <v>272623.07</v>
      </c>
      <c r="P642" s="556" t="n">
        <v>56</v>
      </c>
      <c r="Q642" s="1346">
        <f>0.5*O642</f>
        <v/>
      </c>
    </row>
    <row r="643" outlineLevel="1" ht="27.6" customHeight="1">
      <c r="A643" s="463">
        <f>'01_Preço'!$A$376</f>
        <v/>
      </c>
      <c r="B643" s="441">
        <f>'01_Preço'!A399</f>
        <v/>
      </c>
      <c r="C643" s="469">
        <f>'01_Preço'!B399</f>
        <v/>
      </c>
      <c r="D643" s="471" t="inlineStr">
        <is>
          <t>Obras civis</t>
        </is>
      </c>
      <c r="E643" s="462" t="n">
        <v>19</v>
      </c>
      <c r="F643" s="1388">
        <f>VLOOKUP(E643,'Tabela de mês'!$A$1:$B$70,2,TRUE)</f>
        <v/>
      </c>
      <c r="G643" s="511" t="inlineStr">
        <is>
          <t>342-SER</t>
        </is>
      </c>
      <c r="H643" s="441" t="inlineStr">
        <is>
          <t>INSIGHT</t>
        </is>
      </c>
      <c r="I643" s="441" t="inlineStr">
        <is>
          <t>INSIGHT</t>
        </is>
      </c>
      <c r="J643" s="441" t="n"/>
      <c r="K643" s="441" t="n"/>
      <c r="L643" s="471" t="inlineStr">
        <is>
          <t>Conclusão das adequações civis para substituição da válvula de equilíbrio de pressão e respectivas tubulações da Chaminé de Equilíbrio</t>
        </is>
      </c>
      <c r="M643" s="443">
        <f>O643/$N$621</f>
        <v/>
      </c>
      <c r="N643" s="1357" t="n"/>
      <c r="O643" s="1346" t="n">
        <v>115848.89</v>
      </c>
      <c r="P643" s="556" t="n">
        <v>16</v>
      </c>
      <c r="Q643" s="1346">
        <f>0.5*O643</f>
        <v/>
      </c>
      <c r="S643" s="662" t="inlineStr">
        <is>
          <t>SIM</t>
        </is>
      </c>
    </row>
    <row r="644" outlineLevel="1" ht="15" customHeight="1" thickBot="1">
      <c r="A644" s="472">
        <f>'01_Preço'!$A$376</f>
        <v/>
      </c>
      <c r="B644" s="436">
        <f>'01_Preço'!A401</f>
        <v/>
      </c>
      <c r="C644" s="467">
        <f>'01_Preço'!B401</f>
        <v/>
      </c>
      <c r="D644" s="470" t="inlineStr">
        <is>
          <t>Obras civis</t>
        </is>
      </c>
      <c r="E644" s="449" t="n">
        <v>68</v>
      </c>
      <c r="F644" s="1348">
        <f>VLOOKUP(E644,'Tabela de mês'!$A$1:$B$70,2,TRUE)</f>
        <v/>
      </c>
      <c r="G644" s="513" t="inlineStr">
        <is>
          <t>343-SER</t>
        </is>
      </c>
      <c r="H644" s="436" t="inlineStr">
        <is>
          <t>INSIGHT</t>
        </is>
      </c>
      <c r="I644" s="436" t="inlineStr">
        <is>
          <t>INSIGHT</t>
        </is>
      </c>
      <c r="J644" s="436" t="n"/>
      <c r="K644" s="436" t="n"/>
      <c r="L644" s="470" t="inlineStr">
        <is>
          <t>Desmobilização final e limpeza da obra</t>
        </is>
      </c>
      <c r="M644" s="446">
        <f>O644/$N$621</f>
        <v/>
      </c>
      <c r="N644" s="1365" t="n"/>
      <c r="O644" s="1349" t="n">
        <v>111382.97</v>
      </c>
      <c r="P644" s="556" t="n"/>
      <c r="Q644" s="1346" t="n"/>
    </row>
    <row r="645" ht="16.2" customHeight="1" thickBot="1">
      <c r="A645" s="424" t="inlineStr">
        <is>
          <t>2.22 - Disjuntores e Secionadores de 145kV</t>
        </is>
      </c>
      <c r="B645" s="1139" t="n"/>
      <c r="C645" s="1139" t="n"/>
      <c r="D645" s="1139" t="n"/>
      <c r="E645" s="1139" t="n"/>
      <c r="F645" s="1139" t="n"/>
      <c r="G645" s="1139" t="n"/>
      <c r="H645" s="1139" t="n"/>
      <c r="I645" s="1139" t="n"/>
      <c r="J645" s="1139" t="n"/>
      <c r="K645" s="1139" t="n"/>
      <c r="L645" s="1139" t="n"/>
      <c r="M645" s="1140" t="n"/>
      <c r="N645" s="1360">
        <f>SUM(O646,O651,O660,O665,O667)</f>
        <v/>
      </c>
      <c r="O645" s="503" t="n"/>
      <c r="P645" s="1053" t="n"/>
      <c r="Q645" s="424" t="n"/>
    </row>
    <row r="646" outlineLevel="1" ht="27.6" customHeight="1">
      <c r="A646" s="685">
        <f>'01_Preço'!$A$403</f>
        <v/>
      </c>
      <c r="B646" s="677">
        <f>'01_Preço'!$A$404</f>
        <v/>
      </c>
      <c r="C646" s="677">
        <f>'01_Preço'!B404</f>
        <v/>
      </c>
      <c r="D646" s="686">
        <f>'01_Preço'!E404</f>
        <v/>
      </c>
      <c r="E646" s="714" t="n"/>
      <c r="F646" s="479" t="n"/>
      <c r="G646" s="683" t="n"/>
      <c r="H646" s="683" t="n"/>
      <c r="I646" s="683" t="n"/>
      <c r="J646" s="683" t="n"/>
      <c r="K646" s="683" t="n"/>
      <c r="L646" s="686">
        <f>'01_Preço'!E404</f>
        <v/>
      </c>
      <c r="M646" s="687">
        <f>O646/$N$645</f>
        <v/>
      </c>
      <c r="N646" s="1382" t="n"/>
      <c r="O646" s="1386">
        <f>SUM(O647:O650)</f>
        <v/>
      </c>
      <c r="P646" s="558" t="n"/>
      <c r="Q646" s="1346" t="n"/>
    </row>
    <row r="647" outlineLevel="1" ht="42.75" customHeight="1">
      <c r="A647" s="393">
        <f>'01_Preço'!$A$403</f>
        <v/>
      </c>
      <c r="B647" s="413">
        <f>'01_Preço'!A404</f>
        <v/>
      </c>
      <c r="C647" s="413">
        <f>'01_Preço'!B404</f>
        <v/>
      </c>
      <c r="D647" s="414">
        <f>'01_Preço'!E404</f>
        <v/>
      </c>
      <c r="E647" s="730" t="n">
        <v>16</v>
      </c>
      <c r="F647" s="1339">
        <f>VLOOKUP(E647,'Tabela de mês'!$A$1:$B$70,2,TRUE)</f>
        <v/>
      </c>
      <c r="G647" s="511" t="inlineStr">
        <is>
          <t>344-SER</t>
        </is>
      </c>
      <c r="H647" s="389" t="inlineStr">
        <is>
          <t>INSIGHT</t>
        </is>
      </c>
      <c r="I647" s="389" t="inlineStr">
        <is>
          <t>INSIGHT</t>
        </is>
      </c>
      <c r="J647" s="389" t="n"/>
      <c r="K647" s="389" t="n"/>
      <c r="L647" s="423" t="inlineStr">
        <is>
          <t>Aprovação do Plano de Emissão de Documentos dos Disjuntores e Secionadores de Alta Tensão</t>
        </is>
      </c>
      <c r="M647" s="391">
        <f>O647/$O$646</f>
        <v/>
      </c>
      <c r="N647" s="1340" t="n"/>
      <c r="O647" s="1340" t="n">
        <v>8255</v>
      </c>
      <c r="P647" s="563" t="n"/>
      <c r="Q647" s="1338" t="n"/>
      <c r="S647" s="662" t="inlineStr">
        <is>
          <t>SIM</t>
        </is>
      </c>
    </row>
    <row r="648" outlineLevel="1" ht="27.6" customHeight="1">
      <c r="A648" s="393">
        <f>'01_Preço'!$A$403</f>
        <v/>
      </c>
      <c r="B648" s="413">
        <f>'01_Preço'!A404</f>
        <v/>
      </c>
      <c r="C648" s="413">
        <f>'01_Preço'!B404</f>
        <v/>
      </c>
      <c r="D648" s="414">
        <f>'01_Preço'!E404</f>
        <v/>
      </c>
      <c r="E648" s="730" t="n">
        <v>24</v>
      </c>
      <c r="F648" s="1339">
        <f>VLOOKUP(E648,'Tabela de mês'!$A$1:$B$70,2,TRUE)</f>
        <v/>
      </c>
      <c r="G648" s="510" t="inlineStr">
        <is>
          <t>345-SER</t>
        </is>
      </c>
      <c r="H648" s="389" t="inlineStr">
        <is>
          <t>INSIGHT</t>
        </is>
      </c>
      <c r="I648" s="389" t="inlineStr">
        <is>
          <t>INSIGHT</t>
        </is>
      </c>
      <c r="J648" s="389" t="n"/>
      <c r="K648" s="389" t="n"/>
      <c r="L648" s="736" t="inlineStr">
        <is>
          <t>Aprovação do Modelo e Dimensionamento Preliminar dos Disjuntores e Secionadores de Alta Tensão</t>
        </is>
      </c>
      <c r="M648" s="391">
        <f>O648/$O$646</f>
        <v/>
      </c>
      <c r="N648" s="1340" t="n"/>
      <c r="O648" s="1340" t="n">
        <v>129909.67</v>
      </c>
      <c r="P648" s="561" t="n">
        <v>36</v>
      </c>
      <c r="Q648" s="1347">
        <f>O648</f>
        <v/>
      </c>
    </row>
    <row r="649" outlineLevel="1" ht="27.6" customHeight="1">
      <c r="A649" s="393">
        <f>'01_Preço'!$A$403</f>
        <v/>
      </c>
      <c r="B649" s="413">
        <f>'01_Preço'!A404</f>
        <v/>
      </c>
      <c r="C649" s="413">
        <f>'01_Preço'!B404</f>
        <v/>
      </c>
      <c r="D649" s="414">
        <f>'01_Preço'!E404</f>
        <v/>
      </c>
      <c r="E649" s="730" t="n">
        <v>25</v>
      </c>
      <c r="F649" s="1339">
        <f>VLOOKUP(E649,'Tabela de mês'!$A$1:$B$70,2,TRUE)</f>
        <v/>
      </c>
      <c r="G649" s="510" t="inlineStr">
        <is>
          <t>346-SER</t>
        </is>
      </c>
      <c r="H649" s="389" t="inlineStr">
        <is>
          <t>INSIGHT</t>
        </is>
      </c>
      <c r="I649" s="389" t="inlineStr">
        <is>
          <t>INSIGHT</t>
        </is>
      </c>
      <c r="J649" s="389" t="n"/>
      <c r="K649" s="389" t="n"/>
      <c r="L649" s="342" t="inlineStr">
        <is>
          <t>Aprovação completa dos Documentos do Projeto Executivo e de Fabricação dos Disjuntores e Secionadores de Alta Tensão</t>
        </is>
      </c>
      <c r="M649" s="391">
        <f>O649/$O$646</f>
        <v/>
      </c>
      <c r="N649" s="1340" t="n"/>
      <c r="O649" s="1340" t="n">
        <v>221273.72</v>
      </c>
      <c r="P649" s="561" t="n">
        <v>36</v>
      </c>
      <c r="Q649" s="1347">
        <f>O649</f>
        <v/>
      </c>
    </row>
    <row r="650" outlineLevel="1" ht="28.95" customHeight="1">
      <c r="A650" s="228">
        <f>'01_Preço'!$A$403</f>
        <v/>
      </c>
      <c r="B650" s="170">
        <f>'01_Preço'!A404</f>
        <v/>
      </c>
      <c r="C650" s="170">
        <f>'01_Preço'!B404</f>
        <v/>
      </c>
      <c r="D650" s="171">
        <f>'01_Preço'!E404</f>
        <v/>
      </c>
      <c r="E650" s="453" t="n">
        <v>65</v>
      </c>
      <c r="F650" s="1343">
        <f>VLOOKUP(E650,'Tabela de mês'!$A$1:$B$70,2,TRUE)</f>
        <v/>
      </c>
      <c r="G650" s="520" t="inlineStr">
        <is>
          <t>347-SER</t>
        </is>
      </c>
      <c r="H650" s="417" t="inlineStr">
        <is>
          <t>INSIGHT</t>
        </is>
      </c>
      <c r="I650" s="417" t="inlineStr">
        <is>
          <t>INSIGHT</t>
        </is>
      </c>
      <c r="J650" s="417" t="n"/>
      <c r="K650" s="417" t="n"/>
      <c r="L650" s="164" t="inlineStr">
        <is>
          <t>Aprovação da versão conforme construído do Projeto dos Disjuntores e Secionadores de Alta Tensão</t>
        </is>
      </c>
      <c r="M650" s="416">
        <f>O650/$O$646</f>
        <v/>
      </c>
      <c r="N650" s="1344" t="n"/>
      <c r="O650" s="1373" t="n">
        <v>34272.81</v>
      </c>
      <c r="P650" s="561" t="n">
        <v>69</v>
      </c>
      <c r="Q650" s="1347">
        <f>O650</f>
        <v/>
      </c>
    </row>
    <row r="651" outlineLevel="1" ht="27.6" customHeight="1">
      <c r="A651" s="685">
        <f>'01_Preço'!$A$403</f>
        <v/>
      </c>
      <c r="B651" s="677">
        <f>'01_Preço'!$A$406</f>
        <v/>
      </c>
      <c r="C651" s="677">
        <f>'01_Preço'!B406</f>
        <v/>
      </c>
      <c r="D651" s="686">
        <f>'01_Preço'!E406</f>
        <v/>
      </c>
      <c r="E651" s="479" t="n"/>
      <c r="F651" s="479" t="n"/>
      <c r="G651" s="683" t="n"/>
      <c r="H651" s="683" t="n"/>
      <c r="I651" s="683" t="n"/>
      <c r="J651" s="683" t="n"/>
      <c r="K651" s="683" t="n"/>
      <c r="L651" s="686">
        <f>'01_Preço'!E406</f>
        <v/>
      </c>
      <c r="M651" s="687">
        <f>O651/$N$645</f>
        <v/>
      </c>
      <c r="N651" s="1382" t="n"/>
      <c r="O651" s="1386">
        <f>SUM(O652:O659)</f>
        <v/>
      </c>
      <c r="P651" s="552" t="n"/>
      <c r="Q651" s="1346" t="n"/>
    </row>
    <row r="652" outlineLevel="1" ht="27.6" customHeight="1">
      <c r="A652" s="393">
        <f>'01_Preço'!$A$403</f>
        <v/>
      </c>
      <c r="B652" s="413">
        <f>'01_Preço'!$A$406</f>
        <v/>
      </c>
      <c r="C652" s="413">
        <f>'01_Preço'!$B$406</f>
        <v/>
      </c>
      <c r="D652" s="414">
        <f>'01_Preço'!$E$406</f>
        <v/>
      </c>
      <c r="E652" s="730" t="n">
        <v>26</v>
      </c>
      <c r="F652" s="1339">
        <f>VLOOKUP(E652,'Tabela de mês'!$A$1:$B$70,2,TRUE)</f>
        <v/>
      </c>
      <c r="G652" s="510" t="inlineStr">
        <is>
          <t>356-SER A</t>
        </is>
      </c>
      <c r="H652" s="389" t="inlineStr">
        <is>
          <t>INSIGHT</t>
        </is>
      </c>
      <c r="I652" s="389" t="inlineStr">
        <is>
          <t>INSIGHT</t>
        </is>
      </c>
      <c r="J652" s="389" t="n"/>
      <c r="K652" s="389" t="n"/>
      <c r="L652" s="342" t="inlineStr">
        <is>
          <t>Conclusão da desmontagem de todos equipamentos e componentes do Disjuntor e dos Secionadores de Alta Tensão da 1ª UF</t>
        </is>
      </c>
      <c r="M652" s="391">
        <f>O652/$O$651</f>
        <v/>
      </c>
      <c r="N652" s="1340" t="n"/>
      <c r="O652" s="1340" t="n">
        <v>294274.01</v>
      </c>
      <c r="P652" s="561" t="n"/>
      <c r="Q652" s="1347" t="n"/>
    </row>
    <row r="653" outlineLevel="1" ht="27.6" customHeight="1">
      <c r="A653" s="228">
        <f>'01_Preço'!$A$403</f>
        <v/>
      </c>
      <c r="B653" s="170" t="inlineStr">
        <is>
          <t>2.22.02</t>
        </is>
      </c>
      <c r="C653" s="170" t="inlineStr">
        <is>
          <t>SERVIÇO</t>
        </is>
      </c>
      <c r="D653" s="171">
        <f>'01_Preço'!$E$406</f>
        <v/>
      </c>
      <c r="E653" s="453" t="n">
        <v>33</v>
      </c>
      <c r="F653" s="1343">
        <f>VLOOKUP(E653,'Tabela de mês'!$A$1:$B$70,2,TRUE)</f>
        <v/>
      </c>
      <c r="G653" s="520" t="inlineStr">
        <is>
          <t>356-SER B</t>
        </is>
      </c>
      <c r="H653" s="417" t="inlineStr">
        <is>
          <t>INSIGHT</t>
        </is>
      </c>
      <c r="I653" s="417" t="inlineStr">
        <is>
          <t>INSIGHT</t>
        </is>
      </c>
      <c r="J653" s="417" t="n"/>
      <c r="K653" s="417" t="n"/>
      <c r="L653" s="164" t="inlineStr">
        <is>
          <t>Conclusão da montagem de todos equipamentos e componentes do Disjuntor e dos Secionadores de Alta Tensão da 1ª UF</t>
        </is>
      </c>
      <c r="M653" s="416">
        <f>O653/$O$651</f>
        <v/>
      </c>
      <c r="N653" s="1344" t="n"/>
      <c r="O653" s="1355" t="n">
        <v>294274.01</v>
      </c>
      <c r="P653" s="561" t="n"/>
      <c r="Q653" s="1347" t="n"/>
    </row>
    <row r="654" outlineLevel="1" ht="27.6" customHeight="1">
      <c r="A654" s="230">
        <f>'01_Preço'!$A$403</f>
        <v/>
      </c>
      <c r="B654" s="168">
        <f>'01_Preço'!$A$406</f>
        <v/>
      </c>
      <c r="C654" s="168">
        <f>'01_Preço'!$B$406</f>
        <v/>
      </c>
      <c r="D654" s="169">
        <f>'01_Preço'!$E$406</f>
        <v/>
      </c>
      <c r="E654" s="453" t="n">
        <v>38</v>
      </c>
      <c r="F654" s="1343">
        <f>VLOOKUP(E654,'Tabela de mês'!$A$1:$B$70,2,TRUE)</f>
        <v/>
      </c>
      <c r="G654" s="510" t="inlineStr">
        <is>
          <t xml:space="preserve">357-SER A </t>
        </is>
      </c>
      <c r="H654" s="417" t="inlineStr">
        <is>
          <t>INSIGHT</t>
        </is>
      </c>
      <c r="I654" s="417" t="inlineStr">
        <is>
          <t>INSIGHT</t>
        </is>
      </c>
      <c r="J654" s="417" t="n"/>
      <c r="K654" s="417" t="n"/>
      <c r="L654" s="164" t="inlineStr">
        <is>
          <t>Conclusão da desmontagem de todos equipamentos e componentes do Disjuntor e dos Secionadores de Alta Tensão da 2ª UF</t>
        </is>
      </c>
      <c r="M654" s="416">
        <f>O654/$O$651</f>
        <v/>
      </c>
      <c r="N654" s="1364" t="n"/>
      <c r="O654" s="1340" t="n">
        <v>294274.01</v>
      </c>
      <c r="P654" s="561" t="n"/>
      <c r="Q654" s="1347" t="n"/>
    </row>
    <row r="655" outlineLevel="1" ht="27.6" customHeight="1">
      <c r="A655" s="230">
        <f>'01_Preço'!$A$403</f>
        <v/>
      </c>
      <c r="B655" s="168" t="inlineStr">
        <is>
          <t>2.22.02</t>
        </is>
      </c>
      <c r="C655" s="168" t="inlineStr">
        <is>
          <t>SERVIÇO</t>
        </is>
      </c>
      <c r="D655" s="169">
        <f>'01_Preço'!$E$406</f>
        <v/>
      </c>
      <c r="E655" s="453" t="n">
        <v>45</v>
      </c>
      <c r="F655" s="1343">
        <f>VLOOKUP(E655,'Tabela de mês'!$A$1:$B$70,2,TRUE)</f>
        <v/>
      </c>
      <c r="G655" s="510" t="inlineStr">
        <is>
          <t xml:space="preserve">357-SER B </t>
        </is>
      </c>
      <c r="H655" s="417" t="inlineStr">
        <is>
          <t>INSIGHT</t>
        </is>
      </c>
      <c r="I655" s="417" t="inlineStr">
        <is>
          <t>INSIGHT</t>
        </is>
      </c>
      <c r="J655" s="417" t="n"/>
      <c r="K655" s="417" t="n"/>
      <c r="L655" s="164" t="inlineStr">
        <is>
          <t>Conclusão da montagem de todos equipamentos e componentes do Disjuntor e dos Secionadores de Alta Tensão da 2ª UF</t>
        </is>
      </c>
      <c r="M655" s="416">
        <f>O655/$O$651</f>
        <v/>
      </c>
      <c r="N655" s="1364" t="n"/>
      <c r="O655" s="1340" t="n">
        <v>294274.01</v>
      </c>
      <c r="P655" s="561" t="n"/>
      <c r="Q655" s="1347" t="n"/>
    </row>
    <row r="656" outlineLevel="1" ht="27.6" customHeight="1">
      <c r="A656" s="230">
        <f>'01_Preço'!$A$403</f>
        <v/>
      </c>
      <c r="B656" s="168">
        <f>'01_Preço'!$A$406</f>
        <v/>
      </c>
      <c r="C656" s="168">
        <f>'01_Preço'!$B$406</f>
        <v/>
      </c>
      <c r="D656" s="169">
        <f>'01_Preço'!$E$406</f>
        <v/>
      </c>
      <c r="E656" s="453" t="n">
        <v>49</v>
      </c>
      <c r="F656" s="1343">
        <f>VLOOKUP(E656,'Tabela de mês'!$A$1:$B$70,2,TRUE)</f>
        <v/>
      </c>
      <c r="G656" s="510" t="inlineStr">
        <is>
          <t>358-SER A</t>
        </is>
      </c>
      <c r="H656" s="417" t="inlineStr">
        <is>
          <t>INSIGHT</t>
        </is>
      </c>
      <c r="I656" s="417" t="inlineStr">
        <is>
          <t>INSIGHT</t>
        </is>
      </c>
      <c r="J656" s="417" t="n"/>
      <c r="K656" s="417" t="n"/>
      <c r="L656" s="164" t="inlineStr">
        <is>
          <t>Conclusão da desmontagem de todos equipamentos e componentes do Disjuntor e dos Secionadores de Alta Tensão da 3ª UF</t>
        </is>
      </c>
      <c r="M656" s="416">
        <f>O656/$O$651</f>
        <v/>
      </c>
      <c r="N656" s="1364" t="n"/>
      <c r="O656" s="1340" t="n">
        <v>294274.01</v>
      </c>
      <c r="P656" s="561" t="n"/>
      <c r="Q656" s="1347" t="n"/>
    </row>
    <row r="657" outlineLevel="1" ht="27.6" customHeight="1">
      <c r="A657" s="230">
        <f>'01_Preço'!$A$403</f>
        <v/>
      </c>
      <c r="B657" s="168" t="inlineStr">
        <is>
          <t>2.22.02</t>
        </is>
      </c>
      <c r="C657" s="168" t="inlineStr">
        <is>
          <t>SERVIÇO</t>
        </is>
      </c>
      <c r="D657" s="169">
        <f>'01_Preço'!$E$406</f>
        <v/>
      </c>
      <c r="E657" s="453" t="n">
        <v>55</v>
      </c>
      <c r="F657" s="1343">
        <f>VLOOKUP(E657,'Tabela de mês'!$A$1:$B$70,2,TRUE)</f>
        <v/>
      </c>
      <c r="G657" s="510" t="inlineStr">
        <is>
          <t>358-SER B</t>
        </is>
      </c>
      <c r="H657" s="417" t="inlineStr">
        <is>
          <t>INSIGHT</t>
        </is>
      </c>
      <c r="I657" s="417" t="inlineStr">
        <is>
          <t>INSIGHT</t>
        </is>
      </c>
      <c r="J657" s="417" t="n"/>
      <c r="K657" s="417" t="n"/>
      <c r="L657" s="164" t="inlineStr">
        <is>
          <t>Conclusão da montagem de todos equipamentos e componentes do Disjuntor e dos Secionadores de Alta Tensão da 3ª UF</t>
        </is>
      </c>
      <c r="M657" s="416">
        <f>O657/$O$651</f>
        <v/>
      </c>
      <c r="N657" s="1364" t="n"/>
      <c r="O657" s="1340" t="n">
        <v>294274.01</v>
      </c>
      <c r="P657" s="561" t="n"/>
      <c r="Q657" s="1347" t="n"/>
    </row>
    <row r="658" outlineLevel="1" ht="27.6" customHeight="1">
      <c r="A658" s="230">
        <f>'01_Preço'!$A$403</f>
        <v/>
      </c>
      <c r="B658" s="168">
        <f>'01_Preço'!$A$406</f>
        <v/>
      </c>
      <c r="C658" s="168">
        <f>'01_Preço'!$B$406</f>
        <v/>
      </c>
      <c r="D658" s="169">
        <f>'01_Preço'!$E$406</f>
        <v/>
      </c>
      <c r="E658" s="453" t="n">
        <v>59</v>
      </c>
      <c r="F658" s="1343">
        <f>VLOOKUP(E658,'Tabela de mês'!$A$1:$B$70,2,TRUE)</f>
        <v/>
      </c>
      <c r="G658" s="510" t="inlineStr">
        <is>
          <t>359-SER A</t>
        </is>
      </c>
      <c r="H658" s="417" t="inlineStr">
        <is>
          <t>INSIGHT</t>
        </is>
      </c>
      <c r="I658" s="417" t="inlineStr">
        <is>
          <t>INSIGHT</t>
        </is>
      </c>
      <c r="J658" s="417" t="n"/>
      <c r="K658" s="417" t="n"/>
      <c r="L658" s="164" t="inlineStr">
        <is>
          <t>Conclusão da desmontagem de todos equipamentos e componentes do Disjuntor e dos Secionadores de Alta Tensão da 4ª UF</t>
        </is>
      </c>
      <c r="M658" s="416">
        <f>O658/$O$651</f>
        <v/>
      </c>
      <c r="N658" s="1364" t="n"/>
      <c r="O658" s="1340" t="n">
        <v>294274.02</v>
      </c>
      <c r="P658" s="561" t="n"/>
      <c r="Q658" s="1347" t="n"/>
    </row>
    <row r="659" outlineLevel="1" ht="27.6" customHeight="1">
      <c r="A659" s="230">
        <f>'01_Preço'!$A$403</f>
        <v/>
      </c>
      <c r="B659" s="168">
        <f>'01_Preço'!$A$406</f>
        <v/>
      </c>
      <c r="C659" s="168">
        <f>'01_Preço'!$B$406</f>
        <v/>
      </c>
      <c r="D659" s="169">
        <f>'01_Preço'!$E$406</f>
        <v/>
      </c>
      <c r="E659" s="453" t="n">
        <v>65</v>
      </c>
      <c r="F659" s="1343">
        <f>VLOOKUP(E659,'Tabela de mês'!$A$1:$B$70,2,TRUE)</f>
        <v/>
      </c>
      <c r="G659" s="510" t="inlineStr">
        <is>
          <t>359-SER B</t>
        </is>
      </c>
      <c r="H659" s="417" t="inlineStr">
        <is>
          <t>INSIGHT</t>
        </is>
      </c>
      <c r="I659" s="417" t="inlineStr">
        <is>
          <t>INSIGHT</t>
        </is>
      </c>
      <c r="J659" s="417" t="n"/>
      <c r="K659" s="417" t="n"/>
      <c r="L659" s="164" t="inlineStr">
        <is>
          <t>Conclusão da montagem de todos equipamentos e componentes do Disjuntor e dos Secionadores de Alta Tensão da 4ª UF</t>
        </is>
      </c>
      <c r="M659" s="416">
        <f>O659/$O$651</f>
        <v/>
      </c>
      <c r="N659" s="1364" t="n"/>
      <c r="O659" s="1340" t="n">
        <v>294274.02</v>
      </c>
      <c r="P659" s="561" t="n"/>
      <c r="Q659" s="1347" t="n"/>
    </row>
    <row r="660" outlineLevel="1" ht="27.6" customHeight="1">
      <c r="A660" s="463">
        <f>'01_Preço'!$A$403</f>
        <v/>
      </c>
      <c r="B660" s="469">
        <f>'01_Preço'!$A$408</f>
        <v/>
      </c>
      <c r="C660" s="469">
        <f>'01_Preço'!B408</f>
        <v/>
      </c>
      <c r="D660" s="471">
        <f>'01_Preço'!E408</f>
        <v/>
      </c>
      <c r="E660" s="449" t="n"/>
      <c r="F660" s="462" t="n"/>
      <c r="G660" s="441" t="n"/>
      <c r="H660" s="441" t="n"/>
      <c r="I660" s="441" t="n"/>
      <c r="J660" s="441" t="n"/>
      <c r="K660" s="441" t="n"/>
      <c r="L660" s="471">
        <f>'01_Preço'!E408</f>
        <v/>
      </c>
      <c r="M660" s="443">
        <f>O660/$N$645</f>
        <v/>
      </c>
      <c r="N660" s="1357" t="n"/>
      <c r="O660" s="1346">
        <f>SUM(O661:O664)</f>
        <v/>
      </c>
      <c r="P660" s="556" t="n"/>
      <c r="Q660" s="1346" t="n"/>
    </row>
    <row r="661" outlineLevel="1" ht="27.6" customHeight="1">
      <c r="A661" s="230">
        <f>'01_Preço'!$A$403</f>
        <v/>
      </c>
      <c r="B661" s="168">
        <f>'01_Preço'!$A$408</f>
        <v/>
      </c>
      <c r="C661" s="168">
        <f>'01_Preço'!$B$408</f>
        <v/>
      </c>
      <c r="D661" s="169">
        <f>'01_Preço'!$E$408</f>
        <v/>
      </c>
      <c r="E661" s="453" t="n">
        <v>34</v>
      </c>
      <c r="F661" s="1343">
        <f>VLOOKUP(E661,'Tabela de mês'!$A$1:$B$70,2,TRUE)</f>
        <v/>
      </c>
      <c r="G661" s="510" t="inlineStr">
        <is>
          <t>360-SER</t>
        </is>
      </c>
      <c r="H661" s="417" t="inlineStr">
        <is>
          <t>SIEYUAN</t>
        </is>
      </c>
      <c r="I661" s="497" t="inlineStr">
        <is>
          <t>FAT. DIRETO</t>
        </is>
      </c>
      <c r="J661" s="417" t="n"/>
      <c r="K661" s="417" t="n"/>
      <c r="L661" s="164" t="inlineStr">
        <is>
          <t>Conclusão do Comissionamento do Disjuntor e dos Secionadores de Alta Tensão da 1ª UF e realização de treinamento</t>
        </is>
      </c>
      <c r="M661" s="416">
        <f>O661/$O$660</f>
        <v/>
      </c>
      <c r="N661" s="1364" t="n"/>
      <c r="O661" s="1340">
        <f>1*8500+3*7500+20000</f>
        <v/>
      </c>
      <c r="P661" s="561" t="n"/>
      <c r="Q661" s="1347" t="n"/>
    </row>
    <row r="662" outlineLevel="1" ht="27.6" customHeight="1">
      <c r="A662" s="230">
        <f>'01_Preço'!$A$403</f>
        <v/>
      </c>
      <c r="B662" s="168">
        <f>'01_Preço'!$A$408</f>
        <v/>
      </c>
      <c r="C662" s="168">
        <f>'01_Preço'!$B$408</f>
        <v/>
      </c>
      <c r="D662" s="169">
        <f>'01_Preço'!$E$408</f>
        <v/>
      </c>
      <c r="E662" s="453" t="n">
        <v>46</v>
      </c>
      <c r="F662" s="1343">
        <f>VLOOKUP(E662,'Tabela de mês'!$A$1:$B$70,2,TRUE)</f>
        <v/>
      </c>
      <c r="G662" s="510" t="inlineStr">
        <is>
          <t>361-SER</t>
        </is>
      </c>
      <c r="H662" s="417" t="inlineStr">
        <is>
          <t>SIEYUAN</t>
        </is>
      </c>
      <c r="I662" s="497" t="inlineStr">
        <is>
          <t>FAT. DIRETO</t>
        </is>
      </c>
      <c r="J662" s="417" t="n"/>
      <c r="K662" s="417" t="n"/>
      <c r="L662" s="164" t="inlineStr">
        <is>
          <t>Conclusão do Comissionamento do Disjuntor e dos Secionadores de Alta Tensão da  2ª UF</t>
        </is>
      </c>
      <c r="M662" s="416">
        <f>O662/$O$660</f>
        <v/>
      </c>
      <c r="N662" s="1364" t="n"/>
      <c r="O662" s="1340">
        <f>1*8500+3*7500</f>
        <v/>
      </c>
      <c r="P662" s="561" t="n"/>
      <c r="Q662" s="1347" t="n"/>
    </row>
    <row r="663" outlineLevel="1" ht="27.6" customHeight="1">
      <c r="A663" s="230">
        <f>'01_Preço'!$A$403</f>
        <v/>
      </c>
      <c r="B663" s="168">
        <f>'01_Preço'!$A$408</f>
        <v/>
      </c>
      <c r="C663" s="168">
        <f>'01_Preço'!$B$408</f>
        <v/>
      </c>
      <c r="D663" s="169">
        <f>'01_Preço'!$E$408</f>
        <v/>
      </c>
      <c r="E663" s="453" t="n">
        <v>56</v>
      </c>
      <c r="F663" s="1343">
        <f>VLOOKUP(E663,'Tabela de mês'!$A$1:$B$70,2,TRUE)</f>
        <v/>
      </c>
      <c r="G663" s="510" t="inlineStr">
        <is>
          <t>362-SER</t>
        </is>
      </c>
      <c r="H663" s="417" t="inlineStr">
        <is>
          <t>SIEYUAN</t>
        </is>
      </c>
      <c r="I663" s="497" t="inlineStr">
        <is>
          <t>FAT. DIRETO</t>
        </is>
      </c>
      <c r="J663" s="417" t="n"/>
      <c r="K663" s="417" t="n"/>
      <c r="L663" s="164" t="inlineStr">
        <is>
          <t>Conclusão do Comissionamento do Disjuntor e dos Secionadores de Alta Tensão da 3ª UF</t>
        </is>
      </c>
      <c r="M663" s="416">
        <f>O663/$O$660</f>
        <v/>
      </c>
      <c r="N663" s="1364" t="n"/>
      <c r="O663" s="1340">
        <f>1*8500+3*7500</f>
        <v/>
      </c>
      <c r="P663" s="561" t="n"/>
      <c r="Q663" s="1347" t="n"/>
    </row>
    <row r="664" outlineLevel="1" ht="27.6" customHeight="1">
      <c r="A664" s="232">
        <f>'01_Preço'!$A$403</f>
        <v/>
      </c>
      <c r="B664" s="179">
        <f>'01_Preço'!$A$408</f>
        <v/>
      </c>
      <c r="C664" s="179">
        <f>'01_Preço'!$B$408</f>
        <v/>
      </c>
      <c r="D664" s="167">
        <f>'01_Preço'!$E$408</f>
        <v/>
      </c>
      <c r="E664" s="453" t="n">
        <v>66</v>
      </c>
      <c r="F664" s="1343">
        <f>VLOOKUP(E664,'Tabela de mês'!$A$1:$B$70,2,TRUE)</f>
        <v/>
      </c>
      <c r="G664" s="510" t="inlineStr">
        <is>
          <t>363-SER</t>
        </is>
      </c>
      <c r="H664" s="417" t="inlineStr">
        <is>
          <t>SIEYUAN</t>
        </is>
      </c>
      <c r="I664" s="497" t="inlineStr">
        <is>
          <t>FAT. DIRETO</t>
        </is>
      </c>
      <c r="J664" s="478" t="n"/>
      <c r="K664" s="478" t="n"/>
      <c r="L664" s="164" t="inlineStr">
        <is>
          <t>Conclusão do Comissionamento do Disjuntor e dos Secionadores de Alta Tensão da 4ª UF</t>
        </is>
      </c>
      <c r="M664" s="416">
        <f>O664/$O$660</f>
        <v/>
      </c>
      <c r="N664" s="1364" t="n"/>
      <c r="O664" s="1340">
        <f>1*8500+3*7500</f>
        <v/>
      </c>
      <c r="P664" s="561" t="n"/>
      <c r="Q664" s="1389" t="n"/>
    </row>
    <row r="665" outlineLevel="1" ht="55.2" customHeight="1">
      <c r="A665" s="463">
        <f>'01_Preço'!$A$403</f>
        <v/>
      </c>
      <c r="B665" s="469">
        <f>CONCATENATE('01_Preço'!$A$410," e ",'01_Preço'!$A$412)</f>
        <v/>
      </c>
      <c r="C665" s="469">
        <f>'01_Preço'!B410</f>
        <v/>
      </c>
      <c r="D665" s="471">
        <f>CONCATENATE('01_Preço'!$E$410," e ",'01_Preço'!$E$412)</f>
        <v/>
      </c>
      <c r="E665" s="449" t="n"/>
      <c r="F665" s="441" t="n"/>
      <c r="G665" s="441" t="n"/>
      <c r="H665" s="436" t="n"/>
      <c r="I665" s="497" t="n"/>
      <c r="J665" s="441" t="n"/>
      <c r="K665" s="441" t="n"/>
      <c r="L665" s="471">
        <f>'01_Preço'!E410</f>
        <v/>
      </c>
      <c r="M665" s="443">
        <f>O665/$N$645</f>
        <v/>
      </c>
      <c r="N665" s="1357" t="n"/>
      <c r="O665" s="1346">
        <f>SUM(O666:O666)</f>
        <v/>
      </c>
      <c r="P665" s="556" t="n"/>
      <c r="Q665" s="1346" t="n"/>
    </row>
    <row r="666" outlineLevel="1" ht="27.6" customHeight="1">
      <c r="A666" s="230">
        <f>'01_Preço'!$A$403</f>
        <v/>
      </c>
      <c r="B666" s="413">
        <f>CONCATENATE('01_Preço'!$A$410," e ",'01_Preço'!$A$412)</f>
        <v/>
      </c>
      <c r="C666" s="168">
        <f>'01_Preço'!$B$414</f>
        <v/>
      </c>
      <c r="D666" s="167" t="inlineStr">
        <is>
          <t>Equipamentos e materiais</t>
        </is>
      </c>
      <c r="E666" s="453" t="n">
        <v>31</v>
      </c>
      <c r="F666" s="1343">
        <f>VLOOKUP(E666,'Tabela de mês'!$A$1:$B$54,2,TRUE)</f>
        <v/>
      </c>
      <c r="G666" s="510" t="inlineStr">
        <is>
          <t>349-MAT</t>
        </is>
      </c>
      <c r="H666" s="417" t="inlineStr">
        <is>
          <t>SIEYUAN</t>
        </is>
      </c>
      <c r="I666" s="497" t="inlineStr">
        <is>
          <t>FAT. DIRETO</t>
        </is>
      </c>
      <c r="J666" s="161" t="n"/>
      <c r="K666" s="161" t="n"/>
      <c r="L666" s="164" t="inlineStr">
        <is>
          <t>Entrega em campo dos equipamentos e componentes de seccionadores tripolares manuais e motorizados e sobresalentes 145KV das  UF's</t>
        </is>
      </c>
      <c r="M666" s="416">
        <f>O666/$O$665</f>
        <v/>
      </c>
      <c r="N666" s="1342" t="n"/>
      <c r="O666" s="1342" t="n">
        <v>544317.51</v>
      </c>
      <c r="P666" s="450" t="n"/>
      <c r="Q666" s="1347" t="n"/>
    </row>
    <row r="667" outlineLevel="1" ht="27.6" customHeight="1">
      <c r="A667" s="463">
        <f>'01_Preço'!$A$403</f>
        <v/>
      </c>
      <c r="B667" s="469">
        <f>'01_Preço'!$A$414</f>
        <v/>
      </c>
      <c r="C667" s="469">
        <f>'01_Preço'!B414</f>
        <v/>
      </c>
      <c r="D667" s="471">
        <f>'01_Preço'!E414</f>
        <v/>
      </c>
      <c r="E667" s="449" t="n"/>
      <c r="F667" s="462" t="n"/>
      <c r="G667" s="441" t="n"/>
      <c r="H667" s="441" t="n"/>
      <c r="I667" s="497" t="n"/>
      <c r="J667" s="441" t="n"/>
      <c r="K667" s="441" t="n"/>
      <c r="L667" s="471">
        <f>'01_Preço'!E414</f>
        <v/>
      </c>
      <c r="M667" s="443">
        <f>O667/$N$645</f>
        <v/>
      </c>
      <c r="N667" s="1357" t="n"/>
      <c r="O667" s="1346">
        <f>SUM(O668:O668)</f>
        <v/>
      </c>
      <c r="P667" s="556" t="n"/>
      <c r="Q667" s="1346" t="n"/>
    </row>
    <row r="668" outlineLevel="1" ht="28.2" customHeight="1" thickBot="1">
      <c r="A668" s="230">
        <f>'01_Preço'!$A$403</f>
        <v/>
      </c>
      <c r="B668" s="168">
        <f>'01_Preço'!$A$414</f>
        <v/>
      </c>
      <c r="C668" s="168">
        <f>'01_Preço'!$B$414</f>
        <v/>
      </c>
      <c r="D668" s="167" t="inlineStr">
        <is>
          <t>Equipamentos e materiais</t>
        </is>
      </c>
      <c r="E668" s="453" t="n">
        <v>31</v>
      </c>
      <c r="F668" s="1343">
        <f>VLOOKUP(E668,'Tabela de mês'!$A$1:$B$54,2,TRUE)</f>
        <v/>
      </c>
      <c r="G668" s="510" t="inlineStr">
        <is>
          <t>350-MAT</t>
        </is>
      </c>
      <c r="H668" s="417" t="inlineStr">
        <is>
          <t>SIEYUAN</t>
        </is>
      </c>
      <c r="I668" s="497" t="inlineStr">
        <is>
          <t>FAT. DIRETO</t>
        </is>
      </c>
      <c r="J668" s="161" t="n"/>
      <c r="K668" s="161" t="n"/>
      <c r="L668" s="164" t="inlineStr">
        <is>
          <t>Entrega em campo dos equipamentos e componentes do Disjuntor de Alta Tensão das UF's</t>
        </is>
      </c>
      <c r="M668" s="416">
        <f>O668/$O$667</f>
        <v/>
      </c>
      <c r="N668" s="1340" t="n"/>
      <c r="O668" s="1340" t="n">
        <v>535808</v>
      </c>
      <c r="P668" s="561" t="n"/>
      <c r="Q668" s="1347" t="n"/>
    </row>
    <row r="669" ht="16.2" customHeight="1" thickBot="1">
      <c r="A669" s="1332" t="inlineStr">
        <is>
          <t>2.23 - Para-raios</t>
        </is>
      </c>
      <c r="B669" s="1139" t="n"/>
      <c r="C669" s="1139" t="n"/>
      <c r="D669" s="1139" t="n"/>
      <c r="E669" s="1139" t="n"/>
      <c r="F669" s="1139" t="n"/>
      <c r="G669" s="1139" t="n"/>
      <c r="H669" s="1139" t="n"/>
      <c r="I669" s="1139" t="n"/>
      <c r="J669" s="1139" t="n"/>
      <c r="K669" s="1139" t="n"/>
      <c r="L669" s="1139" t="n"/>
      <c r="M669" s="1140" t="n"/>
      <c r="N669" s="1360">
        <f>SUM(O670,O675,O684,O689)</f>
        <v/>
      </c>
      <c r="O669" s="503" t="n"/>
      <c r="P669" s="1053" t="n"/>
      <c r="Q669" s="424" t="n"/>
    </row>
    <row r="670" outlineLevel="1" ht="14.4" customHeight="1">
      <c r="A670" s="464">
        <f>'01_Preço'!$A$416</f>
        <v/>
      </c>
      <c r="B670" s="487">
        <f>'01_Preço'!A417</f>
        <v/>
      </c>
      <c r="C670" s="486">
        <f>'01_Preço'!B417</f>
        <v/>
      </c>
      <c r="D670" s="678">
        <f>'01_Preço'!E417</f>
        <v/>
      </c>
      <c r="E670" s="721" t="n"/>
      <c r="F670" s="479" t="n"/>
      <c r="G670" s="487" t="n"/>
      <c r="H670" s="487" t="n"/>
      <c r="I670" s="487" t="n"/>
      <c r="J670" s="487" t="n"/>
      <c r="K670" s="487" t="n"/>
      <c r="L670" s="678">
        <f>'01_Preço'!E417</f>
        <v/>
      </c>
      <c r="M670" s="679">
        <f>O670/$N$669</f>
        <v/>
      </c>
      <c r="N670" s="1369" t="n"/>
      <c r="O670" s="1386">
        <f>SUM(O671:O674)</f>
        <v/>
      </c>
      <c r="P670" s="556" t="n"/>
      <c r="Q670" s="1349" t="n"/>
    </row>
    <row r="671" outlineLevel="1" ht="14.4" customHeight="1">
      <c r="A671" s="414">
        <f>'01_Preço'!$A$416</f>
        <v/>
      </c>
      <c r="B671" s="389">
        <f>'01_Preço'!A417</f>
        <v/>
      </c>
      <c r="C671" s="389">
        <f>'01_Preço'!B417</f>
        <v/>
      </c>
      <c r="D671" s="423">
        <f>'01_Preço'!E417</f>
        <v/>
      </c>
      <c r="E671" s="730" t="n">
        <v>16</v>
      </c>
      <c r="F671" s="1339">
        <f>VLOOKUP(E671,'Tabela de mês'!$A$1:$B$54,2,TRUE)</f>
        <v/>
      </c>
      <c r="G671" s="511" t="inlineStr">
        <is>
          <t>364-SER</t>
        </is>
      </c>
      <c r="H671" s="389" t="inlineStr">
        <is>
          <t>INSIGHT</t>
        </is>
      </c>
      <c r="I671" s="389" t="inlineStr">
        <is>
          <t>INSIGHT</t>
        </is>
      </c>
      <c r="J671" s="163" t="n"/>
      <c r="K671" s="163" t="n"/>
      <c r="L671" s="423" t="inlineStr">
        <is>
          <t>Aprovação do Plano de Emissão de Documentos dos Para-raios de Alta Tensão</t>
        </is>
      </c>
      <c r="M671" s="391">
        <f>O671/$O$670</f>
        <v/>
      </c>
      <c r="N671" s="1340" t="n"/>
      <c r="O671" s="1340" t="n">
        <v>5903.88</v>
      </c>
      <c r="P671" s="563" t="n"/>
      <c r="Q671" s="1338" t="n"/>
      <c r="S671" s="662" t="inlineStr">
        <is>
          <t>SIM</t>
        </is>
      </c>
    </row>
    <row r="672" outlineLevel="1" ht="27.6" customHeight="1">
      <c r="A672" s="414">
        <f>'01_Preço'!$A$416</f>
        <v/>
      </c>
      <c r="B672" s="389">
        <f>'01_Preço'!A417</f>
        <v/>
      </c>
      <c r="C672" s="389">
        <f>'01_Preço'!B417</f>
        <v/>
      </c>
      <c r="D672" s="423">
        <f>'01_Preço'!E417</f>
        <v/>
      </c>
      <c r="E672" s="730" t="n">
        <v>24</v>
      </c>
      <c r="F672" s="1339">
        <f>VLOOKUP(E672,'Tabela de mês'!$A$1:$B$54,2,TRUE)</f>
        <v/>
      </c>
      <c r="G672" s="389" t="inlineStr">
        <is>
          <t>365-SER</t>
        </is>
      </c>
      <c r="H672" s="389" t="inlineStr">
        <is>
          <t>INSIGHT</t>
        </is>
      </c>
      <c r="I672" s="389" t="inlineStr">
        <is>
          <t>INSIGHT</t>
        </is>
      </c>
      <c r="J672" s="163" t="n"/>
      <c r="K672" s="163" t="n"/>
      <c r="L672" s="736" t="inlineStr">
        <is>
          <t>Aprovação do Modelo e Dimensionamento Preliminar dos Para-raios de Alta Tensão</t>
        </is>
      </c>
      <c r="M672" s="391">
        <f>O672/$O$670</f>
        <v/>
      </c>
      <c r="N672" s="1340" t="n"/>
      <c r="O672" s="1340" t="n">
        <v>17711.63</v>
      </c>
      <c r="P672" s="561" t="n"/>
      <c r="Q672" s="1347" t="n"/>
    </row>
    <row r="673" outlineLevel="1" ht="27.6" customHeight="1">
      <c r="A673" s="414">
        <f>'01_Preço'!$A$416</f>
        <v/>
      </c>
      <c r="B673" s="389">
        <f>'01_Preço'!A417</f>
        <v/>
      </c>
      <c r="C673" s="389">
        <f>'01_Preço'!B417</f>
        <v/>
      </c>
      <c r="D673" s="423">
        <f>'01_Preço'!E417</f>
        <v/>
      </c>
      <c r="E673" s="730" t="n">
        <v>25</v>
      </c>
      <c r="F673" s="1339">
        <f>VLOOKUP(E673,'Tabela de mês'!$A$1:$B$54,2,TRUE)</f>
        <v/>
      </c>
      <c r="G673" s="389" t="inlineStr">
        <is>
          <t>366-SER</t>
        </is>
      </c>
      <c r="H673" s="389" t="inlineStr">
        <is>
          <t>INSIGHT</t>
        </is>
      </c>
      <c r="I673" s="389" t="inlineStr">
        <is>
          <t>INSIGHT</t>
        </is>
      </c>
      <c r="J673" s="163" t="n"/>
      <c r="K673" s="163" t="n"/>
      <c r="L673" s="342" t="inlineStr">
        <is>
          <t>Aprovação completa dos Documentos do Projeto Executivo e de Fabricação dos Para-raios de Alta Tensão</t>
        </is>
      </c>
      <c r="M673" s="391">
        <f>O673/$O$670</f>
        <v/>
      </c>
      <c r="N673" s="1340" t="n"/>
      <c r="O673" s="1340" t="n">
        <v>88558.14999999999</v>
      </c>
      <c r="P673" s="561" t="n"/>
      <c r="Q673" s="1347" t="n"/>
    </row>
    <row r="674" outlineLevel="1" ht="27.6" customHeight="1">
      <c r="A674" s="228">
        <f>'01_Preço'!$A$416</f>
        <v/>
      </c>
      <c r="B674" s="161">
        <f>'01_Preço'!A417</f>
        <v/>
      </c>
      <c r="C674" s="161">
        <f>'01_Preço'!B417</f>
        <v/>
      </c>
      <c r="D674" s="162">
        <f>'01_Preço'!E417</f>
        <v/>
      </c>
      <c r="E674" s="453" t="n">
        <v>65</v>
      </c>
      <c r="F674" s="1343">
        <f>VLOOKUP(E674,'Tabela de mês'!$A$1:$B$54,2,TRUE)</f>
        <v/>
      </c>
      <c r="G674" s="513" t="inlineStr">
        <is>
          <t>367-SER</t>
        </is>
      </c>
      <c r="H674" s="417" t="inlineStr">
        <is>
          <t>INSIGHT</t>
        </is>
      </c>
      <c r="I674" s="417" t="inlineStr">
        <is>
          <t>INSIGHT</t>
        </is>
      </c>
      <c r="J674" s="161" t="n"/>
      <c r="K674" s="161" t="n"/>
      <c r="L674" s="164" t="inlineStr">
        <is>
          <t>Aprovação da versão conforme construído do Projeto dos Para-raios de Alta Tensão</t>
        </is>
      </c>
      <c r="M674" s="416">
        <f>O674/$O$670</f>
        <v/>
      </c>
      <c r="N674" s="1344" t="n"/>
      <c r="O674" s="1373" t="n">
        <v>5903.88</v>
      </c>
      <c r="P674" s="561" t="n"/>
      <c r="Q674" s="1347" t="n"/>
    </row>
    <row r="675" outlineLevel="1" ht="27.6" customHeight="1">
      <c r="A675" s="685">
        <f>'01_Preço'!$A$416</f>
        <v/>
      </c>
      <c r="B675" s="683">
        <f>'01_Preço'!A419</f>
        <v/>
      </c>
      <c r="C675" s="677">
        <f>'01_Preço'!B419</f>
        <v/>
      </c>
      <c r="D675" s="686">
        <f>'01_Preço'!E419</f>
        <v/>
      </c>
      <c r="E675" s="721" t="n"/>
      <c r="F675" s="721" t="n"/>
      <c r="G675" s="683" t="n"/>
      <c r="H675" s="683" t="n"/>
      <c r="I675" s="683" t="n"/>
      <c r="J675" s="683" t="n"/>
      <c r="K675" s="683" t="n"/>
      <c r="L675" s="686">
        <f>'01_Preço'!E419</f>
        <v/>
      </c>
      <c r="M675" s="687">
        <f>O675/$N$669</f>
        <v/>
      </c>
      <c r="N675" s="1382" t="n"/>
      <c r="O675" s="1386">
        <f>SUM(O676:O683)</f>
        <v/>
      </c>
      <c r="P675" s="556" t="n"/>
      <c r="Q675" s="1349" t="n"/>
    </row>
    <row r="676" outlineLevel="1" ht="27.6" customHeight="1">
      <c r="A676" s="414">
        <f>'01_Preço'!$A$416</f>
        <v/>
      </c>
      <c r="B676" s="389">
        <f>'01_Preço'!$A$419</f>
        <v/>
      </c>
      <c r="C676" s="389">
        <f>'01_Preço'!$B$419</f>
        <v/>
      </c>
      <c r="D676" s="423">
        <f>'01_Preço'!$E$419</f>
        <v/>
      </c>
      <c r="E676" s="730" t="n">
        <v>26</v>
      </c>
      <c r="F676" s="1339">
        <f>VLOOKUP(E676,'Tabela de mês'!$A$1:$B$54,2,TRUE)</f>
        <v/>
      </c>
      <c r="G676" s="389" t="inlineStr">
        <is>
          <t>372-SER A</t>
        </is>
      </c>
      <c r="H676" s="389" t="inlineStr">
        <is>
          <t>INSIGHT</t>
        </is>
      </c>
      <c r="I676" s="389" t="inlineStr">
        <is>
          <t>INSIGHT</t>
        </is>
      </c>
      <c r="J676" s="163" t="n"/>
      <c r="K676" s="163" t="n"/>
      <c r="L676" s="342" t="inlineStr">
        <is>
          <t>Conclusão da desmontagem  de todos equipamentos e componentes dos Para-raios de Alta Tensão da 1ª UF e do T12</t>
        </is>
      </c>
      <c r="M676" s="391">
        <f>O676/$O$675</f>
        <v/>
      </c>
      <c r="N676" s="1340" t="n"/>
      <c r="O676" s="1340" t="n">
        <v>27351.48</v>
      </c>
      <c r="P676" s="561" t="n"/>
      <c r="Q676" s="1347" t="n"/>
    </row>
    <row r="677" outlineLevel="1" ht="27.6" customHeight="1">
      <c r="A677" s="228">
        <f>'01_Preço'!$A$416</f>
        <v/>
      </c>
      <c r="B677" s="161">
        <f>'01_Preço'!$A$419</f>
        <v/>
      </c>
      <c r="C677" s="161">
        <f>'01_Preço'!$B$419</f>
        <v/>
      </c>
      <c r="D677" s="162">
        <f>'01_Preço'!$E$419</f>
        <v/>
      </c>
      <c r="E677" s="453" t="n">
        <v>33</v>
      </c>
      <c r="F677" s="1343">
        <f>VLOOKUP(E677,'Tabela de mês'!$A$1:$B$54,2,TRUE)</f>
        <v/>
      </c>
      <c r="G677" s="520" t="inlineStr">
        <is>
          <t>372-SER B</t>
        </is>
      </c>
      <c r="H677" s="417" t="inlineStr">
        <is>
          <t>INSIGHT</t>
        </is>
      </c>
      <c r="I677" s="417" t="inlineStr">
        <is>
          <t>INSIGHT</t>
        </is>
      </c>
      <c r="J677" s="161" t="n"/>
      <c r="K677" s="161" t="n"/>
      <c r="L677" s="164" t="inlineStr">
        <is>
          <t>Conclusão da desmontagem  de todos equipamentos e componentes dos Para-raios de Alta Tensão da 2ª UF</t>
        </is>
      </c>
      <c r="M677" s="416">
        <f>O677/$O$675</f>
        <v/>
      </c>
      <c r="N677" s="1344" t="n"/>
      <c r="O677" s="1373" t="n">
        <v>27351.47</v>
      </c>
      <c r="P677" s="561" t="n"/>
      <c r="Q677" s="1347" t="n"/>
    </row>
    <row r="678" outlineLevel="1" ht="27.6" customHeight="1">
      <c r="A678" s="230">
        <f>'01_Preço'!$A$416</f>
        <v/>
      </c>
      <c r="B678" s="163">
        <f>'01_Preço'!$A$419</f>
        <v/>
      </c>
      <c r="C678" s="163">
        <f>'01_Preço'!$B$419</f>
        <v/>
      </c>
      <c r="D678" s="167">
        <f>'01_Preço'!$E$419</f>
        <v/>
      </c>
      <c r="E678" s="453" t="n">
        <v>38</v>
      </c>
      <c r="F678" s="1343">
        <f>VLOOKUP(E678,'Tabela de mês'!$A$1:$B$54,2,TRUE)</f>
        <v/>
      </c>
      <c r="G678" s="510" t="inlineStr">
        <is>
          <t>373-SER A</t>
        </is>
      </c>
      <c r="H678" s="417" t="inlineStr">
        <is>
          <t>INSIGHT</t>
        </is>
      </c>
      <c r="I678" s="417" t="inlineStr">
        <is>
          <t>INSIGHT</t>
        </is>
      </c>
      <c r="J678" s="161" t="n"/>
      <c r="K678" s="161" t="n"/>
      <c r="L678" s="164" t="inlineStr">
        <is>
          <t>Conclusão da desmontagem  de todos equipamentos e componentes dos Para-raios de Alta Tensão da 3ª UF</t>
        </is>
      </c>
      <c r="M678" s="416">
        <f>O678/$O$675</f>
        <v/>
      </c>
      <c r="N678" s="1364" t="n"/>
      <c r="O678" s="1342" t="n">
        <v>27351.48</v>
      </c>
      <c r="P678" s="561" t="n"/>
      <c r="Q678" s="1347" t="n"/>
    </row>
    <row r="679" outlineLevel="1" ht="27.6" customHeight="1">
      <c r="A679" s="230">
        <f>'01_Preço'!$A$416</f>
        <v/>
      </c>
      <c r="B679" s="163">
        <f>'01_Preço'!$A$419</f>
        <v/>
      </c>
      <c r="C679" s="163">
        <f>'01_Preço'!$B$419</f>
        <v/>
      </c>
      <c r="D679" s="167">
        <f>'01_Preço'!$E$419</f>
        <v/>
      </c>
      <c r="E679" s="453" t="n">
        <v>45</v>
      </c>
      <c r="F679" s="1343">
        <f>VLOOKUP(E679,'Tabela de mês'!$A$1:$B$54,2,TRUE)</f>
        <v/>
      </c>
      <c r="G679" s="510" t="inlineStr">
        <is>
          <t>373-SER B</t>
        </is>
      </c>
      <c r="H679" s="417" t="inlineStr">
        <is>
          <t>INSIGHT</t>
        </is>
      </c>
      <c r="I679" s="417" t="inlineStr">
        <is>
          <t>INSIGHT</t>
        </is>
      </c>
      <c r="J679" s="161" t="n"/>
      <c r="K679" s="161" t="n"/>
      <c r="L679" s="164" t="inlineStr">
        <is>
          <t>Conclusão da desmontagem  de todos equipamentos e componentes dos Para-raios de Alta Tensão da 4ª UF</t>
        </is>
      </c>
      <c r="M679" s="416">
        <f>O679/$O$675</f>
        <v/>
      </c>
      <c r="N679" s="1364" t="n"/>
      <c r="O679" s="1342" t="n">
        <v>27351.47</v>
      </c>
      <c r="P679" s="561" t="n"/>
      <c r="Q679" s="1347" t="n"/>
    </row>
    <row r="680" outlineLevel="1" ht="27.6" customHeight="1">
      <c r="A680" s="230">
        <f>'01_Preço'!$A$416</f>
        <v/>
      </c>
      <c r="B680" s="163">
        <f>'01_Preço'!$A$419</f>
        <v/>
      </c>
      <c r="C680" s="163">
        <f>'01_Preço'!$B$419</f>
        <v/>
      </c>
      <c r="D680" s="167">
        <f>'01_Preço'!$E$419</f>
        <v/>
      </c>
      <c r="E680" s="453" t="n">
        <v>49</v>
      </c>
      <c r="F680" s="1343">
        <f>VLOOKUP(E680,'Tabela de mês'!$A$1:$B$54,2,TRUE)</f>
        <v/>
      </c>
      <c r="G680" s="510" t="inlineStr">
        <is>
          <t>374-SER A</t>
        </is>
      </c>
      <c r="H680" s="417" t="inlineStr">
        <is>
          <t>INSIGHT</t>
        </is>
      </c>
      <c r="I680" s="417" t="inlineStr">
        <is>
          <t>INSIGHT</t>
        </is>
      </c>
      <c r="J680" s="161" t="n"/>
      <c r="K680" s="161" t="n"/>
      <c r="L680" s="164" t="inlineStr">
        <is>
          <t>Conclusão da montagem de todos equipamentos e componentes dos Para-raios de Alta Tensão da 1ª UF e do T12</t>
        </is>
      </c>
      <c r="M680" s="416">
        <f>O680/$O$675</f>
        <v/>
      </c>
      <c r="N680" s="1364" t="n"/>
      <c r="O680" s="1342" t="n">
        <v>27351.47</v>
      </c>
      <c r="P680" s="561" t="n"/>
      <c r="Q680" s="1347" t="n"/>
    </row>
    <row r="681" outlineLevel="1" ht="27.6" customHeight="1">
      <c r="A681" s="230">
        <f>'01_Preço'!$A$416</f>
        <v/>
      </c>
      <c r="B681" s="163">
        <f>'01_Preço'!$A$419</f>
        <v/>
      </c>
      <c r="C681" s="163">
        <f>'01_Preço'!$B$419</f>
        <v/>
      </c>
      <c r="D681" s="167">
        <f>'01_Preço'!$E$419</f>
        <v/>
      </c>
      <c r="E681" s="453" t="n">
        <v>55</v>
      </c>
      <c r="F681" s="1343">
        <f>VLOOKUP(E681,'Tabela de mês'!$A$1:$B$54,2,TRUE)</f>
        <v/>
      </c>
      <c r="G681" s="510" t="inlineStr">
        <is>
          <t>374-SER B</t>
        </is>
      </c>
      <c r="H681" s="417" t="inlineStr">
        <is>
          <t>INSIGHT</t>
        </is>
      </c>
      <c r="I681" s="417" t="inlineStr">
        <is>
          <t>INSIGHT</t>
        </is>
      </c>
      <c r="J681" s="161" t="n"/>
      <c r="K681" s="161" t="n"/>
      <c r="L681" s="164" t="inlineStr">
        <is>
          <t>Conclusão da montagem de todos equipamentos e componentes dos Para-raios de Alta Tensão da 2ª UF</t>
        </is>
      </c>
      <c r="M681" s="416">
        <f>O681/$O$675</f>
        <v/>
      </c>
      <c r="N681" s="1364" t="n"/>
      <c r="O681" s="1342" t="n">
        <v>27351.48</v>
      </c>
      <c r="P681" s="561" t="n"/>
      <c r="Q681" s="1347" t="n"/>
    </row>
    <row r="682" outlineLevel="1" ht="27.6" customHeight="1">
      <c r="A682" s="230">
        <f>'01_Preço'!$A$416</f>
        <v/>
      </c>
      <c r="B682" s="163">
        <f>'01_Preço'!$A$419</f>
        <v/>
      </c>
      <c r="C682" s="163">
        <f>'01_Preço'!$B$419</f>
        <v/>
      </c>
      <c r="D682" s="167">
        <f>'01_Preço'!$E$419</f>
        <v/>
      </c>
      <c r="E682" s="453" t="n">
        <v>59</v>
      </c>
      <c r="F682" s="1343">
        <f>VLOOKUP(E682,'Tabela de mês'!$A$1:$B$54,2,TRUE)</f>
        <v/>
      </c>
      <c r="G682" s="510" t="inlineStr">
        <is>
          <t>375-SER A</t>
        </is>
      </c>
      <c r="H682" s="417" t="inlineStr">
        <is>
          <t>INSIGHT</t>
        </is>
      </c>
      <c r="I682" s="417" t="inlineStr">
        <is>
          <t>INSIGHT</t>
        </is>
      </c>
      <c r="J682" s="161" t="n"/>
      <c r="K682" s="161" t="n"/>
      <c r="L682" s="164" t="inlineStr">
        <is>
          <t>Conclusão da montagem de todos equipamentos e componentes dos Para-raios de Alta Tensão da 3ª UF</t>
        </is>
      </c>
      <c r="M682" s="416">
        <f>O682/$O$675</f>
        <v/>
      </c>
      <c r="N682" s="1364" t="n"/>
      <c r="O682" s="1342" t="n">
        <v>27351.47</v>
      </c>
      <c r="P682" s="561" t="n"/>
      <c r="Q682" s="1347" t="n"/>
    </row>
    <row r="683" outlineLevel="1" ht="27.6" customHeight="1">
      <c r="A683" s="230">
        <f>'01_Preço'!$A$416</f>
        <v/>
      </c>
      <c r="B683" s="163">
        <f>'01_Preço'!$A$419</f>
        <v/>
      </c>
      <c r="C683" s="163">
        <f>'01_Preço'!$B$419</f>
        <v/>
      </c>
      <c r="D683" s="167">
        <f>'01_Preço'!$E$419</f>
        <v/>
      </c>
      <c r="E683" s="453" t="n">
        <v>65</v>
      </c>
      <c r="F683" s="1343">
        <f>VLOOKUP(E683,'Tabela de mês'!$A$1:$B$54,2,TRUE)</f>
        <v/>
      </c>
      <c r="G683" s="510" t="inlineStr">
        <is>
          <t>375-SER B</t>
        </is>
      </c>
      <c r="H683" s="417" t="inlineStr">
        <is>
          <t>INSIGHT</t>
        </is>
      </c>
      <c r="I683" s="417" t="inlineStr">
        <is>
          <t>INSIGHT</t>
        </is>
      </c>
      <c r="J683" s="161" t="n"/>
      <c r="K683" s="161" t="n"/>
      <c r="L683" s="164" t="inlineStr">
        <is>
          <t>Conclusão da montagem de todos equipamentos e componentes dos Para-raios de Alta Tensão da 4ª UF</t>
        </is>
      </c>
      <c r="M683" s="416">
        <f>O683/$O$675</f>
        <v/>
      </c>
      <c r="N683" s="1364" t="n"/>
      <c r="O683" s="1342" t="n">
        <v>27351.47</v>
      </c>
      <c r="P683" s="561" t="n"/>
      <c r="Q683" s="1347" t="n"/>
    </row>
    <row r="684" outlineLevel="1" ht="27.6" customHeight="1">
      <c r="A684" s="463">
        <f>'01_Preço'!$A$416</f>
        <v/>
      </c>
      <c r="B684" s="441">
        <f>'01_Preço'!A421</f>
        <v/>
      </c>
      <c r="C684" s="469">
        <f>'01_Preço'!B421</f>
        <v/>
      </c>
      <c r="D684" s="471">
        <f>'01_Preço'!E421</f>
        <v/>
      </c>
      <c r="E684" s="462" t="n"/>
      <c r="F684" s="462" t="n"/>
      <c r="G684" s="441" t="n"/>
      <c r="H684" s="441" t="n"/>
      <c r="I684" s="441" t="n"/>
      <c r="J684" s="441" t="n"/>
      <c r="K684" s="441" t="n"/>
      <c r="L684" s="471">
        <f>'01_Preço'!E421</f>
        <v/>
      </c>
      <c r="M684" s="443">
        <f>O684/$N$669</f>
        <v/>
      </c>
      <c r="N684" s="1357" t="n"/>
      <c r="O684" s="1346">
        <f>SUM(O685:O688)</f>
        <v/>
      </c>
      <c r="P684" s="556" t="n"/>
      <c r="Q684" s="1349" t="n"/>
    </row>
    <row r="685" outlineLevel="1" ht="27.6" customHeight="1">
      <c r="A685" s="230">
        <f>'01_Preço'!$A$416</f>
        <v/>
      </c>
      <c r="B685" s="163">
        <f>'01_Preço'!$A$421</f>
        <v/>
      </c>
      <c r="C685" s="163">
        <f>'01_Preço'!$B$421</f>
        <v/>
      </c>
      <c r="D685" s="167">
        <f>'01_Preço'!$E$421</f>
        <v/>
      </c>
      <c r="E685" s="453" t="n">
        <v>34</v>
      </c>
      <c r="F685" s="1343">
        <f>VLOOKUP(E685,'Tabela de mês'!$A$1:$B$54,2,TRUE)</f>
        <v/>
      </c>
      <c r="G685" s="511" t="inlineStr">
        <is>
          <t>376-SER</t>
        </is>
      </c>
      <c r="H685" s="417" t="inlineStr">
        <is>
          <t>INSIGHT</t>
        </is>
      </c>
      <c r="I685" s="417" t="inlineStr">
        <is>
          <t>INSIGHT</t>
        </is>
      </c>
      <c r="J685" s="161" t="n"/>
      <c r="K685" s="161" t="n"/>
      <c r="L685" s="164" t="inlineStr">
        <is>
          <t>Conclusão do Comissionamento dos Para-raios de Alta Tensão da 1ª UF e do T12</t>
        </is>
      </c>
      <c r="M685" s="416">
        <f>O685/$O$684</f>
        <v/>
      </c>
      <c r="N685" s="1364" t="n"/>
      <c r="O685" s="1342" t="n">
        <v>39570.59</v>
      </c>
      <c r="P685" s="561" t="n"/>
      <c r="Q685" s="1347" t="n"/>
    </row>
    <row r="686" outlineLevel="1" ht="27.6" customHeight="1">
      <c r="A686" s="230">
        <f>'01_Preço'!$A$416</f>
        <v/>
      </c>
      <c r="B686" s="163">
        <f>'01_Preço'!$A$421</f>
        <v/>
      </c>
      <c r="C686" s="163">
        <f>'01_Preço'!$B$421</f>
        <v/>
      </c>
      <c r="D686" s="167">
        <f>'01_Preço'!$E$421</f>
        <v/>
      </c>
      <c r="E686" s="453" t="n">
        <v>46</v>
      </c>
      <c r="F686" s="1343">
        <f>VLOOKUP(E686,'Tabela de mês'!$A$1:$B$54,2,TRUE)</f>
        <v/>
      </c>
      <c r="G686" s="511" t="inlineStr">
        <is>
          <t>377-SER</t>
        </is>
      </c>
      <c r="H686" s="417" t="inlineStr">
        <is>
          <t>INSIGHT</t>
        </is>
      </c>
      <c r="I686" s="417" t="inlineStr">
        <is>
          <t>INSIGHT</t>
        </is>
      </c>
      <c r="J686" s="161" t="n"/>
      <c r="K686" s="161" t="n"/>
      <c r="L686" s="164" t="inlineStr">
        <is>
          <t>Conclusão do Comissionamento dos Para-raios de Alta Tensão da 2ª UF</t>
        </is>
      </c>
      <c r="M686" s="416">
        <f>O686/$O$684</f>
        <v/>
      </c>
      <c r="N686" s="1364" t="n"/>
      <c r="O686" s="1342" t="n">
        <v>39570.59</v>
      </c>
      <c r="P686" s="561" t="n"/>
      <c r="Q686" s="1347" t="n"/>
    </row>
    <row r="687" outlineLevel="1" ht="27.6" customHeight="1">
      <c r="A687" s="393">
        <f>'01_Preço'!$A$416</f>
        <v/>
      </c>
      <c r="B687" s="163">
        <f>'01_Preço'!$A$421</f>
        <v/>
      </c>
      <c r="C687" s="163">
        <f>'01_Preço'!$B$421</f>
        <v/>
      </c>
      <c r="D687" s="167">
        <f>'01_Preço'!$E$421</f>
        <v/>
      </c>
      <c r="E687" s="453" t="n">
        <v>56</v>
      </c>
      <c r="F687" s="1343">
        <f>VLOOKUP(E687,'Tabela de mês'!$A$1:$B$54,2,TRUE)</f>
        <v/>
      </c>
      <c r="G687" s="511" t="inlineStr">
        <is>
          <t>378-SER</t>
        </is>
      </c>
      <c r="H687" s="417" t="inlineStr">
        <is>
          <t>INSIGHT</t>
        </is>
      </c>
      <c r="I687" s="417" t="inlineStr">
        <is>
          <t>INSIGHT</t>
        </is>
      </c>
      <c r="J687" s="163" t="n"/>
      <c r="K687" s="163" t="n"/>
      <c r="L687" s="165" t="inlineStr">
        <is>
          <t>Conclusão do Comissionamento dos Para-raios de Alta Tensão da 4ª UF e do T12</t>
        </is>
      </c>
      <c r="M687" s="416">
        <f>O687/$O$684</f>
        <v/>
      </c>
      <c r="N687" s="1342" t="n"/>
      <c r="O687" s="1342" t="n">
        <v>39570.59</v>
      </c>
      <c r="P687" s="561" t="n"/>
      <c r="Q687" s="1347" t="n"/>
    </row>
    <row r="688" outlineLevel="1" ht="27.6" customHeight="1">
      <c r="A688" s="393">
        <f>'01_Preço'!$A$416</f>
        <v/>
      </c>
      <c r="B688" s="163">
        <f>'01_Preço'!$A$421</f>
        <v/>
      </c>
      <c r="C688" s="163">
        <f>'01_Preço'!$B$421</f>
        <v/>
      </c>
      <c r="D688" s="167">
        <f>'01_Preço'!$E$421</f>
        <v/>
      </c>
      <c r="E688" s="453" t="n">
        <v>66</v>
      </c>
      <c r="F688" s="1343">
        <f>VLOOKUP(E688,'Tabela de mês'!$A$1:$B$54,2,TRUE)</f>
        <v/>
      </c>
      <c r="G688" s="511" t="inlineStr">
        <is>
          <t>379-SER</t>
        </is>
      </c>
      <c r="H688" s="417" t="inlineStr">
        <is>
          <t>INSIGHT</t>
        </is>
      </c>
      <c r="I688" s="417" t="inlineStr">
        <is>
          <t>INSIGHT</t>
        </is>
      </c>
      <c r="J688" s="163" t="n"/>
      <c r="K688" s="163" t="n"/>
      <c r="L688" s="165" t="inlineStr">
        <is>
          <t>Conclusão do Comissionamento dos Para-raios de Alta Tensão da 4ª UF e do T12</t>
        </is>
      </c>
      <c r="M688" s="416">
        <f>O688/$O$684</f>
        <v/>
      </c>
      <c r="N688" s="1342" t="n"/>
      <c r="O688" s="1342" t="n">
        <v>39570.59</v>
      </c>
      <c r="P688" s="561" t="n"/>
      <c r="Q688" s="1347" t="n"/>
    </row>
    <row r="689" outlineLevel="1" ht="27.6" customHeight="1">
      <c r="A689" s="463">
        <f>'01_Preço'!$A$416</f>
        <v/>
      </c>
      <c r="B689" s="441">
        <f>CONCATENATE('01_Preço'!$A$423," e ",'01_Preço'!$A$425,)</f>
        <v/>
      </c>
      <c r="C689" s="469">
        <f>'01_Preço'!B423</f>
        <v/>
      </c>
      <c r="D689" s="471">
        <f>'01_Preço'!E423</f>
        <v/>
      </c>
      <c r="E689" s="462" t="n"/>
      <c r="F689" s="462" t="n"/>
      <c r="G689" s="441" t="n"/>
      <c r="H689" s="441" t="n"/>
      <c r="I689" s="441" t="n"/>
      <c r="J689" s="441" t="n"/>
      <c r="K689" s="441" t="n"/>
      <c r="L689" s="442">
        <f>CONCATENATE('01_Preço'!$E$423," e ",'01_Preço'!$E$425,)</f>
        <v/>
      </c>
      <c r="M689" s="443">
        <f>O689/$N$669</f>
        <v/>
      </c>
      <c r="N689" s="1357" t="n"/>
      <c r="O689" s="1346">
        <f>SUM(O690:O693)</f>
        <v/>
      </c>
      <c r="P689" s="556" t="n"/>
      <c r="Q689" s="1349" t="n"/>
    </row>
    <row r="690" outlineLevel="1" ht="27.6" customHeight="1">
      <c r="A690" s="393">
        <f>'01_Preço'!$A$416</f>
        <v/>
      </c>
      <c r="B690" s="163">
        <f>CONCATENATE('01_Preço'!$A$423," e ",'01_Preço'!$A$425,)</f>
        <v/>
      </c>
      <c r="C690" s="163">
        <f>'01_Preço'!$B$423</f>
        <v/>
      </c>
      <c r="D690" s="167" t="inlineStr">
        <is>
          <t>Equipamentos e materiais</t>
        </is>
      </c>
      <c r="E690" s="453" t="n">
        <v>30</v>
      </c>
      <c r="F690" s="1343">
        <f>VLOOKUP(E690,'Tabela de mês'!$A$1:$B$54,2,TRUE)</f>
        <v/>
      </c>
      <c r="G690" s="511" t="inlineStr">
        <is>
          <t>368-MAT</t>
        </is>
      </c>
      <c r="H690" s="417" t="inlineStr">
        <is>
          <t>INSIGHT</t>
        </is>
      </c>
      <c r="I690" s="417" t="inlineStr">
        <is>
          <t>INSIGHT</t>
        </is>
      </c>
      <c r="J690" s="163" t="n"/>
      <c r="K690" s="163" t="n"/>
      <c r="L690" s="165" t="inlineStr">
        <is>
          <t>Entrega em campo dos equipamentos e componentes dos Para-raios de Alta Tensão da 1ª UF e do T12</t>
        </is>
      </c>
      <c r="M690" s="416">
        <f>O690/$O$689</f>
        <v/>
      </c>
      <c r="N690" s="1342" t="n"/>
      <c r="O690" s="1342" t="n">
        <v>175693.44</v>
      </c>
      <c r="P690" s="561" t="n">
        <v>22</v>
      </c>
      <c r="Q690" s="1342">
        <f>O690*0.8</f>
        <v/>
      </c>
    </row>
    <row r="691" outlineLevel="1" ht="27.6" customHeight="1">
      <c r="A691" s="230">
        <f>'01_Preço'!$A$416</f>
        <v/>
      </c>
      <c r="B691" s="163">
        <f>CONCATENATE('01_Preço'!$A$423," e ",'01_Preço'!$A$425,)</f>
        <v/>
      </c>
      <c r="C691" s="163">
        <f>'01_Preço'!$B$423</f>
        <v/>
      </c>
      <c r="D691" s="167" t="inlineStr">
        <is>
          <t>Equipamentos e materiais</t>
        </is>
      </c>
      <c r="E691" s="453" t="n">
        <v>30</v>
      </c>
      <c r="F691" s="1343">
        <f>VLOOKUP(E691,'Tabela de mês'!$A$1:$B$54,2,TRUE)</f>
        <v/>
      </c>
      <c r="G691" s="511" t="inlineStr">
        <is>
          <t>369-MAT</t>
        </is>
      </c>
      <c r="H691" s="417" t="inlineStr">
        <is>
          <t>INSIGHT</t>
        </is>
      </c>
      <c r="I691" s="417" t="inlineStr">
        <is>
          <t>INSIGHT</t>
        </is>
      </c>
      <c r="J691" s="161" t="n"/>
      <c r="K691" s="161" t="n"/>
      <c r="L691" s="164" t="inlineStr">
        <is>
          <t>Entrega em campo dos equipamentos e componentes dos Para-raios de Alta Tensão da 2ª UF</t>
        </is>
      </c>
      <c r="M691" s="416">
        <f>O691/$O$689</f>
        <v/>
      </c>
      <c r="N691" s="1364" t="n"/>
      <c r="O691" s="1342" t="n">
        <v>175693.44</v>
      </c>
      <c r="P691" s="561" t="n">
        <v>22</v>
      </c>
      <c r="Q691" s="1342">
        <f>O691*0.8</f>
        <v/>
      </c>
    </row>
    <row r="692" outlineLevel="1" ht="27.6" customHeight="1">
      <c r="A692" s="230">
        <f>'01_Preço'!$A$416</f>
        <v/>
      </c>
      <c r="B692" s="163">
        <f>CONCATENATE('01_Preço'!$A$423," e ",'01_Preço'!$A$425,)</f>
        <v/>
      </c>
      <c r="C692" s="163">
        <f>'01_Preço'!$B$423</f>
        <v/>
      </c>
      <c r="D692" s="167" t="inlineStr">
        <is>
          <t>Equipamentos e materiais</t>
        </is>
      </c>
      <c r="E692" s="453" t="n">
        <v>30</v>
      </c>
      <c r="F692" s="1343">
        <f>VLOOKUP(E692,'Tabela de mês'!$A$1:$B$54,2,TRUE)</f>
        <v/>
      </c>
      <c r="G692" s="511" t="inlineStr">
        <is>
          <t>370-MAT</t>
        </is>
      </c>
      <c r="H692" s="417" t="inlineStr">
        <is>
          <t>INSIGHT</t>
        </is>
      </c>
      <c r="I692" s="417" t="inlineStr">
        <is>
          <t>INSIGHT</t>
        </is>
      </c>
      <c r="J692" s="161" t="n"/>
      <c r="K692" s="161" t="n"/>
      <c r="L692" s="164" t="inlineStr">
        <is>
          <t>Entrega em campo dos equipamentos e componentes dos Para-raios de Alta Tensão da 3ª UF</t>
        </is>
      </c>
      <c r="M692" s="416">
        <f>O692/$O$689</f>
        <v/>
      </c>
      <c r="N692" s="1364" t="n"/>
      <c r="O692" s="1342" t="n">
        <v>175693.44</v>
      </c>
      <c r="P692" s="561" t="n">
        <v>22</v>
      </c>
      <c r="Q692" s="1342">
        <f>O692*0.8</f>
        <v/>
      </c>
    </row>
    <row r="693" outlineLevel="1" ht="28.2" customHeight="1" thickBot="1">
      <c r="A693" s="230">
        <f>'01_Preço'!$A$416</f>
        <v/>
      </c>
      <c r="B693" s="163">
        <f>CONCATENATE('01_Preço'!$A$423," e ",'01_Preço'!$A$425,)</f>
        <v/>
      </c>
      <c r="C693" s="163">
        <f>'01_Preço'!$B$423</f>
        <v/>
      </c>
      <c r="D693" s="167" t="inlineStr">
        <is>
          <t>Equipamentos e materiais</t>
        </is>
      </c>
      <c r="E693" s="453" t="n">
        <v>30</v>
      </c>
      <c r="F693" s="1343">
        <f>VLOOKUP(E693,'Tabela de mês'!$A$1:$B$54,2,TRUE)</f>
        <v/>
      </c>
      <c r="G693" s="511" t="inlineStr">
        <is>
          <t>371-MAT</t>
        </is>
      </c>
      <c r="H693" s="417" t="inlineStr">
        <is>
          <t>INSIGHT</t>
        </is>
      </c>
      <c r="I693" s="417" t="inlineStr">
        <is>
          <t>INSIGHT</t>
        </is>
      </c>
      <c r="J693" s="161" t="n"/>
      <c r="K693" s="161" t="n"/>
      <c r="L693" s="164" t="inlineStr">
        <is>
          <t>Entrega em campo dos equipamentos e componentes dos Para-raios de Alta Tensão da 4ª UF</t>
        </is>
      </c>
      <c r="M693" s="416">
        <f>O693/$O$689</f>
        <v/>
      </c>
      <c r="N693" s="1364" t="n"/>
      <c r="O693" s="1342" t="n">
        <v>175693.44</v>
      </c>
      <c r="P693" s="561" t="n">
        <v>22</v>
      </c>
      <c r="Q693" s="1342">
        <f>O693*0.8</f>
        <v/>
      </c>
    </row>
    <row r="694" ht="16.2" customHeight="1" thickBot="1">
      <c r="A694" s="1390" t="inlineStr">
        <is>
          <t>2.25 - Arranjo</t>
        </is>
      </c>
      <c r="B694" s="181" t="n"/>
      <c r="C694" s="181" t="n"/>
      <c r="D694" s="181" t="n"/>
      <c r="E694" s="181" t="n"/>
      <c r="F694" s="181" t="n"/>
      <c r="G694" s="181" t="n"/>
      <c r="H694" s="181" t="n"/>
      <c r="I694" s="181" t="n"/>
      <c r="J694" s="181" t="n"/>
      <c r="K694" s="181" t="n"/>
      <c r="L694" s="181" t="n"/>
      <c r="M694" s="1153" t="n"/>
      <c r="N694" s="1391">
        <f>SUM(O695:O697)</f>
        <v/>
      </c>
      <c r="O694" s="691" t="n"/>
      <c r="P694" s="1053" t="n"/>
      <c r="Q694" s="424" t="n"/>
    </row>
    <row r="695" outlineLevel="1" ht="41.4" customHeight="1">
      <c r="A695" s="1388">
        <f>'01_Preço'!$A$427</f>
        <v/>
      </c>
      <c r="B695" s="1388">
        <f>'01_Preço'!A428</f>
        <v/>
      </c>
      <c r="C695" s="1388">
        <f>'01_Preço'!B428</f>
        <v/>
      </c>
      <c r="D695" s="1388">
        <f>'01_Preço'!E428</f>
        <v/>
      </c>
      <c r="E695" s="733" t="n">
        <v>22</v>
      </c>
      <c r="F695" s="1388">
        <f>VLOOKUP(E695,'Tabela de mês'!$A$1:$B$54,2,TRUE)</f>
        <v/>
      </c>
      <c r="G695" s="1388" t="inlineStr">
        <is>
          <t>381-SER</t>
        </is>
      </c>
      <c r="H695" s="441" t="inlineStr">
        <is>
          <t>INSIGHT</t>
        </is>
      </c>
      <c r="I695" s="441" t="inlineStr">
        <is>
          <t>INSIGHT</t>
        </is>
      </c>
      <c r="J695" s="441" t="n"/>
      <c r="K695" s="441" t="n"/>
      <c r="L695" s="1388" t="inlineStr">
        <is>
          <t>Aprovação completa dos Documentos do Projeto Executivo Eletromecânico de Reforma e Modernização, incluindo planejamento da sequência construtiva dos sistemas por cada Unidade Funcional</t>
        </is>
      </c>
      <c r="M695" s="446">
        <f>O695/$N$694</f>
        <v/>
      </c>
      <c r="N695" s="1349" t="n"/>
      <c r="O695" s="1349" t="n">
        <v>227658.8328337494</v>
      </c>
      <c r="P695" s="556" t="n"/>
      <c r="Q695" s="1346" t="n"/>
    </row>
    <row r="696" outlineLevel="1" ht="27.6" customHeight="1">
      <c r="A696" s="472">
        <f>'01_Preço'!$A$427</f>
        <v/>
      </c>
      <c r="B696" s="436">
        <f>'01_Preço'!A430</f>
        <v/>
      </c>
      <c r="C696" s="467">
        <f>'01_Preço'!B430</f>
        <v/>
      </c>
      <c r="D696" s="470">
        <f>'01_Preço'!E430</f>
        <v/>
      </c>
      <c r="E696" s="449" t="n">
        <v>65</v>
      </c>
      <c r="F696" s="1348">
        <f>VLOOKUP(E696,'Tabela de mês'!$A$1:$B$54,2,TRUE)</f>
        <v/>
      </c>
      <c r="G696" s="513" t="inlineStr">
        <is>
          <t>380-SER</t>
        </is>
      </c>
      <c r="H696" s="436" t="inlineStr">
        <is>
          <t>INSIGHT</t>
        </is>
      </c>
      <c r="I696" s="436" t="inlineStr">
        <is>
          <t>INSIGHT</t>
        </is>
      </c>
      <c r="J696" s="436" t="n"/>
      <c r="K696" s="436" t="n"/>
      <c r="L696" s="437" t="inlineStr">
        <is>
          <t>Aprovação da versão conforme construído do Projeto do Arranjo Eletromecânico</t>
        </is>
      </c>
      <c r="M696" s="446">
        <f>O696/$N$694</f>
        <v/>
      </c>
      <c r="N696" s="1349" t="n"/>
      <c r="O696" s="1349" t="n">
        <v>804300.5734490675</v>
      </c>
      <c r="P696" s="556" t="n"/>
      <c r="Q696" s="1346" t="n"/>
    </row>
    <row r="697" outlineLevel="1" ht="82.8" customHeight="1">
      <c r="A697" s="685">
        <f>'01_Preço'!$A$427</f>
        <v/>
      </c>
      <c r="B697" s="683">
        <f>'01_Preço'!A432</f>
        <v/>
      </c>
      <c r="C697" s="677">
        <f>'01_Preço'!B432</f>
        <v/>
      </c>
      <c r="D697" s="686">
        <f>'01_Preço'!E432</f>
        <v/>
      </c>
      <c r="E697" s="683" t="n"/>
      <c r="F697" s="683" t="n"/>
      <c r="G697" s="683" t="n"/>
      <c r="H697" s="683" t="n"/>
      <c r="I697" s="683" t="n"/>
      <c r="J697" s="683" t="n"/>
      <c r="K697" s="683" t="n"/>
      <c r="L697" s="692" t="inlineStr">
        <is>
          <t>Conclusão da desmontagem dos demais equipamentos desativados (transformador T7, cubículos dos disjuntores 6A, 8F4, 7, 12, 10F4)</t>
        </is>
      </c>
      <c r="M697" s="687">
        <f>O697/$N$694</f>
        <v/>
      </c>
      <c r="N697" s="1382" t="n"/>
      <c r="O697" s="1386" t="n">
        <v>1314421.081522061</v>
      </c>
      <c r="P697" s="556" t="n"/>
      <c r="Q697" s="1346" t="n"/>
    </row>
    <row r="698" outlineLevel="1" ht="82.8" customHeight="1">
      <c r="A698" s="414">
        <f>'01_Preço'!$A$427</f>
        <v/>
      </c>
      <c r="B698" s="389">
        <f>'01_Preço'!A432</f>
        <v/>
      </c>
      <c r="C698" s="413">
        <f>'01_Preço'!B432</f>
        <v/>
      </c>
      <c r="D698" s="414">
        <f>'01_Preço'!E432</f>
        <v/>
      </c>
      <c r="E698" s="737" t="n">
        <v>20</v>
      </c>
      <c r="F698" s="1339">
        <f>VLOOKUP(E698,'Tabela de mês'!$A$1:$B$54,2,TRUE)</f>
        <v/>
      </c>
      <c r="G698" s="389" t="inlineStr">
        <is>
          <t>382-SER A</t>
        </is>
      </c>
      <c r="H698" s="389" t="inlineStr">
        <is>
          <t>INSIGHT</t>
        </is>
      </c>
      <c r="I698" s="389" t="inlineStr">
        <is>
          <t>INSIGHT</t>
        </is>
      </c>
      <c r="J698" s="389" t="n"/>
      <c r="K698" s="389" t="n"/>
      <c r="L698" s="736" t="inlineStr">
        <is>
          <t>Conclusão da desmontagem dos demais equipamentos desativados (transformador T7 - Demolições e remoções, execução de paredes em alvenaria, recomposição de revestimento de paredes)</t>
        </is>
      </c>
      <c r="M698" s="738">
        <f>O698/$O$697</f>
        <v/>
      </c>
      <c r="N698" s="1340" t="n"/>
      <c r="O698" s="1340" t="n">
        <v>394326.3244566183</v>
      </c>
      <c r="P698" s="565" t="n">
        <v>19</v>
      </c>
      <c r="Q698" s="1379" t="n">
        <v>50000</v>
      </c>
    </row>
    <row r="699" outlineLevel="1" ht="83.40000000000001" customHeight="1" thickBot="1">
      <c r="A699" s="414">
        <f>'01_Preço'!$A$427</f>
        <v/>
      </c>
      <c r="B699" s="389">
        <f>'01_Preço'!A432</f>
        <v/>
      </c>
      <c r="C699" s="413">
        <f>'01_Preço'!B432</f>
        <v/>
      </c>
      <c r="D699" s="414">
        <f>'01_Preço'!E432</f>
        <v/>
      </c>
      <c r="E699" s="737" t="n">
        <v>26</v>
      </c>
      <c r="F699" s="1339">
        <f>VLOOKUP(E699,'Tabela de mês'!$A$1:$B$54,2,TRUE)</f>
        <v/>
      </c>
      <c r="G699" s="389" t="inlineStr">
        <is>
          <t>382-SER B</t>
        </is>
      </c>
      <c r="H699" s="389" t="inlineStr">
        <is>
          <t>INSIGHT</t>
        </is>
      </c>
      <c r="I699" s="389" t="inlineStr">
        <is>
          <t>INSIGHT</t>
        </is>
      </c>
      <c r="J699" s="389" t="n"/>
      <c r="K699" s="389" t="n"/>
      <c r="L699" s="736" t="inlineStr">
        <is>
          <t>Conclusão da desmontagem dos demais equipamentos desativados (cubículos dos disjuntores 6A, 8F4, 7, 12, 10F4 e interligação do T11 com o T5 )</t>
        </is>
      </c>
      <c r="M699" s="738">
        <f>O699/$O$697</f>
        <v/>
      </c>
      <c r="N699" s="1340" t="n"/>
      <c r="O699" s="1340" t="n">
        <v>920094.7570654429</v>
      </c>
      <c r="P699" s="565" t="n"/>
      <c r="Q699" s="1379" t="n"/>
    </row>
    <row r="700" ht="16.2" customHeight="1" thickBot="1">
      <c r="A700" s="1392" t="inlineStr">
        <is>
          <t xml:space="preserve">2.28 - Modernização e Digitalização da SE UHE Salto Grande - Ativos CEMIG-D </t>
        </is>
      </c>
      <c r="B700" s="59" t="n"/>
      <c r="C700" s="59" t="n"/>
      <c r="D700" s="59" t="n"/>
      <c r="E700" s="59" t="n"/>
      <c r="F700" s="59" t="n"/>
      <c r="G700" s="59" t="n"/>
      <c r="H700" s="59" t="n"/>
      <c r="I700" s="59" t="n"/>
      <c r="J700" s="59" t="n"/>
      <c r="K700" s="59" t="n"/>
      <c r="L700" s="59" t="n"/>
      <c r="M700" s="60" t="n"/>
      <c r="N700" s="1393">
        <f>SUM(O701,O707:O763)</f>
        <v/>
      </c>
      <c r="O700" s="1393" t="n"/>
      <c r="P700" s="1394" t="n"/>
      <c r="Q700" s="424" t="n"/>
    </row>
    <row r="701" outlineLevel="1" ht="41.4" customHeight="1">
      <c r="A701" s="685">
        <f>'01_Preço'!$A$434</f>
        <v/>
      </c>
      <c r="B701" s="677">
        <f>'01_Preço'!A435</f>
        <v/>
      </c>
      <c r="C701" s="677">
        <f>'01_Preço'!B435</f>
        <v/>
      </c>
      <c r="D701" s="686">
        <f>'01_Preço'!E435</f>
        <v/>
      </c>
      <c r="E701" s="721" t="n"/>
      <c r="F701" s="721" t="n"/>
      <c r="G701" s="683" t="n"/>
      <c r="H701" s="683" t="n"/>
      <c r="I701" s="683" t="n"/>
      <c r="J701" s="683" t="n"/>
      <c r="K701" s="683" t="n"/>
      <c r="L701" s="686">
        <f>'01_Preço'!E435</f>
        <v/>
      </c>
      <c r="M701" s="687">
        <f>O701/$N$700</f>
        <v/>
      </c>
      <c r="N701" s="1382" t="n"/>
      <c r="O701" s="1386">
        <f>SUM(O702:O706)</f>
        <v/>
      </c>
      <c r="P701" s="556" t="n"/>
      <c r="Q701" s="1346" t="n"/>
    </row>
    <row r="702" outlineLevel="1" ht="41.4" customHeight="1">
      <c r="A702" s="414">
        <f>'01_Preço'!$A$434</f>
        <v/>
      </c>
      <c r="B702" s="413">
        <f>'01_Preço'!$A$435</f>
        <v/>
      </c>
      <c r="C702" s="413">
        <f>'01_Preço'!$B$435</f>
        <v/>
      </c>
      <c r="D702" s="423" t="inlineStr">
        <is>
          <t>Engenharia e projeto executivo</t>
        </is>
      </c>
      <c r="E702" s="730" t="n">
        <v>26</v>
      </c>
      <c r="F702" s="1339">
        <f>VLOOKUP(E702,'Tabela de mês'!$A$1:$B$54,2,TRUE)</f>
        <v/>
      </c>
      <c r="G702" s="389" t="inlineStr">
        <is>
          <t>383-SER</t>
        </is>
      </c>
      <c r="H702" s="163" t="inlineStr">
        <is>
          <t>INSIGHT</t>
        </is>
      </c>
      <c r="I702" s="163" t="inlineStr">
        <is>
          <t>INSIGHT</t>
        </is>
      </c>
      <c r="J702" s="163" t="n"/>
      <c r="K702" s="163" t="n"/>
      <c r="L702" s="423" t="inlineStr">
        <is>
          <t>2.28.1.1 - Aprovação de projeto executivo civil</t>
        </is>
      </c>
      <c r="M702" s="391">
        <f>O702/$O$701</f>
        <v/>
      </c>
      <c r="N702" s="1340" t="n"/>
      <c r="O702" s="1340" t="n">
        <v>55372.41</v>
      </c>
      <c r="P702" s="561">
        <f>E702+4</f>
        <v/>
      </c>
      <c r="Q702" s="1341">
        <f>O702*0.8</f>
        <v/>
      </c>
    </row>
    <row r="703" outlineLevel="1" ht="41.4" customHeight="1">
      <c r="A703" s="414">
        <f>'01_Preço'!$A$434</f>
        <v/>
      </c>
      <c r="B703" s="413">
        <f>'01_Preço'!$A$435</f>
        <v/>
      </c>
      <c r="C703" s="413">
        <f>'01_Preço'!$B$435</f>
        <v/>
      </c>
      <c r="D703" s="423" t="inlineStr">
        <is>
          <t>Engenharia e projeto executivo</t>
        </is>
      </c>
      <c r="E703" s="730" t="n">
        <v>26</v>
      </c>
      <c r="F703" s="1339">
        <f>VLOOKUP(E703,'Tabela de mês'!$A$1:$B$54,2,TRUE)</f>
        <v/>
      </c>
      <c r="G703" s="389" t="inlineStr">
        <is>
          <t>384-SER</t>
        </is>
      </c>
      <c r="H703" s="163" t="inlineStr">
        <is>
          <t>INSIGHT</t>
        </is>
      </c>
      <c r="I703" s="163" t="inlineStr">
        <is>
          <t>INSIGHT</t>
        </is>
      </c>
      <c r="J703" s="163" t="n"/>
      <c r="K703" s="163" t="n"/>
      <c r="L703" s="423" t="inlineStr">
        <is>
          <t>2.28.1.2 - Aprovação de projeto executivo eletromecânico</t>
        </is>
      </c>
      <c r="M703" s="391">
        <f>O703/$O$701</f>
        <v/>
      </c>
      <c r="N703" s="1340" t="n"/>
      <c r="O703" s="1340" t="n">
        <v>109671.7</v>
      </c>
      <c r="P703" s="561">
        <f>E703+4</f>
        <v/>
      </c>
      <c r="Q703" s="1341">
        <f>O703*0.8</f>
        <v/>
      </c>
    </row>
    <row r="704" outlineLevel="1" ht="41.4" customHeight="1">
      <c r="A704" s="414">
        <f>'01_Preço'!$A$434</f>
        <v/>
      </c>
      <c r="B704" s="413">
        <f>'01_Preço'!$A$435</f>
        <v/>
      </c>
      <c r="C704" s="413">
        <f>'01_Preço'!$B$435</f>
        <v/>
      </c>
      <c r="D704" s="423" t="inlineStr">
        <is>
          <t>Engenharia e projeto executivo</t>
        </is>
      </c>
      <c r="E704" s="730" t="n">
        <v>26</v>
      </c>
      <c r="F704" s="1339">
        <f>VLOOKUP(E704,'Tabela de mês'!$A$1:$B$54,2,TRUE)</f>
        <v/>
      </c>
      <c r="G704" s="389" t="inlineStr">
        <is>
          <t>385-SER</t>
        </is>
      </c>
      <c r="H704" s="163" t="inlineStr">
        <is>
          <t>INSIGHT</t>
        </is>
      </c>
      <c r="I704" s="163" t="inlineStr">
        <is>
          <t>INSIGHT</t>
        </is>
      </c>
      <c r="J704" s="163" t="n"/>
      <c r="K704" s="163" t="n"/>
      <c r="L704" s="423" t="inlineStr">
        <is>
          <t>2.28.1.3 - Aprovação de projeto executivo elétrico</t>
        </is>
      </c>
      <c r="M704" s="391">
        <f>O704/$O$701</f>
        <v/>
      </c>
      <c r="N704" s="1340" t="n"/>
      <c r="O704" s="1340" t="n">
        <v>213343.41</v>
      </c>
      <c r="P704" s="561">
        <f>E704+4</f>
        <v/>
      </c>
      <c r="Q704" s="1341">
        <f>O704*0.8</f>
        <v/>
      </c>
    </row>
    <row r="705" outlineLevel="1" ht="41.4" customHeight="1">
      <c r="A705" s="414">
        <f>'01_Preço'!$A$434</f>
        <v/>
      </c>
      <c r="B705" s="168">
        <f>'01_Preço'!$A$435</f>
        <v/>
      </c>
      <c r="C705" s="168">
        <f>'01_Preço'!$B$435</f>
        <v/>
      </c>
      <c r="D705" s="167" t="inlineStr">
        <is>
          <t>Engenharia e projeto executivo</t>
        </is>
      </c>
      <c r="E705" s="730" t="n">
        <v>65</v>
      </c>
      <c r="F705" s="1339">
        <f>VLOOKUP(E705,'Tabela de mês'!$A$1:$B$54,2,TRUE)</f>
        <v/>
      </c>
      <c r="G705" s="510" t="inlineStr">
        <is>
          <t>386-SER</t>
        </is>
      </c>
      <c r="H705" s="163" t="inlineStr">
        <is>
          <t>INSIGHT</t>
        </is>
      </c>
      <c r="I705" s="163" t="inlineStr">
        <is>
          <t>INSIGHT</t>
        </is>
      </c>
      <c r="J705" s="163" t="n"/>
      <c r="K705" s="163" t="n"/>
      <c r="L705" s="167" t="inlineStr">
        <is>
          <t>2.28.1.4 - Atualização conforme construido, registros contábeis e solução de pendências</t>
        </is>
      </c>
      <c r="M705" s="739">
        <f>O705/$O$701</f>
        <v/>
      </c>
      <c r="N705" s="1342" t="n"/>
      <c r="O705" s="1342" t="n">
        <v>160007.52</v>
      </c>
      <c r="P705" s="561">
        <f>E705+4</f>
        <v/>
      </c>
      <c r="Q705" s="1341">
        <f>O705*0.8</f>
        <v/>
      </c>
    </row>
    <row r="706" outlineLevel="1" ht="41.4" customHeight="1">
      <c r="A706" s="414">
        <f>'01_Preço'!$A$434</f>
        <v/>
      </c>
      <c r="B706" s="413">
        <f>'01_Preço'!$A$435</f>
        <v/>
      </c>
      <c r="C706" s="413">
        <f>'01_Preço'!$B$435</f>
        <v/>
      </c>
      <c r="D706" s="423" t="inlineStr">
        <is>
          <t>Engenharia e projeto executivo</t>
        </is>
      </c>
      <c r="E706" s="730" t="n">
        <v>23</v>
      </c>
      <c r="F706" s="1339">
        <f>VLOOKUP(E706,'Tabela de mês'!$A$1:$B$54,2,TRUE)</f>
        <v/>
      </c>
      <c r="G706" s="389" t="inlineStr">
        <is>
          <t>491 - SER</t>
        </is>
      </c>
      <c r="H706" s="163" t="inlineStr">
        <is>
          <t>SIEMENS</t>
        </is>
      </c>
      <c r="I706" s="497" t="inlineStr">
        <is>
          <t>FAT. DIRETO</t>
        </is>
      </c>
      <c r="J706" s="163" t="n"/>
      <c r="K706" s="163" t="n"/>
      <c r="L706" s="423" t="inlineStr">
        <is>
          <t>2.28.1.5 - Projetos do sistemas SAAS'</t>
        </is>
      </c>
      <c r="M706" s="391">
        <f>O706/$O$701</f>
        <v/>
      </c>
      <c r="N706" s="1340" t="n"/>
      <c r="O706" s="1340" t="n">
        <v>801542.66</v>
      </c>
      <c r="P706" s="561" t="n"/>
      <c r="Q706" s="1346" t="n"/>
    </row>
    <row r="707" outlineLevel="1" ht="41.4" customHeight="1">
      <c r="A707" s="472">
        <f>'01_Preço'!$A$434</f>
        <v/>
      </c>
      <c r="B707" s="467">
        <f>'01_Preço'!A437</f>
        <v/>
      </c>
      <c r="C707" s="467">
        <f>'01_Preço'!$B$437</f>
        <v/>
      </c>
      <c r="D707" s="470">
        <f>'01_Preço'!E437</f>
        <v/>
      </c>
      <c r="E707" s="449" t="n">
        <v>31</v>
      </c>
      <c r="F707" s="1348">
        <f>VLOOKUP(E707,'Tabela de mês'!$A$1:$B$70,2,TRUE)</f>
        <v/>
      </c>
      <c r="G707" s="520" t="inlineStr">
        <is>
          <t>387-MAT</t>
        </is>
      </c>
      <c r="H707" s="436" t="inlineStr">
        <is>
          <t>INSIGHT</t>
        </is>
      </c>
      <c r="I707" s="436" t="inlineStr">
        <is>
          <t>INSIGHT</t>
        </is>
      </c>
      <c r="J707" s="436" t="n"/>
      <c r="K707" s="436" t="n"/>
      <c r="L707" s="470">
        <f>'01_Preço'!E437</f>
        <v/>
      </c>
      <c r="M707" s="446">
        <f>O707/$N$700</f>
        <v/>
      </c>
      <c r="N707" s="1365" t="n"/>
      <c r="O707" s="1349" t="n">
        <v>170350.88</v>
      </c>
      <c r="P707" s="561">
        <f>E707+4</f>
        <v/>
      </c>
      <c r="Q707" s="1341">
        <f>O707*0.8</f>
        <v/>
      </c>
    </row>
    <row r="708" outlineLevel="1" ht="41.4" customHeight="1">
      <c r="A708" s="463">
        <f>'01_Preço'!$A$434</f>
        <v/>
      </c>
      <c r="B708" s="469">
        <f>'01_Preço'!$A$439</f>
        <v/>
      </c>
      <c r="C708" s="469">
        <f>'01_Preço'!$B$439</f>
        <v/>
      </c>
      <c r="D708" s="471">
        <f>'01_Preço'!E439</f>
        <v/>
      </c>
      <c r="E708" s="449" t="n">
        <v>31</v>
      </c>
      <c r="F708" s="1388">
        <f>VLOOKUP(E708,'Tabela de mês'!$A$1:$B$70,2,TRUE)</f>
        <v/>
      </c>
      <c r="G708" s="510" t="inlineStr">
        <is>
          <t>388-MAT</t>
        </is>
      </c>
      <c r="H708" s="441" t="inlineStr">
        <is>
          <t>INSIGHT</t>
        </is>
      </c>
      <c r="I708" s="441" t="inlineStr">
        <is>
          <t>INSIGHT</t>
        </is>
      </c>
      <c r="J708" s="441" t="n"/>
      <c r="K708" s="441" t="n"/>
      <c r="L708" s="471">
        <f>'01_Preço'!E439</f>
        <v/>
      </c>
      <c r="M708" s="443">
        <f>O708/$N$700</f>
        <v/>
      </c>
      <c r="N708" s="1357" t="n"/>
      <c r="O708" s="1346" t="n">
        <v>129540.01</v>
      </c>
      <c r="P708" s="561">
        <f>E708+4</f>
        <v/>
      </c>
      <c r="Q708" s="1341">
        <f>O708*0.8</f>
        <v/>
      </c>
    </row>
    <row r="709" outlineLevel="1" ht="41.4" customHeight="1">
      <c r="A709" s="463">
        <f>'01_Preço'!$A$434</f>
        <v/>
      </c>
      <c r="B709" s="469">
        <f>'01_Preço'!$A$441</f>
        <v/>
      </c>
      <c r="C709" s="469">
        <f>'01_Preço'!$B$441</f>
        <v/>
      </c>
      <c r="D709" s="471">
        <f>'01_Preço'!E441</f>
        <v/>
      </c>
      <c r="E709" s="449" t="n">
        <v>31</v>
      </c>
      <c r="F709" s="1388">
        <f>VLOOKUP(E709,'Tabela de mês'!$A$1:$B$70,2,TRUE)</f>
        <v/>
      </c>
      <c r="G709" s="510" t="inlineStr">
        <is>
          <t>389-MAT</t>
        </is>
      </c>
      <c r="H709" s="441" t="inlineStr">
        <is>
          <t>INSIGHT</t>
        </is>
      </c>
      <c r="I709" s="441" t="inlineStr">
        <is>
          <t>INSIGHT</t>
        </is>
      </c>
      <c r="J709" s="441" t="n"/>
      <c r="K709" s="441" t="n"/>
      <c r="L709" s="471">
        <f>'01_Preço'!E441</f>
        <v/>
      </c>
      <c r="M709" s="443">
        <f>O709/$N$700</f>
        <v/>
      </c>
      <c r="N709" s="1357" t="n"/>
      <c r="O709" s="1346" t="n">
        <v>125211.39</v>
      </c>
      <c r="P709" s="561">
        <f>E709+4</f>
        <v/>
      </c>
      <c r="Q709" s="1341">
        <f>O709*0.8</f>
        <v/>
      </c>
    </row>
    <row r="710" outlineLevel="1" ht="41.4" customHeight="1">
      <c r="A710" s="463">
        <f>'01_Preço'!$A$434</f>
        <v/>
      </c>
      <c r="B710" s="469">
        <f>'01_Preço'!$A$443</f>
        <v/>
      </c>
      <c r="C710" s="469">
        <f>'01_Preço'!$B$443</f>
        <v/>
      </c>
      <c r="D710" s="471">
        <f>'01_Preço'!E443</f>
        <v/>
      </c>
      <c r="E710" s="449" t="n">
        <v>31</v>
      </c>
      <c r="F710" s="1388">
        <f>VLOOKUP(E710,'Tabela de mês'!$A$1:$B$70,2,TRUE)</f>
        <v/>
      </c>
      <c r="G710" s="510" t="inlineStr">
        <is>
          <t>390-MAT</t>
        </is>
      </c>
      <c r="H710" s="441" t="inlineStr">
        <is>
          <t>INSIGHT</t>
        </is>
      </c>
      <c r="I710" s="441" t="inlineStr">
        <is>
          <t>INSIGHT</t>
        </is>
      </c>
      <c r="J710" s="441" t="n"/>
      <c r="K710" s="441" t="n"/>
      <c r="L710" s="471">
        <f>'01_Preço'!E443</f>
        <v/>
      </c>
      <c r="M710" s="443">
        <f>O710/$N$700</f>
        <v/>
      </c>
      <c r="N710" s="1357" t="n"/>
      <c r="O710" s="1346" t="n">
        <v>413162.5</v>
      </c>
      <c r="P710" s="561">
        <f>E710+4</f>
        <v/>
      </c>
      <c r="Q710" s="1341">
        <f>O710*0.8</f>
        <v/>
      </c>
    </row>
    <row r="711" outlineLevel="1" ht="41.4" customHeight="1">
      <c r="A711" s="463">
        <f>'01_Preço'!$A$434</f>
        <v/>
      </c>
      <c r="B711" s="469">
        <f>'01_Preço'!$A$445</f>
        <v/>
      </c>
      <c r="C711" s="469">
        <f>'01_Preço'!$B$445</f>
        <v/>
      </c>
      <c r="D711" s="471">
        <f>'01_Preço'!E445</f>
        <v/>
      </c>
      <c r="E711" s="449" t="n">
        <v>31</v>
      </c>
      <c r="F711" s="1388">
        <f>VLOOKUP(E711,'Tabela de mês'!$A$1:$B$70,2,TRUE)</f>
        <v/>
      </c>
      <c r="G711" s="510" t="inlineStr">
        <is>
          <t>391-MAT</t>
        </is>
      </c>
      <c r="H711" s="441" t="inlineStr">
        <is>
          <t>EATON</t>
        </is>
      </c>
      <c r="I711" s="496" t="inlineStr">
        <is>
          <t>FAT. DIRETO</t>
        </is>
      </c>
      <c r="J711" s="441" t="n"/>
      <c r="K711" s="441" t="n"/>
      <c r="L711" s="471">
        <f>'01_Preço'!E445</f>
        <v/>
      </c>
      <c r="M711" s="443">
        <f>O711/$N$700</f>
        <v/>
      </c>
      <c r="N711" s="1357" t="n"/>
      <c r="O711" s="1346" t="n">
        <v>652254.4</v>
      </c>
      <c r="P711" s="561" t="n"/>
      <c r="Q711" s="1346" t="n"/>
      <c r="R711" s="1327" t="n"/>
      <c r="S711" s="1327" t="n"/>
      <c r="T711" s="1327" t="n"/>
    </row>
    <row r="712" outlineLevel="1" ht="41.4" customHeight="1">
      <c r="A712" s="463">
        <f>'01_Preço'!$A$434</f>
        <v/>
      </c>
      <c r="B712" s="469">
        <f>'01_Preço'!$A$447</f>
        <v/>
      </c>
      <c r="C712" s="469">
        <f>'01_Preço'!$B$447</f>
        <v/>
      </c>
      <c r="D712" s="471">
        <f>'01_Preço'!E447</f>
        <v/>
      </c>
      <c r="E712" s="449" t="n">
        <v>30</v>
      </c>
      <c r="F712" s="1388">
        <f>VLOOKUP(E712,'Tabela de mês'!$A$1:$B$70,2,TRUE)</f>
        <v/>
      </c>
      <c r="G712" s="510" t="inlineStr">
        <is>
          <t>392-MAT</t>
        </is>
      </c>
      <c r="H712" s="441" t="inlineStr">
        <is>
          <t>INSIGHT</t>
        </is>
      </c>
      <c r="I712" s="441" t="inlineStr">
        <is>
          <t>INSIGHT</t>
        </is>
      </c>
      <c r="J712" s="441" t="n"/>
      <c r="K712" s="441" t="n"/>
      <c r="L712" s="471">
        <f>'01_Preço'!E447</f>
        <v/>
      </c>
      <c r="M712" s="443">
        <f>O712/$N$700</f>
        <v/>
      </c>
      <c r="N712" s="1357" t="n"/>
      <c r="O712" s="1346" t="n">
        <v>336616.12</v>
      </c>
      <c r="P712" s="561">
        <f>E712+4</f>
        <v/>
      </c>
      <c r="Q712" s="1341">
        <f>O712*0.8</f>
        <v/>
      </c>
    </row>
    <row r="713" outlineLevel="1" ht="41.4" customHeight="1">
      <c r="A713" s="463">
        <f>'01_Preço'!$A$434</f>
        <v/>
      </c>
      <c r="B713" s="469">
        <f>'01_Preço'!$A$449</f>
        <v/>
      </c>
      <c r="C713" s="469">
        <f>'01_Preço'!$B$449</f>
        <v/>
      </c>
      <c r="D713" s="471">
        <f>'01_Preço'!E449</f>
        <v/>
      </c>
      <c r="E713" s="449" t="n">
        <v>31</v>
      </c>
      <c r="F713" s="1388">
        <f>VLOOKUP(E713,'Tabela de mês'!$A$1:$B$70,2,TRUE)</f>
        <v/>
      </c>
      <c r="G713" s="510" t="inlineStr">
        <is>
          <t>393-MAT</t>
        </is>
      </c>
      <c r="H713" s="441" t="inlineStr">
        <is>
          <t>INSIGHT</t>
        </is>
      </c>
      <c r="I713" s="441" t="inlineStr">
        <is>
          <t>INSIGHT</t>
        </is>
      </c>
      <c r="J713" s="441" t="n"/>
      <c r="K713" s="441" t="n"/>
      <c r="L713" s="471">
        <f>'01_Preço'!E449</f>
        <v/>
      </c>
      <c r="M713" s="443">
        <f>O713/$N$700</f>
        <v/>
      </c>
      <c r="N713" s="1357" t="n"/>
      <c r="O713" s="1346" t="n">
        <v>148699.35</v>
      </c>
      <c r="P713" s="561">
        <f>E713+4</f>
        <v/>
      </c>
      <c r="Q713" s="1341">
        <f>O713*0.8</f>
        <v/>
      </c>
    </row>
    <row r="714" outlineLevel="1" ht="41.4" customHeight="1">
      <c r="A714" s="463">
        <f>'01_Preço'!$A$434</f>
        <v/>
      </c>
      <c r="B714" s="469">
        <f>'01_Preço'!$A$451</f>
        <v/>
      </c>
      <c r="C714" s="469">
        <f>'01_Preço'!$B$451</f>
        <v/>
      </c>
      <c r="D714" s="471">
        <f>'01_Preço'!E451</f>
        <v/>
      </c>
      <c r="E714" s="449" t="n">
        <v>31</v>
      </c>
      <c r="F714" s="1388">
        <f>VLOOKUP(E714,'Tabela de mês'!$A$1:$B$70,2,TRUE)</f>
        <v/>
      </c>
      <c r="G714" s="510" t="inlineStr">
        <is>
          <t>394-MAT</t>
        </is>
      </c>
      <c r="H714" s="441" t="inlineStr">
        <is>
          <t>INSIGHT</t>
        </is>
      </c>
      <c r="I714" s="441" t="inlineStr">
        <is>
          <t>INSIGHT</t>
        </is>
      </c>
      <c r="J714" s="441" t="n"/>
      <c r="K714" s="441" t="n"/>
      <c r="L714" s="471">
        <f>'01_Preço'!E451</f>
        <v/>
      </c>
      <c r="M714" s="443">
        <f>O714/$N$700</f>
        <v/>
      </c>
      <c r="N714" s="1357" t="n"/>
      <c r="O714" s="1346" t="n">
        <v>91915.8</v>
      </c>
      <c r="P714" s="561">
        <f>E714+4</f>
        <v/>
      </c>
      <c r="Q714" s="1341">
        <f>O714*0.8</f>
        <v/>
      </c>
    </row>
    <row r="715" outlineLevel="1" ht="41.4" customHeight="1">
      <c r="A715" s="463">
        <f>'01_Preço'!$A$434</f>
        <v/>
      </c>
      <c r="B715" s="469">
        <f>'01_Preço'!$A$453</f>
        <v/>
      </c>
      <c r="C715" s="469">
        <f>'01_Preço'!$B$453</f>
        <v/>
      </c>
      <c r="D715" s="471">
        <f>'01_Preço'!E453</f>
        <v/>
      </c>
      <c r="E715" s="449" t="n">
        <v>31</v>
      </c>
      <c r="F715" s="1388">
        <f>VLOOKUP(E715,'Tabela de mês'!$A$1:$B$70,2,TRUE)</f>
        <v/>
      </c>
      <c r="G715" s="510" t="inlineStr">
        <is>
          <t>395-MAT</t>
        </is>
      </c>
      <c r="H715" s="441" t="inlineStr">
        <is>
          <t>LUCY ELETRIC</t>
        </is>
      </c>
      <c r="I715" s="497" t="inlineStr">
        <is>
          <t>FAT. DIRETO</t>
        </is>
      </c>
      <c r="J715" s="441" t="n"/>
      <c r="K715" s="441" t="n"/>
      <c r="L715" s="471">
        <f>'01_Preço'!E453</f>
        <v/>
      </c>
      <c r="M715" s="443">
        <f>O715/$N$700</f>
        <v/>
      </c>
      <c r="N715" s="1357" t="n"/>
      <c r="O715" s="1346" t="n">
        <v>218868.36</v>
      </c>
      <c r="P715" s="561" t="n"/>
      <c r="Q715" s="1346" t="n"/>
      <c r="R715" s="1327" t="n"/>
      <c r="S715" s="1327" t="n"/>
      <c r="T715" s="1327" t="n"/>
    </row>
    <row r="716" outlineLevel="1" ht="55.2" customHeight="1">
      <c r="A716" s="463">
        <f>'01_Preço'!$A$434</f>
        <v/>
      </c>
      <c r="B716" s="469">
        <f>'01_Preço'!$A$455</f>
        <v/>
      </c>
      <c r="C716" s="469">
        <f>'01_Preço'!$B$455</f>
        <v/>
      </c>
      <c r="D716" s="471">
        <f>'01_Preço'!E455</f>
        <v/>
      </c>
      <c r="E716" s="449" t="n">
        <v>31</v>
      </c>
      <c r="F716" s="1388">
        <f>VLOOKUP(E716,'Tabela de mês'!$A$1:$B$70,2,TRUE)</f>
        <v/>
      </c>
      <c r="G716" s="510" t="inlineStr">
        <is>
          <t>396-MAT A</t>
        </is>
      </c>
      <c r="H716" s="441" t="inlineStr">
        <is>
          <t>BREE</t>
        </is>
      </c>
      <c r="I716" s="497" t="inlineStr">
        <is>
          <t>FAT. DIRETO</t>
        </is>
      </c>
      <c r="J716" s="441" t="n"/>
      <c r="K716" s="441" t="n"/>
      <c r="L716" s="471">
        <f>'01_Preço'!E455</f>
        <v/>
      </c>
      <c r="M716" s="443">
        <f>O716/$N$700</f>
        <v/>
      </c>
      <c r="N716" s="1346" t="n"/>
      <c r="O716" s="1346" t="n">
        <v>192517.12</v>
      </c>
      <c r="P716" s="561" t="n"/>
      <c r="Q716" s="1346" t="n"/>
      <c r="R716" s="540" t="n"/>
      <c r="S716" s="540" t="n"/>
      <c r="T716" s="540" t="n"/>
    </row>
    <row r="717" outlineLevel="1" ht="55.2" customHeight="1">
      <c r="A717" s="463">
        <f>'01_Preço'!$A$434</f>
        <v/>
      </c>
      <c r="B717" s="469">
        <f>'01_Preço'!$A$455</f>
        <v/>
      </c>
      <c r="C717" s="469">
        <f>'01_Preço'!$B$455</f>
        <v/>
      </c>
      <c r="D717" s="471">
        <f>'01_Preço'!E455</f>
        <v/>
      </c>
      <c r="E717" s="449" t="n">
        <v>31</v>
      </c>
      <c r="F717" s="1388">
        <f>VLOOKUP(E717,'Tabela de mês'!$A$1:$B$70,2,TRUE)</f>
        <v/>
      </c>
      <c r="G717" s="510" t="inlineStr">
        <is>
          <t>396-MAT B</t>
        </is>
      </c>
      <c r="H717" s="441" t="inlineStr">
        <is>
          <t>LUCY ELETRIC</t>
        </is>
      </c>
      <c r="I717" s="497" t="inlineStr">
        <is>
          <t>FAT. DIRETO</t>
        </is>
      </c>
      <c r="J717" s="441" t="n"/>
      <c r="K717" s="441" t="n"/>
      <c r="L717" s="471" t="inlineStr">
        <is>
          <t>Fornecimento de cubículos para alimentação do banco de capacitores</t>
        </is>
      </c>
      <c r="M717" s="443">
        <f>O717/$N$700</f>
        <v/>
      </c>
      <c r="N717" s="1357" t="n"/>
      <c r="O717" s="1346" t="n">
        <v>218868.36</v>
      </c>
      <c r="P717" s="561" t="n"/>
      <c r="Q717" s="1346" t="n"/>
      <c r="R717" s="1327" t="n"/>
      <c r="S717" s="1327" t="n"/>
      <c r="T717" s="1327" t="n"/>
    </row>
    <row r="718" outlineLevel="1" ht="41.4" customHeight="1">
      <c r="A718" s="463">
        <f>'01_Preço'!$A$434</f>
        <v/>
      </c>
      <c r="B718" s="469">
        <f>'01_Preço'!$A$457</f>
        <v/>
      </c>
      <c r="C718" s="469">
        <f>'01_Preço'!$B$457</f>
        <v/>
      </c>
      <c r="D718" s="471">
        <f>'01_Preço'!E457</f>
        <v/>
      </c>
      <c r="E718" s="449" t="n">
        <v>31</v>
      </c>
      <c r="F718" s="1388">
        <f>VLOOKUP(E718,'Tabela de mês'!$A$1:$B$70,2,TRUE)</f>
        <v/>
      </c>
      <c r="G718" s="510" t="inlineStr">
        <is>
          <t>397-MAT</t>
        </is>
      </c>
      <c r="H718" s="441" t="inlineStr">
        <is>
          <t>INSIGHT</t>
        </is>
      </c>
      <c r="I718" s="441" t="inlineStr">
        <is>
          <t>INSIGHT</t>
        </is>
      </c>
      <c r="J718" s="441" t="n"/>
      <c r="K718" s="441" t="n"/>
      <c r="L718" s="471">
        <f>'01_Preço'!E457</f>
        <v/>
      </c>
      <c r="M718" s="443">
        <f>O718/$N$700</f>
        <v/>
      </c>
      <c r="N718" s="1357" t="n"/>
      <c r="O718" s="1346" t="n">
        <v>26278.45</v>
      </c>
      <c r="P718" s="561">
        <f>E718+4</f>
        <v/>
      </c>
      <c r="Q718" s="1341">
        <f>O718*0.8</f>
        <v/>
      </c>
    </row>
    <row r="719" outlineLevel="1" ht="41.4" customHeight="1">
      <c r="A719" s="463">
        <f>'01_Preço'!$A$434</f>
        <v/>
      </c>
      <c r="B719" s="469">
        <f>'01_Preço'!$A$459</f>
        <v/>
      </c>
      <c r="C719" s="469">
        <f>'01_Preço'!$B$459</f>
        <v/>
      </c>
      <c r="D719" s="471">
        <f>'01_Preço'!E459</f>
        <v/>
      </c>
      <c r="E719" s="449" t="n">
        <v>31</v>
      </c>
      <c r="F719" s="1388">
        <f>VLOOKUP(E719,'Tabela de mês'!$A$1:$B$70,2,TRUE)</f>
        <v/>
      </c>
      <c r="G719" s="510" t="inlineStr">
        <is>
          <t>398-MAT</t>
        </is>
      </c>
      <c r="H719" s="441" t="inlineStr">
        <is>
          <t>INSIGHT</t>
        </is>
      </c>
      <c r="I719" s="441" t="inlineStr">
        <is>
          <t>INSIGHT</t>
        </is>
      </c>
      <c r="J719" s="441" t="n"/>
      <c r="K719" s="441" t="n"/>
      <c r="L719" s="471">
        <f>'01_Preço'!E459</f>
        <v/>
      </c>
      <c r="M719" s="443">
        <f>O719/$N$700</f>
        <v/>
      </c>
      <c r="N719" s="749" t="n"/>
      <c r="O719" s="1346" t="n">
        <v>157670.71</v>
      </c>
      <c r="P719" s="561">
        <f>E719+4</f>
        <v/>
      </c>
      <c r="Q719" s="1341">
        <f>O719*0.8</f>
        <v/>
      </c>
    </row>
    <row r="720" outlineLevel="1" ht="41.4" customHeight="1">
      <c r="A720" s="463">
        <f>'01_Preço'!$A$434</f>
        <v/>
      </c>
      <c r="B720" s="469">
        <f>'01_Preço'!$A$461</f>
        <v/>
      </c>
      <c r="C720" s="469">
        <f>'01_Preço'!$B$461</f>
        <v/>
      </c>
      <c r="D720" s="471">
        <f>'01_Preço'!E461</f>
        <v/>
      </c>
      <c r="E720" s="449" t="n">
        <v>31</v>
      </c>
      <c r="F720" s="1388">
        <f>VLOOKUP(E720,'Tabela de mês'!$A$1:$B$70,2,TRUE)</f>
        <v/>
      </c>
      <c r="G720" s="510" t="inlineStr">
        <is>
          <t>399-MAT</t>
        </is>
      </c>
      <c r="H720" s="441" t="inlineStr">
        <is>
          <t>INSIGHT</t>
        </is>
      </c>
      <c r="I720" s="441" t="inlineStr">
        <is>
          <t>INSIGHT</t>
        </is>
      </c>
      <c r="J720" s="441" t="n"/>
      <c r="K720" s="441" t="n"/>
      <c r="L720" s="471">
        <f>'01_Preço'!E461</f>
        <v/>
      </c>
      <c r="M720" s="443">
        <f>O720/$N$700</f>
        <v/>
      </c>
      <c r="N720" s="1357" t="n"/>
      <c r="O720" s="1346" t="n">
        <v>179569.43</v>
      </c>
      <c r="P720" s="561">
        <f>E720+4</f>
        <v/>
      </c>
      <c r="Q720" s="1341">
        <f>O720*0.8</f>
        <v/>
      </c>
    </row>
    <row r="721" outlineLevel="1" ht="41.4" customHeight="1">
      <c r="A721" s="463">
        <f>'01_Preço'!$A$434</f>
        <v/>
      </c>
      <c r="B721" s="469">
        <f>'01_Preço'!$A$463</f>
        <v/>
      </c>
      <c r="C721" s="469">
        <f>'01_Preço'!$B$463</f>
        <v/>
      </c>
      <c r="D721" s="471">
        <f>'01_Preço'!E463</f>
        <v/>
      </c>
      <c r="E721" s="449" t="n">
        <v>31</v>
      </c>
      <c r="F721" s="1388">
        <f>VLOOKUP(E721,'Tabela de mês'!$A$1:$B$70,2,TRUE)</f>
        <v/>
      </c>
      <c r="G721" s="510" t="inlineStr">
        <is>
          <t>400-MAT</t>
        </is>
      </c>
      <c r="H721" s="441" t="inlineStr">
        <is>
          <t>INSIGHT</t>
        </is>
      </c>
      <c r="I721" s="441" t="inlineStr">
        <is>
          <t>INSIGHT</t>
        </is>
      </c>
      <c r="J721" s="441" t="n"/>
      <c r="K721" s="441" t="n"/>
      <c r="L721" s="471">
        <f>'01_Preço'!E463</f>
        <v/>
      </c>
      <c r="M721" s="443">
        <f>O721/$N$700</f>
        <v/>
      </c>
      <c r="N721" s="749" t="n"/>
      <c r="O721" s="1346" t="n">
        <v>99858.12</v>
      </c>
      <c r="P721" s="561">
        <f>E721+4</f>
        <v/>
      </c>
      <c r="Q721" s="1341">
        <f>O721*0.8</f>
        <v/>
      </c>
    </row>
    <row r="722" outlineLevel="1" ht="41.4" customHeight="1">
      <c r="A722" s="463">
        <f>'01_Preço'!$A$434</f>
        <v/>
      </c>
      <c r="B722" s="469">
        <f>'01_Preço'!$A$465</f>
        <v/>
      </c>
      <c r="C722" s="469">
        <f>'01_Preço'!$B$465</f>
        <v/>
      </c>
      <c r="D722" s="471">
        <f>'01_Preço'!E465</f>
        <v/>
      </c>
      <c r="E722" s="449" t="n">
        <v>31</v>
      </c>
      <c r="F722" s="1388">
        <f>VLOOKUP(E722,'Tabela de mês'!$A$1:$B$70,2,TRUE)</f>
        <v/>
      </c>
      <c r="G722" s="510" t="inlineStr">
        <is>
          <t>401-MAT</t>
        </is>
      </c>
      <c r="H722" s="441" t="inlineStr">
        <is>
          <t>SIEYUAN</t>
        </is>
      </c>
      <c r="I722" s="497" t="inlineStr">
        <is>
          <t>FAT. DIRETO</t>
        </is>
      </c>
      <c r="J722" s="441" t="n"/>
      <c r="K722" s="441" t="n"/>
      <c r="L722" s="471">
        <f>'01_Preço'!E465</f>
        <v/>
      </c>
      <c r="M722" s="443">
        <f>O722/$N$700</f>
        <v/>
      </c>
      <c r="N722" s="1346" t="n"/>
      <c r="O722" s="1346" t="n">
        <v>660706.54</v>
      </c>
      <c r="P722" s="561" t="n"/>
      <c r="Q722" s="1346" t="n"/>
    </row>
    <row r="723" outlineLevel="1" ht="41.4" customHeight="1">
      <c r="A723" s="463">
        <f>'01_Preço'!$A$434</f>
        <v/>
      </c>
      <c r="B723" s="469">
        <f>'01_Preço'!$A$467</f>
        <v/>
      </c>
      <c r="C723" s="469">
        <f>'01_Preço'!$B$467</f>
        <v/>
      </c>
      <c r="D723" s="471">
        <f>'01_Preço'!E467</f>
        <v/>
      </c>
      <c r="E723" s="449" t="n">
        <v>30</v>
      </c>
      <c r="F723" s="1388">
        <f>VLOOKUP(E723,'Tabela de mês'!$A$1:$B$70,2,TRUE)</f>
        <v/>
      </c>
      <c r="G723" s="510" t="inlineStr">
        <is>
          <t>402-MAT</t>
        </is>
      </c>
      <c r="H723" s="441" t="inlineStr">
        <is>
          <t>SIEYUAN</t>
        </is>
      </c>
      <c r="I723" s="497" t="inlineStr">
        <is>
          <t>FAT. DIRETO</t>
        </is>
      </c>
      <c r="J723" s="441" t="n"/>
      <c r="K723" s="441" t="n"/>
      <c r="L723" s="471">
        <f>'01_Preço'!E467</f>
        <v/>
      </c>
      <c r="M723" s="443">
        <f>O723/$N$700</f>
        <v/>
      </c>
      <c r="N723" s="1346" t="n"/>
      <c r="O723" s="1346">
        <f>647894+133952</f>
        <v/>
      </c>
      <c r="P723" s="561" t="n"/>
      <c r="Q723" s="1346" t="n"/>
    </row>
    <row r="724" outlineLevel="1" ht="55.2" customHeight="1">
      <c r="A724" s="463">
        <f>'01_Preço'!$A$434</f>
        <v/>
      </c>
      <c r="B724" s="469">
        <f>'01_Preço'!$A$469</f>
        <v/>
      </c>
      <c r="C724" s="469">
        <f>'01_Preço'!$B$469</f>
        <v/>
      </c>
      <c r="D724" s="471">
        <f>'01_Preço'!E469</f>
        <v/>
      </c>
      <c r="E724" s="449" t="n">
        <v>30</v>
      </c>
      <c r="F724" s="1388">
        <f>VLOOKUP(E724,'Tabela de mês'!$A$1:$B$70,2,TRUE)</f>
        <v/>
      </c>
      <c r="G724" s="510" t="inlineStr">
        <is>
          <t>403-MAT</t>
        </is>
      </c>
      <c r="H724" s="441" t="inlineStr">
        <is>
          <t>SIEMENS</t>
        </is>
      </c>
      <c r="I724" s="497" t="inlineStr">
        <is>
          <t>FAT. DIRETO</t>
        </is>
      </c>
      <c r="J724" s="441" t="n"/>
      <c r="K724" s="441" t="n"/>
      <c r="L724" s="471">
        <f>'01_Preço'!E469</f>
        <v/>
      </c>
      <c r="M724" s="443">
        <f>O724/$N$700</f>
        <v/>
      </c>
      <c r="N724" s="1357" t="n"/>
      <c r="O724" s="1346">
        <f>2237096.33+492863.65</f>
        <v/>
      </c>
      <c r="P724" s="561" t="n"/>
      <c r="Q724" s="1346" t="n"/>
    </row>
    <row r="725" outlineLevel="1" ht="55.2" customHeight="1">
      <c r="A725" s="463">
        <f>'01_Preço'!$A$434</f>
        <v/>
      </c>
      <c r="B725" s="469">
        <f>'01_Preço'!$A$471</f>
        <v/>
      </c>
      <c r="C725" s="469">
        <f>'01_Preço'!$B$471</f>
        <v/>
      </c>
      <c r="D725" s="471">
        <f>'01_Preço'!E469</f>
        <v/>
      </c>
      <c r="E725" s="449" t="n">
        <v>30</v>
      </c>
      <c r="F725" s="1388">
        <f>VLOOKUP(E725,'Tabela de mês'!$A$1:$B$70,2,TRUE)</f>
        <v/>
      </c>
      <c r="G725" s="510" t="inlineStr">
        <is>
          <t>404-MAT</t>
        </is>
      </c>
      <c r="H725" s="441" t="inlineStr">
        <is>
          <t>INSIGHT</t>
        </is>
      </c>
      <c r="I725" s="441" t="inlineStr">
        <is>
          <t>INSIGHT</t>
        </is>
      </c>
      <c r="J725" s="441" t="n"/>
      <c r="K725" s="441" t="n"/>
      <c r="L725" s="471">
        <f>'01_Preço'!E471</f>
        <v/>
      </c>
      <c r="M725" s="443">
        <f>O725/$N$700</f>
        <v/>
      </c>
      <c r="N725" s="1357" t="n"/>
      <c r="O725" s="1346" t="n">
        <v>201945.05</v>
      </c>
      <c r="P725" s="561">
        <f>E725+4</f>
        <v/>
      </c>
      <c r="Q725" s="1341">
        <f>O725*0.8</f>
        <v/>
      </c>
    </row>
    <row r="726" outlineLevel="1" ht="41.4" customHeight="1">
      <c r="A726" s="463">
        <f>'01_Preço'!$A$434</f>
        <v/>
      </c>
      <c r="B726" s="469">
        <f>'01_Preço'!$A$473</f>
        <v/>
      </c>
      <c r="C726" s="469">
        <f>'01_Preço'!$B$473</f>
        <v/>
      </c>
      <c r="D726" s="471">
        <f>'01_Preço'!E473</f>
        <v/>
      </c>
      <c r="E726" s="449" t="n">
        <v>30</v>
      </c>
      <c r="F726" s="1388">
        <f>VLOOKUP(E726,'Tabela de mês'!$A$1:$B$70,2,TRUE)</f>
        <v/>
      </c>
      <c r="G726" s="510" t="inlineStr">
        <is>
          <t>405-MAT</t>
        </is>
      </c>
      <c r="H726" s="441" t="inlineStr">
        <is>
          <t>INSIGHT</t>
        </is>
      </c>
      <c r="I726" s="441" t="inlineStr">
        <is>
          <t>INSIGHT</t>
        </is>
      </c>
      <c r="J726" s="441" t="n"/>
      <c r="K726" s="441" t="n"/>
      <c r="L726" s="471">
        <f>'01_Preço'!E473</f>
        <v/>
      </c>
      <c r="M726" s="443">
        <f>O726/$N$700</f>
        <v/>
      </c>
      <c r="N726" s="1357" t="n"/>
      <c r="O726" s="1346" t="n">
        <v>30883.69</v>
      </c>
      <c r="P726" s="561">
        <f>E726+4</f>
        <v/>
      </c>
      <c r="Q726" s="1341">
        <f>O726*0.8</f>
        <v/>
      </c>
    </row>
    <row r="727" outlineLevel="1" ht="41.4" customHeight="1">
      <c r="A727" s="463">
        <f>'01_Preço'!$A$434</f>
        <v/>
      </c>
      <c r="B727" s="469">
        <f>'01_Preço'!$A$475</f>
        <v/>
      </c>
      <c r="C727" s="469">
        <f>'01_Preço'!$B$475</f>
        <v/>
      </c>
      <c r="D727" s="471">
        <f>'01_Preço'!E475</f>
        <v/>
      </c>
      <c r="E727" s="449" t="n">
        <v>30</v>
      </c>
      <c r="F727" s="1388">
        <f>VLOOKUP(E727,'Tabela de mês'!$A$1:$B$70,2,TRUE)</f>
        <v/>
      </c>
      <c r="G727" s="510" t="inlineStr">
        <is>
          <t>406-MAT</t>
        </is>
      </c>
      <c r="H727" s="441" t="inlineStr">
        <is>
          <t>INSIGHT</t>
        </is>
      </c>
      <c r="I727" s="441" t="inlineStr">
        <is>
          <t>INSIGHT</t>
        </is>
      </c>
      <c r="J727" s="441" t="n"/>
      <c r="K727" s="441" t="n"/>
      <c r="L727" s="471">
        <f>'01_Preço'!E475</f>
        <v/>
      </c>
      <c r="M727" s="443">
        <f>O727/$N$700</f>
        <v/>
      </c>
      <c r="N727" s="1357" t="n"/>
      <c r="O727" s="1346" t="n">
        <v>40491.95</v>
      </c>
      <c r="P727" s="561">
        <f>E727+4</f>
        <v/>
      </c>
      <c r="Q727" s="1341">
        <f>O727*0.8</f>
        <v/>
      </c>
    </row>
    <row r="728" outlineLevel="1" ht="41.4" customHeight="1">
      <c r="A728" s="463">
        <f>'01_Preço'!$A$434</f>
        <v/>
      </c>
      <c r="B728" s="469">
        <f>'01_Preço'!$A$477</f>
        <v/>
      </c>
      <c r="C728" s="469">
        <f>'01_Preço'!$B$477</f>
        <v/>
      </c>
      <c r="D728" s="471">
        <f>'01_Preço'!E477</f>
        <v/>
      </c>
      <c r="E728" s="449" t="n">
        <v>30</v>
      </c>
      <c r="F728" s="1388">
        <f>VLOOKUP(E728,'Tabela de mês'!$A$1:$B$70,2,TRUE)</f>
        <v/>
      </c>
      <c r="G728" s="510" t="inlineStr">
        <is>
          <t>407-MAT</t>
        </is>
      </c>
      <c r="H728" s="441" t="inlineStr">
        <is>
          <t>INSIGHT</t>
        </is>
      </c>
      <c r="I728" s="441" t="inlineStr">
        <is>
          <t>INSIGHT</t>
        </is>
      </c>
      <c r="J728" s="441" t="n"/>
      <c r="K728" s="441" t="n"/>
      <c r="L728" s="471">
        <f>'01_Preço'!E477</f>
        <v/>
      </c>
      <c r="M728" s="443">
        <f>O728/$N$700</f>
        <v/>
      </c>
      <c r="N728" s="1357" t="n"/>
      <c r="O728" s="1346" t="n">
        <v>106548.74</v>
      </c>
      <c r="P728" s="561">
        <f>E728+4</f>
        <v/>
      </c>
      <c r="Q728" s="1341">
        <f>O728*0.8</f>
        <v/>
      </c>
    </row>
    <row r="729" outlineLevel="1" ht="41.4" customHeight="1">
      <c r="A729" s="463">
        <f>'01_Preço'!$A$434</f>
        <v/>
      </c>
      <c r="B729" s="469">
        <f>'01_Preço'!$A$479</f>
        <v/>
      </c>
      <c r="C729" s="469">
        <f>'01_Preço'!$B$479</f>
        <v/>
      </c>
      <c r="D729" s="471">
        <f>'01_Preço'!E479</f>
        <v/>
      </c>
      <c r="E729" s="449" t="n">
        <v>30</v>
      </c>
      <c r="F729" s="1388">
        <f>VLOOKUP(E729,'Tabela de mês'!$A$1:$B$70,2,TRUE)</f>
        <v/>
      </c>
      <c r="G729" s="510" t="inlineStr">
        <is>
          <t>408-MAT</t>
        </is>
      </c>
      <c r="H729" s="441" t="inlineStr">
        <is>
          <t>INSIGHT</t>
        </is>
      </c>
      <c r="I729" s="441" t="inlineStr">
        <is>
          <t>INSIGHT</t>
        </is>
      </c>
      <c r="J729" s="441" t="n"/>
      <c r="K729" s="441" t="n"/>
      <c r="L729" s="471">
        <f>'01_Preço'!E479</f>
        <v/>
      </c>
      <c r="M729" s="443">
        <f>O729/$N$700</f>
        <v/>
      </c>
      <c r="N729" s="1357" t="n"/>
      <c r="O729" s="1346" t="n">
        <v>949991.88</v>
      </c>
      <c r="P729" s="561">
        <f>E729+4</f>
        <v/>
      </c>
      <c r="Q729" s="1341">
        <f>O729*0.8</f>
        <v/>
      </c>
    </row>
    <row r="730" outlineLevel="1" ht="110.4" customHeight="1">
      <c r="A730" s="463">
        <f>'01_Preço'!$A$434</f>
        <v/>
      </c>
      <c r="B730" s="469">
        <f>CONCATENATE('01_Preço'!$A$481," e ",'01_Preço'!$A$483," e ",'01_Preço'!$A$485," e ",'01_Preço'!$A$487," e ",'01_Preço'!$A$489," e ",'01_Preço'!$A$491," e ",'01_Preço'!$A$493," e ",'01_Preço'!$A$495)</f>
        <v/>
      </c>
      <c r="C730" s="469">
        <f>'01_Preço'!$B$481</f>
        <v/>
      </c>
      <c r="D730" s="471" t="inlineStr">
        <is>
          <t>Obra Civil</t>
        </is>
      </c>
      <c r="E730" s="449" t="n">
        <v>34</v>
      </c>
      <c r="F730" s="1388">
        <f>VLOOKUP(E730,'Tabela de mês'!$A$1:$B$70,2,TRUE)</f>
        <v/>
      </c>
      <c r="G730" s="510" t="inlineStr">
        <is>
          <t>409-SER</t>
        </is>
      </c>
      <c r="H730" s="441" t="inlineStr">
        <is>
          <t>INSIGHT</t>
        </is>
      </c>
      <c r="I730" s="441" t="inlineStr">
        <is>
          <t>INSIGHT</t>
        </is>
      </c>
      <c r="J730" s="441" t="n"/>
      <c r="K730" s="441" t="n"/>
      <c r="L730" s="471" t="inlineStr">
        <is>
          <t>Adequações civis para reforma e montagem dos equipamentos da 1ª etapa - Vão 1K, 6K e religadores</t>
        </is>
      </c>
      <c r="M730" s="443">
        <f>O730/$N$700</f>
        <v/>
      </c>
      <c r="N730" s="1357" t="n"/>
      <c r="O730" s="1346" t="n">
        <v>406987.4475</v>
      </c>
      <c r="P730" s="561">
        <f>E730+4</f>
        <v/>
      </c>
      <c r="Q730" s="1341">
        <f>O730*0.8</f>
        <v/>
      </c>
    </row>
    <row r="731" outlineLevel="1" ht="110.4" customHeight="1">
      <c r="A731" s="463">
        <f>'01_Preço'!$A$434</f>
        <v/>
      </c>
      <c r="B731" s="469">
        <f>CONCATENATE('01_Preço'!$A$481," e ",'01_Preço'!$A$483," e ",'01_Preço'!$A$485," e ",'01_Preço'!$A$487," e ",'01_Preço'!$A$489," e ",'01_Preço'!$A$491," e ",'01_Preço'!$A$493," e ",'01_Preço'!$A$495)</f>
        <v/>
      </c>
      <c r="C731" s="469">
        <f>'01_Preço'!$B$483</f>
        <v/>
      </c>
      <c r="D731" s="471" t="inlineStr">
        <is>
          <t>Obra Civil</t>
        </is>
      </c>
      <c r="E731" s="449" t="n">
        <v>46</v>
      </c>
      <c r="F731" s="1388">
        <f>VLOOKUP(E731,'Tabela de mês'!$A$1:$B$70,2,TRUE)</f>
        <v/>
      </c>
      <c r="G731" s="510" t="inlineStr">
        <is>
          <t>411-SER</t>
        </is>
      </c>
      <c r="H731" s="441" t="inlineStr">
        <is>
          <t>INSIGHT</t>
        </is>
      </c>
      <c r="I731" s="441" t="inlineStr">
        <is>
          <t>INSIGHT</t>
        </is>
      </c>
      <c r="J731" s="441" t="n"/>
      <c r="K731" s="441" t="n"/>
      <c r="L731" s="471" t="inlineStr">
        <is>
          <t>Adequações civis para reforma e montagem dos equipamentos da 2ª etapa - Vão 4K, 5K e 7K</t>
        </is>
      </c>
      <c r="M731" s="443">
        <f>O731/$N$700</f>
        <v/>
      </c>
      <c r="N731" s="1357" t="n"/>
      <c r="O731" s="1346" t="n">
        <v>406987.4475</v>
      </c>
      <c r="P731" s="561">
        <f>E731+4</f>
        <v/>
      </c>
      <c r="Q731" s="1341">
        <f>O731*0.8</f>
        <v/>
      </c>
    </row>
    <row r="732" outlineLevel="1" ht="110.4" customHeight="1">
      <c r="A732" s="463">
        <f>'01_Preço'!$A$434</f>
        <v/>
      </c>
      <c r="B732" s="469">
        <f>CONCATENATE('01_Preço'!$A$481," e ",'01_Preço'!$A$483," e ",'01_Preço'!$A$485," e ",'01_Preço'!$A$487," e ",'01_Preço'!$A$489," e ",'01_Preço'!$A$491," e ",'01_Preço'!$A$493," e ",'01_Preço'!$A$495)</f>
        <v/>
      </c>
      <c r="C732" s="469">
        <f>'01_Preço'!$B$485</f>
        <v/>
      </c>
      <c r="D732" s="471" t="inlineStr">
        <is>
          <t>Obra Civil</t>
        </is>
      </c>
      <c r="E732" s="449" t="n">
        <v>56</v>
      </c>
      <c r="F732" s="1388">
        <f>VLOOKUP(E732,'Tabela de mês'!$A$1:$B$70,2,TRUE)</f>
        <v/>
      </c>
      <c r="G732" s="510" t="inlineStr">
        <is>
          <t>413-SER</t>
        </is>
      </c>
      <c r="H732" s="441" t="inlineStr">
        <is>
          <t>INSIGHT</t>
        </is>
      </c>
      <c r="I732" s="441" t="inlineStr">
        <is>
          <t>INSIGHT</t>
        </is>
      </c>
      <c r="J732" s="441" t="n"/>
      <c r="K732" s="441" t="n"/>
      <c r="L732" s="471" t="inlineStr">
        <is>
          <t>Adequações civis para reforma e montagem dos equipamentos da 3ª etapa -Setor de 69kV e Vão 3K</t>
        </is>
      </c>
      <c r="M732" s="443">
        <f>O732/$N$700</f>
        <v/>
      </c>
      <c r="N732" s="1357" t="n"/>
      <c r="O732" s="1346" t="n">
        <v>406987.4475</v>
      </c>
      <c r="P732" s="561">
        <f>E732+4</f>
        <v/>
      </c>
      <c r="Q732" s="1341">
        <f>O732*0.8</f>
        <v/>
      </c>
    </row>
    <row r="733" outlineLevel="1" ht="110.4" customHeight="1">
      <c r="A733" s="463">
        <f>'01_Preço'!$A$434</f>
        <v/>
      </c>
      <c r="B733" s="469">
        <f>CONCATENATE('01_Preço'!$A$481," e ",'01_Preço'!$A$483," e ",'01_Preço'!$A$485," e ",'01_Preço'!$A$487," e ",'01_Preço'!$A$489," e ",'01_Preço'!$A$491," e ",'01_Preço'!$A$493," e ",'01_Preço'!$A$495)</f>
        <v/>
      </c>
      <c r="C733" s="469">
        <f>'01_Preço'!$B$487</f>
        <v/>
      </c>
      <c r="D733" s="471" t="inlineStr">
        <is>
          <t>Obra Civil</t>
        </is>
      </c>
      <c r="E733" s="449" t="n">
        <v>66</v>
      </c>
      <c r="F733" s="1388">
        <f>VLOOKUP(E733,'Tabela de mês'!$A$1:$B$70,2,TRUE)</f>
        <v/>
      </c>
      <c r="G733" s="510" t="inlineStr">
        <is>
          <t>415-SER</t>
        </is>
      </c>
      <c r="H733" s="441" t="inlineStr">
        <is>
          <t>INSIGHT</t>
        </is>
      </c>
      <c r="I733" s="441" t="inlineStr">
        <is>
          <t>INSIGHT</t>
        </is>
      </c>
      <c r="J733" s="441" t="n"/>
      <c r="K733" s="441" t="n"/>
      <c r="L733" s="471" t="inlineStr">
        <is>
          <t>Adequações civis para reforma e montagem dos equipamentos da 4ª etapa - Vão 2K</t>
        </is>
      </c>
      <c r="M733" s="443">
        <f>O733/$N$700</f>
        <v/>
      </c>
      <c r="N733" s="1357" t="n"/>
      <c r="O733" s="1346" t="n">
        <v>406987.4475</v>
      </c>
      <c r="P733" s="561">
        <f>E733+4</f>
        <v/>
      </c>
      <c r="Q733" s="1341">
        <f>O733*0.8</f>
        <v/>
      </c>
    </row>
    <row r="734" outlineLevel="1" ht="41.4" customHeight="1">
      <c r="A734" s="463">
        <f>'01_Preço'!$A$434</f>
        <v/>
      </c>
      <c r="B734" s="469">
        <f>'01_Preço'!$A$499</f>
        <v/>
      </c>
      <c r="C734" s="469">
        <f>'01_Preço'!$B$499</f>
        <v/>
      </c>
      <c r="D734" s="471" t="inlineStr">
        <is>
          <t>Montagem e testes</t>
        </is>
      </c>
      <c r="E734" s="449" t="n">
        <v>34</v>
      </c>
      <c r="F734" s="1388">
        <f>VLOOKUP(E734,'Tabela de mês'!$A$1:$B$70,2,TRUE)</f>
        <v/>
      </c>
      <c r="G734" s="510" t="inlineStr">
        <is>
          <t>418-SER</t>
        </is>
      </c>
      <c r="H734" s="441" t="inlineStr">
        <is>
          <t>INSIGHT</t>
        </is>
      </c>
      <c r="I734" s="441" t="inlineStr">
        <is>
          <t>INSIGHT</t>
        </is>
      </c>
      <c r="J734" s="441" t="n"/>
      <c r="K734" s="441" t="n"/>
      <c r="L734" s="471" t="inlineStr">
        <is>
          <t>2.28.33 - Montagem de Estruturas Suporte de Barramentos de Alta Tensão</t>
        </is>
      </c>
      <c r="M734" s="443">
        <f>O734/$N$700</f>
        <v/>
      </c>
      <c r="N734" s="1357" t="n"/>
      <c r="O734" s="1346" t="n">
        <v>77320.75999999999</v>
      </c>
      <c r="P734" s="561">
        <f>E734+4</f>
        <v/>
      </c>
      <c r="Q734" s="1341">
        <f>O734*0.8</f>
        <v/>
      </c>
    </row>
    <row r="735" outlineLevel="1" ht="41.4" customHeight="1">
      <c r="A735" s="463">
        <f>'01_Preço'!$A$434</f>
        <v/>
      </c>
      <c r="B735" s="469">
        <f>'01_Preço'!$A$501</f>
        <v/>
      </c>
      <c r="C735" s="469">
        <f>'01_Preço'!$B$501</f>
        <v/>
      </c>
      <c r="D735" s="471" t="inlineStr">
        <is>
          <t>Montagem e testes</t>
        </is>
      </c>
      <c r="E735" s="449" t="n">
        <v>34</v>
      </c>
      <c r="F735" s="1388">
        <f>VLOOKUP(E735,'Tabela de mês'!$A$1:$B$70,2,TRUE)</f>
        <v/>
      </c>
      <c r="G735" s="510" t="inlineStr">
        <is>
          <t>419-SER</t>
        </is>
      </c>
      <c r="H735" s="441" t="inlineStr">
        <is>
          <t>INSIGHT</t>
        </is>
      </c>
      <c r="I735" s="441" t="inlineStr">
        <is>
          <t>INSIGHT</t>
        </is>
      </c>
      <c r="J735" s="441" t="n"/>
      <c r="K735" s="441" t="n"/>
      <c r="L735" s="471" t="inlineStr">
        <is>
          <t>2.28.34 - Montagem de Estruturas Suporte de Barramentos de Média Tensão</t>
        </is>
      </c>
      <c r="M735" s="443">
        <f>O735/$N$700</f>
        <v/>
      </c>
      <c r="N735" s="1357" t="n"/>
      <c r="O735" s="1346" t="n">
        <v>77746.27</v>
      </c>
      <c r="P735" s="561">
        <f>E735+4</f>
        <v/>
      </c>
      <c r="Q735" s="1341">
        <f>O735*0.8</f>
        <v/>
      </c>
    </row>
    <row r="736" outlineLevel="1" ht="41.4" customHeight="1">
      <c r="A736" s="463">
        <f>'01_Preço'!$A$434</f>
        <v/>
      </c>
      <c r="B736" s="469">
        <f>'01_Preço'!$A$503</f>
        <v/>
      </c>
      <c r="C736" s="469">
        <f>'01_Preço'!$B$503</f>
        <v/>
      </c>
      <c r="D736" s="471" t="inlineStr">
        <is>
          <t>Montagem e testes</t>
        </is>
      </c>
      <c r="E736" s="449" t="n">
        <v>36</v>
      </c>
      <c r="F736" s="1388">
        <f>VLOOKUP(E736,'Tabela de mês'!$A$1:$B$70,2,TRUE)</f>
        <v/>
      </c>
      <c r="G736" s="510" t="inlineStr">
        <is>
          <t>420-SER</t>
        </is>
      </c>
      <c r="H736" s="441" t="inlineStr">
        <is>
          <t>INSIGHT</t>
        </is>
      </c>
      <c r="I736" s="441" t="inlineStr">
        <is>
          <t>INSIGHT</t>
        </is>
      </c>
      <c r="J736" s="441" t="n"/>
      <c r="K736" s="441" t="n"/>
      <c r="L736" s="471" t="inlineStr">
        <is>
          <t>2.28.35 - Montagem e Testes Físicos de Barramentos Rígidos e Flexíveis (nus e isolados)</t>
        </is>
      </c>
      <c r="M736" s="443">
        <f>O736/$N$700</f>
        <v/>
      </c>
      <c r="N736" s="1357" t="n"/>
      <c r="O736" s="1346" t="n">
        <v>82893.55</v>
      </c>
      <c r="P736" s="561">
        <f>E736+4</f>
        <v/>
      </c>
      <c r="Q736" s="1341">
        <f>O736*0.8</f>
        <v/>
      </c>
    </row>
    <row r="737" outlineLevel="1" ht="41.4" customHeight="1">
      <c r="A737" s="463">
        <f>'01_Preço'!$A$434</f>
        <v/>
      </c>
      <c r="B737" s="469">
        <f>'01_Preço'!$A$505</f>
        <v/>
      </c>
      <c r="C737" s="469">
        <f>'01_Preço'!$B$505</f>
        <v/>
      </c>
      <c r="D737" s="471" t="inlineStr">
        <is>
          <t>Montagem e testes</t>
        </is>
      </c>
      <c r="E737" s="449" t="n">
        <v>36</v>
      </c>
      <c r="F737" s="1388">
        <f>VLOOKUP(E737,'Tabela de mês'!$A$1:$B$70,2,TRUE)</f>
        <v/>
      </c>
      <c r="G737" s="510" t="inlineStr">
        <is>
          <t>421-SER</t>
        </is>
      </c>
      <c r="H737" s="441" t="inlineStr">
        <is>
          <t>INSIGHT</t>
        </is>
      </c>
      <c r="I737" s="441" t="inlineStr">
        <is>
          <t>INSIGHT</t>
        </is>
      </c>
      <c r="J737" s="441" t="n"/>
      <c r="K737" s="441" t="n"/>
      <c r="L737" s="471" t="inlineStr">
        <is>
          <t>2.28.36 - Montagem e Testes Físicos de Religadores de Média Tensão</t>
        </is>
      </c>
      <c r="M737" s="443">
        <f>O737/$N$700</f>
        <v/>
      </c>
      <c r="N737" s="1357" t="n"/>
      <c r="O737" s="1346" t="n">
        <v>79589.85000000001</v>
      </c>
      <c r="P737" s="561">
        <f>E737+4</f>
        <v/>
      </c>
      <c r="Q737" s="1341">
        <f>O737*0.8</f>
        <v/>
      </c>
    </row>
    <row r="738" outlineLevel="1" ht="41.4" customHeight="1">
      <c r="A738" s="463">
        <f>'01_Preço'!$A$434</f>
        <v/>
      </c>
      <c r="B738" s="469">
        <f>'01_Preço'!$A$507</f>
        <v/>
      </c>
      <c r="C738" s="469">
        <f>'01_Preço'!$B$507</f>
        <v/>
      </c>
      <c r="D738" s="471" t="inlineStr">
        <is>
          <t>Montagem e testes</t>
        </is>
      </c>
      <c r="E738" s="449" t="n">
        <v>34</v>
      </c>
      <c r="F738" s="1388">
        <f>VLOOKUP(E738,'Tabela de mês'!$A$1:$B$70,2,TRUE)</f>
        <v/>
      </c>
      <c r="G738" s="510" t="inlineStr">
        <is>
          <t>422-SER</t>
        </is>
      </c>
      <c r="H738" s="441" t="inlineStr">
        <is>
          <t>INSIGHT</t>
        </is>
      </c>
      <c r="I738" s="441" t="inlineStr">
        <is>
          <t>INSIGHT</t>
        </is>
      </c>
      <c r="J738" s="441" t="n"/>
      <c r="K738" s="441" t="n"/>
      <c r="L738" s="471" t="inlineStr">
        <is>
          <t>2.28.37 - Montagem e Testes Físicos de Transformadores de Corrente de Média Tensão</t>
        </is>
      </c>
      <c r="M738" s="443">
        <f>O738/$N$700</f>
        <v/>
      </c>
      <c r="N738" s="1357" t="n"/>
      <c r="O738" s="1346" t="n">
        <v>105519.29</v>
      </c>
      <c r="P738" s="561">
        <f>E738+4</f>
        <v/>
      </c>
      <c r="Q738" s="1341">
        <f>O738*0.8</f>
        <v/>
      </c>
    </row>
    <row r="739" outlineLevel="1" ht="41.4" customHeight="1">
      <c r="A739" s="463">
        <f>'01_Preço'!$A$434</f>
        <v/>
      </c>
      <c r="B739" s="469">
        <f>'01_Preço'!$A$513</f>
        <v/>
      </c>
      <c r="C739" s="469">
        <f>'01_Preço'!$B$515</f>
        <v/>
      </c>
      <c r="D739" s="471" t="inlineStr">
        <is>
          <t>Montagem e testes</t>
        </is>
      </c>
      <c r="E739" s="449" t="n">
        <v>57</v>
      </c>
      <c r="F739" s="1388">
        <f>VLOOKUP(E739,'Tabela de mês'!$A$1:$B$70,2,TRUE)</f>
        <v/>
      </c>
      <c r="G739" s="510" t="inlineStr">
        <is>
          <t>425-SER</t>
        </is>
      </c>
      <c r="H739" s="441" t="inlineStr">
        <is>
          <t>INSIGHT</t>
        </is>
      </c>
      <c r="I739" s="441" t="inlineStr">
        <is>
          <t>INSIGHT</t>
        </is>
      </c>
      <c r="J739" s="441" t="n"/>
      <c r="K739" s="441" t="n"/>
      <c r="L739" s="471" t="inlineStr">
        <is>
          <t>2.28.40 - Montagem e Testes Físicos de Cubículo com Disjuntores de Média Tensão</t>
        </is>
      </c>
      <c r="M739" s="443">
        <f>O739/$N$700</f>
        <v/>
      </c>
      <c r="N739" s="1357" t="n"/>
      <c r="O739" s="1346" t="n">
        <v>135066.62</v>
      </c>
      <c r="P739" s="561">
        <f>E739+4</f>
        <v/>
      </c>
      <c r="Q739" s="1341">
        <f>O739*0.8</f>
        <v/>
      </c>
    </row>
    <row r="740" outlineLevel="1" ht="41.4" customHeight="1">
      <c r="A740" s="463">
        <f>'01_Preço'!$A$434</f>
        <v/>
      </c>
      <c r="B740" s="469">
        <f>'01_Preço'!$A$515</f>
        <v/>
      </c>
      <c r="C740" s="469">
        <f>'01_Preço'!$B$517</f>
        <v/>
      </c>
      <c r="D740" s="471" t="inlineStr">
        <is>
          <t>Montagem e testes</t>
        </is>
      </c>
      <c r="E740" s="449" t="n">
        <v>34</v>
      </c>
      <c r="F740" s="1388">
        <f>VLOOKUP(E740,'Tabela de mês'!$A$1:$B$70,2,TRUE)</f>
        <v/>
      </c>
      <c r="G740" s="510" t="inlineStr">
        <is>
          <t>426-SER</t>
        </is>
      </c>
      <c r="H740" s="441" t="inlineStr">
        <is>
          <t>INSIGHT</t>
        </is>
      </c>
      <c r="I740" s="441" t="inlineStr">
        <is>
          <t>INSIGHT</t>
        </is>
      </c>
      <c r="J740" s="441" t="n"/>
      <c r="K740" s="441" t="n"/>
      <c r="L740" s="471" t="inlineStr">
        <is>
          <t>2.28.41 - Montagem e Testes Físicos de Bancos de Capacitores de Média Tensão</t>
        </is>
      </c>
      <c r="M740" s="443">
        <f>O740/$N$700</f>
        <v/>
      </c>
      <c r="N740" s="1357" t="n"/>
      <c r="O740" s="1346" t="n">
        <v>90493.50999999999</v>
      </c>
      <c r="P740" s="561">
        <f>E740+4</f>
        <v/>
      </c>
      <c r="Q740" s="1341">
        <f>O740*0.8</f>
        <v/>
      </c>
    </row>
    <row r="741" outlineLevel="1" ht="41.4" customHeight="1">
      <c r="A741" s="463">
        <f>'01_Preço'!$A$434</f>
        <v/>
      </c>
      <c r="B741" s="469">
        <f>'01_Preço'!$A$519</f>
        <v/>
      </c>
      <c r="C741" s="469">
        <f>'01_Preço'!$B$521</f>
        <v/>
      </c>
      <c r="D741" s="471" t="inlineStr">
        <is>
          <t>Montagem e testes</t>
        </is>
      </c>
      <c r="E741" s="449" t="n">
        <v>34</v>
      </c>
      <c r="F741" s="1388">
        <f>VLOOKUP(E741,'Tabela de mês'!$A$1:$B$70,2,TRUE)</f>
        <v/>
      </c>
      <c r="G741" s="510" t="inlineStr">
        <is>
          <t>417 - SER</t>
        </is>
      </c>
      <c r="H741" s="441" t="inlineStr">
        <is>
          <t>INSIGHT</t>
        </is>
      </c>
      <c r="I741" s="441" t="inlineStr">
        <is>
          <t>INSIGHT</t>
        </is>
      </c>
      <c r="J741" s="441" t="n"/>
      <c r="K741" s="441" t="n"/>
      <c r="L741" s="471" t="inlineStr">
        <is>
          <t>Adequações elétrica para reforma e montagem dos equipamentos da 1ª etapa - Vão 1K, 6K e religadores</t>
        </is>
      </c>
      <c r="M741" s="443">
        <f>O741/$N$700</f>
        <v/>
      </c>
      <c r="N741" s="1357" t="n"/>
      <c r="O741" s="1346" t="n">
        <v>254324.75</v>
      </c>
      <c r="P741" s="561">
        <f>E741+4</f>
        <v/>
      </c>
      <c r="Q741" s="1341">
        <f>O741*0.8</f>
        <v/>
      </c>
    </row>
    <row r="742" outlineLevel="1" ht="41.4" customHeight="1">
      <c r="A742" s="463">
        <f>'01_Preço'!$A$434</f>
        <v/>
      </c>
      <c r="B742" s="469">
        <f>'01_Preço'!$A$521</f>
        <v/>
      </c>
      <c r="C742" s="469">
        <f>'01_Preço'!$B$523</f>
        <v/>
      </c>
      <c r="D742" s="471" t="inlineStr">
        <is>
          <t>Montagem e testes</t>
        </is>
      </c>
      <c r="E742" s="449" t="n">
        <v>46</v>
      </c>
      <c r="F742" s="1388">
        <f>VLOOKUP(E742,'Tabela de mês'!$A$1:$B$70,2,TRUE)</f>
        <v/>
      </c>
      <c r="G742" s="510" t="inlineStr">
        <is>
          <t>427 - SER</t>
        </is>
      </c>
      <c r="H742" s="441" t="inlineStr">
        <is>
          <t>INSIGHT</t>
        </is>
      </c>
      <c r="I742" s="441" t="inlineStr">
        <is>
          <t>INSIGHT</t>
        </is>
      </c>
      <c r="J742" s="441" t="n"/>
      <c r="K742" s="441" t="n"/>
      <c r="L742" s="471" t="inlineStr">
        <is>
          <t>Adequações elétrica para reforma e montagem dos equipamentos da 2ª etapa - Vão 4K, 5K e 7K</t>
        </is>
      </c>
      <c r="M742" s="443">
        <f>O742/$N$700</f>
        <v/>
      </c>
      <c r="N742" s="1357" t="n"/>
      <c r="O742" s="1346" t="n">
        <v>254324.75</v>
      </c>
      <c r="P742" s="561">
        <f>E742+4</f>
        <v/>
      </c>
      <c r="Q742" s="1341">
        <f>O742*0.8</f>
        <v/>
      </c>
    </row>
    <row r="743" outlineLevel="1" ht="41.4" customHeight="1">
      <c r="A743" s="463">
        <f>'01_Preço'!$A$434</f>
        <v/>
      </c>
      <c r="B743" s="469">
        <f>'01_Preço'!$A$523</f>
        <v/>
      </c>
      <c r="C743" s="469">
        <f>'01_Preço'!$B$525</f>
        <v/>
      </c>
      <c r="D743" s="471" t="inlineStr">
        <is>
          <t>Montagem e testes</t>
        </is>
      </c>
      <c r="E743" s="449" t="n">
        <v>56</v>
      </c>
      <c r="F743" s="1388">
        <f>VLOOKUP(E743,'Tabela de mês'!$A$1:$B$70,2,TRUE)</f>
        <v/>
      </c>
      <c r="G743" s="510" t="inlineStr">
        <is>
          <t>429 - SER</t>
        </is>
      </c>
      <c r="H743" s="441" t="inlineStr">
        <is>
          <t>INSIGHT</t>
        </is>
      </c>
      <c r="I743" s="441" t="inlineStr">
        <is>
          <t>INSIGHT</t>
        </is>
      </c>
      <c r="J743" s="441" t="n"/>
      <c r="K743" s="441" t="n"/>
      <c r="L743" s="471" t="inlineStr">
        <is>
          <t>Adequações elétrica para reforma e montagem dos equipamentos da 3ª etapa -Setor de 69kV e Vão 3K</t>
        </is>
      </c>
      <c r="M743" s="443">
        <f>O743/$N$700</f>
        <v/>
      </c>
      <c r="N743" s="1357" t="n"/>
      <c r="O743" s="1346" t="n">
        <v>254324.75</v>
      </c>
      <c r="P743" s="561">
        <f>E743+4</f>
        <v/>
      </c>
      <c r="Q743" s="1341">
        <f>O743*0.8</f>
        <v/>
      </c>
    </row>
    <row r="744" outlineLevel="1" ht="41.4" customHeight="1">
      <c r="A744" s="463">
        <f>'01_Preço'!$A$434</f>
        <v/>
      </c>
      <c r="B744" s="469">
        <f>'01_Preço'!$A$525</f>
        <v/>
      </c>
      <c r="C744" s="469">
        <f>'01_Preço'!$B$527</f>
        <v/>
      </c>
      <c r="D744" s="471" t="inlineStr">
        <is>
          <t>Montagem e testes</t>
        </is>
      </c>
      <c r="E744" s="449" t="n">
        <v>66</v>
      </c>
      <c r="F744" s="1388">
        <f>VLOOKUP(E744,'Tabela de mês'!$A$1:$B$70,2,TRUE)</f>
        <v/>
      </c>
      <c r="G744" s="510" t="inlineStr">
        <is>
          <t>431-SER</t>
        </is>
      </c>
      <c r="H744" s="441" t="inlineStr">
        <is>
          <t>INSIGHT</t>
        </is>
      </c>
      <c r="I744" s="441" t="inlineStr">
        <is>
          <t>INSIGHT</t>
        </is>
      </c>
      <c r="J744" s="441" t="n"/>
      <c r="K744" s="441" t="n"/>
      <c r="L744" s="471" t="inlineStr">
        <is>
          <t>Adequações elétrica para reforma e montagem dos equipamentos da 4ª etapa - Vão 2K</t>
        </is>
      </c>
      <c r="M744" s="443">
        <f>O744/$N$700</f>
        <v/>
      </c>
      <c r="N744" s="1357" t="n"/>
      <c r="O744" s="1346" t="n">
        <v>254324.75</v>
      </c>
      <c r="P744" s="561">
        <f>E744+4</f>
        <v/>
      </c>
      <c r="Q744" s="1341">
        <f>O744*0.8</f>
        <v/>
      </c>
    </row>
    <row r="745" outlineLevel="1" ht="41.4" customHeight="1">
      <c r="A745" s="463">
        <f>'01_Preço'!$A$434</f>
        <v/>
      </c>
      <c r="B745" s="469">
        <f>'01_Preço'!$A$529</f>
        <v/>
      </c>
      <c r="C745" s="469">
        <f>'01_Preço'!$B$531</f>
        <v/>
      </c>
      <c r="D745" s="471" t="inlineStr">
        <is>
          <t>Montagem e testes</t>
        </is>
      </c>
      <c r="E745" s="449" t="n">
        <v>34</v>
      </c>
      <c r="F745" s="1388">
        <f>VLOOKUP(E745,'Tabela de mês'!$A$1:$B$70,2,TRUE)</f>
        <v/>
      </c>
      <c r="G745" s="510" t="inlineStr">
        <is>
          <t>433-SER</t>
        </is>
      </c>
      <c r="H745" s="441" t="inlineStr">
        <is>
          <t>INSIGHT</t>
        </is>
      </c>
      <c r="I745" s="441" t="inlineStr">
        <is>
          <t>INSIGHT</t>
        </is>
      </c>
      <c r="J745" s="441" t="n"/>
      <c r="K745" s="441" t="n"/>
      <c r="L745" s="471" t="inlineStr">
        <is>
          <t>2.28.48 - Montagem de Sistema de Automação de Automação - SAS</t>
        </is>
      </c>
      <c r="M745" s="443">
        <f>O745/$N$700</f>
        <v/>
      </c>
      <c r="N745" s="1357" t="n"/>
      <c r="O745" s="1346" t="n">
        <v>612794.3199999999</v>
      </c>
      <c r="P745" s="561">
        <f>E745+4</f>
        <v/>
      </c>
      <c r="Q745" s="1341">
        <f>O745*0.8</f>
        <v/>
      </c>
    </row>
    <row r="746" outlineLevel="1" ht="41.4" customHeight="1">
      <c r="A746" s="463">
        <f>'01_Preço'!$A$434</f>
        <v/>
      </c>
      <c r="B746" s="469">
        <f>'01_Preço'!$A$531</f>
        <v/>
      </c>
      <c r="C746" s="469">
        <f>'01_Preço'!$B$533</f>
        <v/>
      </c>
      <c r="D746" s="471" t="inlineStr">
        <is>
          <t>Montagem e testes</t>
        </is>
      </c>
      <c r="E746" s="449" t="n">
        <v>34</v>
      </c>
      <c r="F746" s="1388">
        <f>VLOOKUP(E746,'Tabela de mês'!$A$1:$B$70,2,TRUE)</f>
        <v/>
      </c>
      <c r="G746" s="510" t="inlineStr">
        <is>
          <t>434-SER</t>
        </is>
      </c>
      <c r="H746" s="441" t="inlineStr">
        <is>
          <t>INSIGHT</t>
        </is>
      </c>
      <c r="I746" s="441" t="inlineStr">
        <is>
          <t>INSIGHT</t>
        </is>
      </c>
      <c r="J746" s="441" t="n"/>
      <c r="K746" s="441" t="n"/>
      <c r="L746" s="471" t="inlineStr">
        <is>
          <t>2.28.49 - Montagem de Cubículos de Serviços Auxiliares</t>
        </is>
      </c>
      <c r="M746" s="443">
        <f>O746/$N$700</f>
        <v/>
      </c>
      <c r="N746" s="1357" t="n"/>
      <c r="O746" s="1346" t="n">
        <v>106579.63</v>
      </c>
      <c r="P746" s="561">
        <f>E746+4</f>
        <v/>
      </c>
      <c r="Q746" s="1341">
        <f>O746*0.8</f>
        <v/>
      </c>
    </row>
    <row r="747" outlineLevel="1" ht="41.4" customHeight="1">
      <c r="A747" s="463">
        <f>'01_Preço'!$A$434</f>
        <v/>
      </c>
      <c r="B747" s="469">
        <f>'01_Preço'!$A$533</f>
        <v/>
      </c>
      <c r="C747" s="469">
        <f>'01_Preço'!$B$535</f>
        <v/>
      </c>
      <c r="D747" s="471" t="inlineStr">
        <is>
          <t>Montagem e testes</t>
        </is>
      </c>
      <c r="E747" s="449" t="n">
        <v>66</v>
      </c>
      <c r="F747" s="1388">
        <f>VLOOKUP(E747,'Tabela de mês'!$A$1:$B$70,2,TRUE)</f>
        <v/>
      </c>
      <c r="G747" s="510" t="inlineStr">
        <is>
          <t>435-SER</t>
        </is>
      </c>
      <c r="H747" s="441" t="inlineStr">
        <is>
          <t>INSIGHT</t>
        </is>
      </c>
      <c r="I747" s="441" t="inlineStr">
        <is>
          <t>INSIGHT</t>
        </is>
      </c>
      <c r="J747" s="441" t="n"/>
      <c r="K747" s="441" t="n"/>
      <c r="L747" s="471" t="inlineStr">
        <is>
          <t>2.28.50 - Montagem de Eletrodutos para Subestação</t>
        </is>
      </c>
      <c r="M747" s="443">
        <f>O747/$N$700</f>
        <v/>
      </c>
      <c r="N747" s="1357" t="n"/>
      <c r="O747" s="1346" t="n">
        <v>60609.25</v>
      </c>
      <c r="P747" s="561">
        <f>E747+4</f>
        <v/>
      </c>
      <c r="Q747" s="1341">
        <f>O747*0.8</f>
        <v/>
      </c>
    </row>
    <row r="748" outlineLevel="1" ht="41.4" customHeight="1">
      <c r="A748" s="685">
        <f>'01_Preço'!$A$434</f>
        <v/>
      </c>
      <c r="B748" s="677">
        <f>'01_Preço'!$A$535</f>
        <v/>
      </c>
      <c r="C748" s="677">
        <f>'01_Preço'!$B$537</f>
        <v/>
      </c>
      <c r="D748" s="686" t="inlineStr">
        <is>
          <t>Montagem e testes</t>
        </is>
      </c>
      <c r="E748" s="449" t="n">
        <v>59</v>
      </c>
      <c r="F748" s="1388">
        <f>VLOOKUP(E748,'Tabela de mês'!$A$1:$B$70,2,TRUE)</f>
        <v/>
      </c>
      <c r="G748" s="518" t="inlineStr">
        <is>
          <t>436-SER</t>
        </is>
      </c>
      <c r="H748" s="441" t="inlineStr">
        <is>
          <t>INSIGHT</t>
        </is>
      </c>
      <c r="I748" s="441" t="inlineStr">
        <is>
          <t>INSIGHT</t>
        </is>
      </c>
      <c r="J748" s="441" t="n"/>
      <c r="K748" s="441" t="n"/>
      <c r="L748" s="686" t="inlineStr">
        <is>
          <t xml:space="preserve">2.28.51 - Montagem e Testes Físicos do Sistema de Iluminação e Força para Subestação </t>
        </is>
      </c>
      <c r="M748" s="687">
        <f>O748/$N$700</f>
        <v/>
      </c>
      <c r="N748" s="1382" t="n"/>
      <c r="O748" s="1386" t="n">
        <v>22270.57</v>
      </c>
      <c r="P748" s="561">
        <f>E748+4</f>
        <v/>
      </c>
      <c r="Q748" s="1341">
        <f>O748*0.8</f>
        <v/>
      </c>
    </row>
    <row r="749" outlineLevel="1" ht="41.4" customHeight="1">
      <c r="A749" s="685">
        <f>'01_Preço'!$A$434</f>
        <v/>
      </c>
      <c r="B749" s="677">
        <f>'01_Preço'!$A$537</f>
        <v/>
      </c>
      <c r="C749" s="677">
        <f>'01_Preço'!$B$539</f>
        <v/>
      </c>
      <c r="D749" s="686" t="inlineStr">
        <is>
          <t>Montagem e testes</t>
        </is>
      </c>
      <c r="E749" s="449" t="n">
        <v>26</v>
      </c>
      <c r="F749" s="1388">
        <f>VLOOKUP(E749,'Tabela de mês'!$A$1:$B$70,2,TRUE)</f>
        <v/>
      </c>
      <c r="G749" s="518" t="inlineStr">
        <is>
          <t>437-SER</t>
        </is>
      </c>
      <c r="H749" s="441" t="inlineStr">
        <is>
          <t>INSIGHT</t>
        </is>
      </c>
      <c r="I749" s="441" t="inlineStr">
        <is>
          <t>INSIGHT</t>
        </is>
      </c>
      <c r="J749" s="441" t="n"/>
      <c r="K749" s="441" t="n"/>
      <c r="L749" s="686" t="inlineStr">
        <is>
          <t>2.28.52 - Montagem e Testes Físicos de Arranjo Provisório de MT</t>
        </is>
      </c>
      <c r="M749" s="687">
        <f>O749/$N$700</f>
        <v/>
      </c>
      <c r="N749" s="1382" t="n"/>
      <c r="O749" s="1386" t="n">
        <v>42830.53</v>
      </c>
      <c r="P749" s="561">
        <f>E749+4</f>
        <v/>
      </c>
      <c r="Q749" s="1341">
        <f>O749*0.8</f>
        <v/>
      </c>
    </row>
    <row r="750" outlineLevel="1" ht="41.4" customHeight="1">
      <c r="A750" s="472">
        <f>'01_Preço'!$A$434</f>
        <v/>
      </c>
      <c r="B750" s="467">
        <f>'01_Preço'!$A$539</f>
        <v/>
      </c>
      <c r="C750" s="467">
        <f>'01_Preço'!$B$541</f>
        <v/>
      </c>
      <c r="D750" s="470" t="inlineStr">
        <is>
          <t>Montagem e testes</t>
        </is>
      </c>
      <c r="E750" s="449" t="n">
        <v>66</v>
      </c>
      <c r="F750" s="1388">
        <f>VLOOKUP(E750,'Tabela de mês'!$A$1:$B$70,2,TRUE)</f>
        <v/>
      </c>
      <c r="G750" s="520" t="inlineStr">
        <is>
          <t>438-SER</t>
        </is>
      </c>
      <c r="H750" s="441" t="inlineStr">
        <is>
          <t>INSIGHT</t>
        </is>
      </c>
      <c r="I750" s="441" t="inlineStr">
        <is>
          <t>INSIGHT</t>
        </is>
      </c>
      <c r="J750" s="441" t="n"/>
      <c r="K750" s="441" t="n"/>
      <c r="L750" s="470" t="inlineStr">
        <is>
          <t>2.28.53 - Execução de Testes de Teleproteção - "Ponta a ponta"</t>
        </is>
      </c>
      <c r="M750" s="446">
        <f>O750/$N$700</f>
        <v/>
      </c>
      <c r="N750" s="1365" t="n"/>
      <c r="O750" s="1349" t="n">
        <v>181870.64</v>
      </c>
      <c r="P750" s="561">
        <f>E750+4</f>
        <v/>
      </c>
      <c r="Q750" s="1341">
        <f>O750*0.8</f>
        <v/>
      </c>
    </row>
    <row r="751" outlineLevel="1" ht="41.4" customHeight="1">
      <c r="A751" s="463">
        <f>'01_Preço'!$A$434</f>
        <v/>
      </c>
      <c r="B751" s="469">
        <f>'01_Preço'!$A$541</f>
        <v/>
      </c>
      <c r="C751" s="469">
        <f>'01_Preço'!$B$541</f>
        <v/>
      </c>
      <c r="D751" s="471" t="inlineStr">
        <is>
          <t>Desmontagem</t>
        </is>
      </c>
      <c r="E751" s="449" t="n">
        <v>33</v>
      </c>
      <c r="F751" s="1388">
        <f>VLOOKUP(E751,'Tabela de mês'!$A$1:$B$70,2,TRUE)</f>
        <v/>
      </c>
      <c r="G751" s="510" t="inlineStr">
        <is>
          <t>439-SER</t>
        </is>
      </c>
      <c r="H751" s="441" t="inlineStr">
        <is>
          <t>INSIGHT</t>
        </is>
      </c>
      <c r="I751" s="441" t="inlineStr">
        <is>
          <t>INSIGHT</t>
        </is>
      </c>
      <c r="J751" s="441" t="n"/>
      <c r="K751" s="441" t="n"/>
      <c r="L751" s="471" t="inlineStr">
        <is>
          <t>2.28.54 - Desmontagem de Equipamentos e Materiais do pátio de 161 kV</t>
        </is>
      </c>
      <c r="M751" s="443">
        <f>O751/$N$700</f>
        <v/>
      </c>
      <c r="N751" s="1357" t="n"/>
      <c r="O751" s="1346" t="n">
        <v>142064.99</v>
      </c>
      <c r="P751" s="561">
        <f>E751+4</f>
        <v/>
      </c>
      <c r="Q751" s="1341">
        <f>O751*0.8</f>
        <v/>
      </c>
    </row>
    <row r="752" outlineLevel="1" ht="41.4" customHeight="1">
      <c r="A752" s="463">
        <f>'01_Preço'!$A$434</f>
        <v/>
      </c>
      <c r="B752" s="469">
        <f>'01_Preço'!$A$543</f>
        <v/>
      </c>
      <c r="C752" s="469">
        <f>'01_Preço'!$B$543</f>
        <v/>
      </c>
      <c r="D752" s="471" t="inlineStr">
        <is>
          <t>Desmontagem</t>
        </is>
      </c>
      <c r="E752" s="449" t="n">
        <v>57</v>
      </c>
      <c r="F752" s="1388">
        <f>VLOOKUP(E752,'Tabela de mês'!$A$1:$B$70,2,TRUE)</f>
        <v/>
      </c>
      <c r="G752" s="510" t="inlineStr">
        <is>
          <t>440-SER</t>
        </is>
      </c>
      <c r="H752" s="441" t="inlineStr">
        <is>
          <t>INSIGHT</t>
        </is>
      </c>
      <c r="I752" s="441" t="inlineStr">
        <is>
          <t>INSIGHT</t>
        </is>
      </c>
      <c r="J752" s="441" t="n"/>
      <c r="K752" s="441" t="n"/>
      <c r="L752" s="471" t="inlineStr">
        <is>
          <t>2.28.55 - Desmontagem de Equipamentos e Materiais do pátio de 69 kV</t>
        </is>
      </c>
      <c r="M752" s="443">
        <f>O752/$N$700</f>
        <v/>
      </c>
      <c r="N752" s="1357" t="n"/>
      <c r="O752" s="1346" t="n">
        <v>124607.13</v>
      </c>
      <c r="P752" s="561">
        <f>E752+4</f>
        <v/>
      </c>
      <c r="Q752" s="1341">
        <f>O752*0.8</f>
        <v/>
      </c>
    </row>
    <row r="753" outlineLevel="1" ht="41.4" customHeight="1">
      <c r="A753" s="463">
        <f>'01_Preço'!$A$434</f>
        <v/>
      </c>
      <c r="B753" s="469">
        <f>'01_Preço'!$A$545</f>
        <v/>
      </c>
      <c r="C753" s="469">
        <f>'01_Preço'!$B$545</f>
        <v/>
      </c>
      <c r="D753" s="471" t="inlineStr">
        <is>
          <t>Desmontagem</t>
        </is>
      </c>
      <c r="E753" s="449" t="n">
        <v>57</v>
      </c>
      <c r="F753" s="1388">
        <f>VLOOKUP(E753,'Tabela de mês'!$A$1:$B$70,2,TRUE)</f>
        <v/>
      </c>
      <c r="G753" s="510" t="inlineStr">
        <is>
          <t>441-SER</t>
        </is>
      </c>
      <c r="H753" s="441" t="inlineStr">
        <is>
          <t>INSIGHT</t>
        </is>
      </c>
      <c r="I753" s="441" t="inlineStr">
        <is>
          <t>INSIGHT</t>
        </is>
      </c>
      <c r="J753" s="441" t="n"/>
      <c r="K753" s="441" t="n"/>
      <c r="L753" s="471" t="inlineStr">
        <is>
          <t>2.28.56 - Desmontagem de Equipamentos e Materiais do pátio de 13,8 kV</t>
        </is>
      </c>
      <c r="M753" s="443">
        <f>O753/$N$700</f>
        <v/>
      </c>
      <c r="N753" s="1357" t="n"/>
      <c r="O753" s="1346" t="n">
        <v>81786.88</v>
      </c>
      <c r="P753" s="561">
        <f>E753+4</f>
        <v/>
      </c>
      <c r="Q753" s="1341">
        <f>O753*0.8</f>
        <v/>
      </c>
    </row>
    <row r="754" outlineLevel="1" ht="41.4" customHeight="1">
      <c r="A754" s="463">
        <f>'01_Preço'!$A$434</f>
        <v/>
      </c>
      <c r="B754" s="469">
        <f>'01_Preço'!$A$547</f>
        <v/>
      </c>
      <c r="C754" s="469">
        <f>'01_Preço'!$B$547</f>
        <v/>
      </c>
      <c r="D754" s="471" t="inlineStr">
        <is>
          <t>Desmontagem</t>
        </is>
      </c>
      <c r="E754" s="449" t="n">
        <v>66</v>
      </c>
      <c r="F754" s="1388">
        <f>VLOOKUP(E754,'Tabela de mês'!$A$1:$B$70,2,TRUE)</f>
        <v/>
      </c>
      <c r="G754" s="510" t="inlineStr">
        <is>
          <t>442-SER</t>
        </is>
      </c>
      <c r="H754" s="441" t="inlineStr">
        <is>
          <t>INSIGHT</t>
        </is>
      </c>
      <c r="I754" s="441" t="inlineStr">
        <is>
          <t>INSIGHT</t>
        </is>
      </c>
      <c r="J754" s="441" t="n"/>
      <c r="K754" s="441" t="n"/>
      <c r="L754" s="471" t="inlineStr">
        <is>
          <t>2.28.57 - Desmontagem de Demais Equipamentos, Sistemas e Materiais de Baixa Tensão</t>
        </is>
      </c>
      <c r="M754" s="443">
        <f>O754/$N$700</f>
        <v/>
      </c>
      <c r="N754" s="1357" t="n"/>
      <c r="O754" s="1346" t="n">
        <v>115866.53</v>
      </c>
      <c r="P754" s="561">
        <f>E754+4</f>
        <v/>
      </c>
      <c r="Q754" s="1341">
        <f>O754*0.8</f>
        <v/>
      </c>
    </row>
    <row r="755" outlineLevel="1" ht="41.4" customHeight="1">
      <c r="A755" s="463">
        <f>'01_Preço'!$A$434</f>
        <v/>
      </c>
      <c r="B755" s="469">
        <f>'01_Preço'!$A$549</f>
        <v/>
      </c>
      <c r="C755" s="469">
        <f>'01_Preço'!$B$549</f>
        <v/>
      </c>
      <c r="D755" s="471" t="inlineStr">
        <is>
          <t>Desmontagem</t>
        </is>
      </c>
      <c r="E755" s="449" t="n">
        <v>34</v>
      </c>
      <c r="F755" s="1388">
        <f>VLOOKUP(E755,'Tabela de mês'!$A$1:$B$70,2,TRUE)</f>
        <v/>
      </c>
      <c r="G755" s="510" t="inlineStr">
        <is>
          <t>443-SER</t>
        </is>
      </c>
      <c r="H755" s="441" t="inlineStr">
        <is>
          <t>INSIGHT</t>
        </is>
      </c>
      <c r="I755" s="441" t="inlineStr">
        <is>
          <t>INSIGHT</t>
        </is>
      </c>
      <c r="J755" s="441" t="n"/>
      <c r="K755" s="441" t="n"/>
      <c r="L755" s="471" t="inlineStr">
        <is>
          <t>2.28.58 - Desmontagem de Arranjo Provisório de MT</t>
        </is>
      </c>
      <c r="M755" s="443">
        <f>O755/$N$700</f>
        <v/>
      </c>
      <c r="N755" s="1357" t="n"/>
      <c r="O755" s="1346" t="n">
        <v>133185.93</v>
      </c>
      <c r="P755" s="561">
        <f>E755+4</f>
        <v/>
      </c>
      <c r="Q755" s="1341">
        <f>O755*0.8</f>
        <v/>
      </c>
    </row>
    <row r="756" outlineLevel="1" ht="41.4" customHeight="1">
      <c r="A756" s="463">
        <f>'01_Preço'!$A$434</f>
        <v/>
      </c>
      <c r="B756" s="469">
        <f>'01_Preço'!$A$551</f>
        <v/>
      </c>
      <c r="C756" s="469">
        <f>'01_Preço'!$B$551</f>
        <v/>
      </c>
      <c r="D756" s="471" t="inlineStr">
        <is>
          <t>Comissionamento</t>
        </is>
      </c>
      <c r="E756" s="449" t="n">
        <v>37</v>
      </c>
      <c r="F756" s="1388">
        <f>VLOOKUP(E756,'Tabela de mês'!$A$1:$B$70,2,TRUE)</f>
        <v/>
      </c>
      <c r="G756" s="510" t="inlineStr">
        <is>
          <t>444-SER A</t>
        </is>
      </c>
      <c r="H756" s="441" t="inlineStr">
        <is>
          <t>SIEYUAN</t>
        </is>
      </c>
      <c r="I756" s="497" t="inlineStr">
        <is>
          <t>FAT. DIRETO</t>
        </is>
      </c>
      <c r="J756" s="441" t="n"/>
      <c r="K756" s="441" t="n"/>
      <c r="L756" s="471" t="inlineStr">
        <is>
          <t>Conclusão do Comissionamento / Testes de Aceitação em Campo (TAC) -Vão 1K</t>
        </is>
      </c>
      <c r="M756" s="443">
        <f>O756/$N$700</f>
        <v/>
      </c>
      <c r="N756" s="1357" t="n"/>
      <c r="O756" s="1346" t="n">
        <v>31000</v>
      </c>
      <c r="P756" s="561" t="n"/>
      <c r="Q756" s="1346" t="n"/>
    </row>
    <row r="757" outlineLevel="1" ht="41.4" customHeight="1">
      <c r="A757" s="463">
        <f>'01_Preço'!$A$434</f>
        <v/>
      </c>
      <c r="B757" s="469">
        <f>'01_Preço'!$A$551</f>
        <v/>
      </c>
      <c r="C757" s="469">
        <f>'01_Preço'!$B$551</f>
        <v/>
      </c>
      <c r="D757" s="471" t="inlineStr">
        <is>
          <t>Comissionamento</t>
        </is>
      </c>
      <c r="E757" s="449" t="n">
        <v>58</v>
      </c>
      <c r="F757" s="1388">
        <f>VLOOKUP(E757,'Tabela de mês'!$A$1:$B$70,2,TRUE)</f>
        <v/>
      </c>
      <c r="G757" s="510" t="inlineStr">
        <is>
          <t>444-SER B</t>
        </is>
      </c>
      <c r="H757" s="441" t="inlineStr">
        <is>
          <t>SIEYUAN</t>
        </is>
      </c>
      <c r="I757" s="497" t="inlineStr">
        <is>
          <t>FAT. DIRETO</t>
        </is>
      </c>
      <c r="J757" s="441" t="n"/>
      <c r="K757" s="441" t="n"/>
      <c r="L757" s="471" t="inlineStr">
        <is>
          <t>Conclusão do Comissionamento / Testes de Aceitação em Campo (TAC) - Vão 5K</t>
        </is>
      </c>
      <c r="M757" s="443">
        <f>O757/$N$700</f>
        <v/>
      </c>
      <c r="N757" s="1357" t="n"/>
      <c r="O757" s="1346" t="n">
        <v>46000</v>
      </c>
      <c r="P757" s="561" t="n"/>
      <c r="Q757" s="1346" t="n"/>
    </row>
    <row r="758" outlineLevel="1" ht="41.4" customHeight="1">
      <c r="A758" s="463">
        <f>'01_Preço'!$A$434</f>
        <v/>
      </c>
      <c r="B758" s="469">
        <f>'01_Preço'!$A$551</f>
        <v/>
      </c>
      <c r="C758" s="469">
        <f>'01_Preço'!$B$551</f>
        <v/>
      </c>
      <c r="D758" s="471" t="inlineStr">
        <is>
          <t>Comissionamento</t>
        </is>
      </c>
      <c r="E758" s="449" t="n">
        <v>67</v>
      </c>
      <c r="F758" s="1388">
        <f>VLOOKUP(E758,'Tabela de mês'!$A$1:$B$70,2,TRUE)</f>
        <v/>
      </c>
      <c r="G758" s="510" t="inlineStr">
        <is>
          <t>444-SER C</t>
        </is>
      </c>
      <c r="H758" s="441" t="inlineStr">
        <is>
          <t>SIEYUAN</t>
        </is>
      </c>
      <c r="I758" s="497" t="inlineStr">
        <is>
          <t>FAT. DIRETO</t>
        </is>
      </c>
      <c r="J758" s="441" t="n"/>
      <c r="K758" s="441" t="n"/>
      <c r="L758" s="471" t="inlineStr">
        <is>
          <t>Conclusão do Comissionamento / Testes de Aceitação em Campo (TAC) - Vão 4k e 1J</t>
        </is>
      </c>
      <c r="M758" s="443">
        <f>O758/$N$700</f>
        <v/>
      </c>
      <c r="N758" s="1357" t="n"/>
      <c r="O758" s="1346" t="n">
        <v>38500</v>
      </c>
      <c r="P758" s="561" t="n"/>
      <c r="Q758" s="1346" t="n"/>
      <c r="R758" s="1327" t="n"/>
      <c r="S758" s="1327" t="n"/>
      <c r="T758" s="1327" t="n"/>
    </row>
    <row r="759" outlineLevel="1" ht="41.4" customHeight="1">
      <c r="A759" s="463">
        <f>'01_Preço'!$A$434</f>
        <v/>
      </c>
      <c r="B759" s="469">
        <f>'01_Preço'!$A$551</f>
        <v/>
      </c>
      <c r="C759" s="469">
        <f>'01_Preço'!$B$551</f>
        <v/>
      </c>
      <c r="D759" s="471" t="inlineStr">
        <is>
          <t>Comissionamento</t>
        </is>
      </c>
      <c r="E759" s="449" t="n">
        <v>37</v>
      </c>
      <c r="F759" s="1388">
        <f>VLOOKUP(E759,'Tabela de mês'!$A$1:$B$70,2,TRUE)</f>
        <v/>
      </c>
      <c r="G759" s="510" t="inlineStr">
        <is>
          <t>444-SER D</t>
        </is>
      </c>
      <c r="H759" s="441" t="inlineStr">
        <is>
          <t>SIEMENS</t>
        </is>
      </c>
      <c r="I759" s="497" t="inlineStr">
        <is>
          <t>FAT. DIRETO</t>
        </is>
      </c>
      <c r="J759" s="441" t="n"/>
      <c r="K759" s="441" t="n"/>
      <c r="L759" s="471" t="inlineStr">
        <is>
          <t>Serviço de comissionamento 1ª etapa - Vão 1K, religadores e 1ª UF</t>
        </is>
      </c>
      <c r="M759" s="443">
        <f>O759/$N$700</f>
        <v/>
      </c>
      <c r="N759" s="1357" t="n"/>
      <c r="O759" s="1346" t="n">
        <v>274374.8040000001</v>
      </c>
      <c r="P759" s="561" t="n"/>
      <c r="Q759" s="1346" t="n"/>
    </row>
    <row r="760" outlineLevel="1" ht="41.4" customHeight="1">
      <c r="A760" s="463">
        <f>'01_Preço'!$A$434</f>
        <v/>
      </c>
      <c r="B760" s="469">
        <f>'01_Preço'!$A$551</f>
        <v/>
      </c>
      <c r="C760" s="469">
        <f>'01_Preço'!$B$551</f>
        <v/>
      </c>
      <c r="D760" s="471" t="inlineStr">
        <is>
          <t>Comissionamento</t>
        </is>
      </c>
      <c r="E760" s="449" t="n">
        <v>58</v>
      </c>
      <c r="F760" s="1388">
        <f>VLOOKUP(E760,'Tabela de mês'!$A$1:$B$70,2,TRUE)</f>
        <v/>
      </c>
      <c r="G760" s="510" t="inlineStr">
        <is>
          <t>444-SER E</t>
        </is>
      </c>
      <c r="H760" s="441" t="inlineStr">
        <is>
          <t>SIEMENS</t>
        </is>
      </c>
      <c r="I760" s="497" t="inlineStr">
        <is>
          <t>FAT. DIRETO</t>
        </is>
      </c>
      <c r="J760" s="441" t="n"/>
      <c r="K760" s="441" t="n"/>
      <c r="L760" s="471" t="inlineStr">
        <is>
          <t>Serviço de comissionamento 2ª etapa - Barra de transferência e 69kV</t>
        </is>
      </c>
      <c r="M760" s="443">
        <f>O760/$N$700</f>
        <v/>
      </c>
      <c r="N760" s="1357" t="n"/>
      <c r="O760" s="1346" t="n">
        <v>274374.8040000001</v>
      </c>
      <c r="P760" s="561" t="n"/>
      <c r="Q760" s="1346" t="n"/>
    </row>
    <row r="761" outlineLevel="1" ht="41.4" customHeight="1">
      <c r="A761" s="463">
        <f>'01_Preço'!$A$434</f>
        <v/>
      </c>
      <c r="B761" s="469">
        <f>'01_Preço'!$A$551</f>
        <v/>
      </c>
      <c r="C761" s="469">
        <f>'01_Preço'!$B$551</f>
        <v/>
      </c>
      <c r="D761" s="471" t="inlineStr">
        <is>
          <t>Comissionamento</t>
        </is>
      </c>
      <c r="E761" s="449" t="n">
        <v>67</v>
      </c>
      <c r="F761" s="1388">
        <f>VLOOKUP(E761,'Tabela de mês'!$A$1:$B$70,2,TRUE)</f>
        <v/>
      </c>
      <c r="G761" s="510" t="inlineStr">
        <is>
          <t>444-SER F</t>
        </is>
      </c>
      <c r="H761" s="441" t="inlineStr">
        <is>
          <t>SIEMENS</t>
        </is>
      </c>
      <c r="I761" s="497" t="inlineStr">
        <is>
          <t>FAT. DIRETO</t>
        </is>
      </c>
      <c r="J761" s="441" t="n"/>
      <c r="K761" s="441" t="n"/>
      <c r="L761" s="471" t="inlineStr">
        <is>
          <t>Serviço de comissionamento 3ª etapa - 100% do comissionamento da SE</t>
        </is>
      </c>
      <c r="M761" s="443">
        <f>O761/$N$700</f>
        <v/>
      </c>
      <c r="N761" s="1357" t="n"/>
      <c r="O761" s="1346" t="n">
        <v>365833.0720000001</v>
      </c>
      <c r="P761" s="561" t="n"/>
      <c r="Q761" s="1346" t="n"/>
    </row>
    <row r="762" outlineLevel="1" ht="41.4" customHeight="1">
      <c r="A762" s="463">
        <f>'01_Preço'!$A$434</f>
        <v/>
      </c>
      <c r="B762" s="469">
        <f>'01_Preço'!$A$551</f>
        <v/>
      </c>
      <c r="C762" s="469">
        <f>'01_Preço'!$B$551</f>
        <v/>
      </c>
      <c r="D762" s="471" t="inlineStr">
        <is>
          <t>Comissionamento</t>
        </is>
      </c>
      <c r="E762" s="449" t="n">
        <v>38</v>
      </c>
      <c r="F762" s="1388">
        <f>VLOOKUP(E762,'Tabela de mês'!$A$1:$B$70,2,TRUE)</f>
        <v/>
      </c>
      <c r="G762" s="510" t="inlineStr">
        <is>
          <t>444-SER G</t>
        </is>
      </c>
      <c r="H762" s="441" t="inlineStr">
        <is>
          <t>SIEMENS</t>
        </is>
      </c>
      <c r="I762" s="497" t="inlineStr">
        <is>
          <t>FAT. DIRETO</t>
        </is>
      </c>
      <c r="J762" s="441" t="n"/>
      <c r="K762" s="441" t="n"/>
      <c r="L762" s="471" t="inlineStr">
        <is>
          <t>Treinamentos</t>
        </is>
      </c>
      <c r="M762" s="443">
        <f>O762/$N$700</f>
        <v/>
      </c>
      <c r="N762" s="1357" t="n"/>
      <c r="O762" s="1346" t="n">
        <v>153914.72</v>
      </c>
      <c r="P762" s="561" t="n"/>
      <c r="Q762" s="1346" t="n"/>
    </row>
    <row r="763" outlineLevel="1" ht="42" customHeight="1" thickBot="1">
      <c r="A763" s="463">
        <f>'01_Preço'!$A$434</f>
        <v/>
      </c>
      <c r="B763" s="469">
        <f>'01_Preço'!$A$553</f>
        <v/>
      </c>
      <c r="C763" s="469">
        <f>'01_Preço'!$B$553</f>
        <v/>
      </c>
      <c r="D763" s="471" t="inlineStr">
        <is>
          <t>Fornecimento de equipamentos e materiais</t>
        </is>
      </c>
      <c r="E763" s="449" t="n">
        <v>30</v>
      </c>
      <c r="F763" s="1388">
        <f>VLOOKUP(E763,'Tabela de mês'!$A$1:$B$70,2,TRUE)</f>
        <v/>
      </c>
      <c r="G763" s="510" t="inlineStr">
        <is>
          <t>445-SER</t>
        </is>
      </c>
      <c r="H763" s="441" t="inlineStr">
        <is>
          <t>INSIGHT</t>
        </is>
      </c>
      <c r="I763" s="441" t="inlineStr">
        <is>
          <t>INSIGHT</t>
        </is>
      </c>
      <c r="J763" s="441" t="n"/>
      <c r="K763" s="441" t="n"/>
      <c r="L763" s="471" t="inlineStr">
        <is>
          <t>2.28.60 - Entrega completa das peças, materiais e equipamentos sobressalentes adquiridos</t>
        </is>
      </c>
      <c r="M763" s="443">
        <f>O763/$N$700</f>
        <v/>
      </c>
      <c r="N763" s="1346" t="n"/>
      <c r="O763" s="1346" t="n">
        <v>903130.91</v>
      </c>
      <c r="P763" s="561">
        <f>E763+4</f>
        <v/>
      </c>
      <c r="Q763" s="1341">
        <f>O763*0.8</f>
        <v/>
      </c>
    </row>
    <row r="764" ht="16.2" customHeight="1" thickBot="1">
      <c r="A764" s="1332" t="inlineStr">
        <is>
          <t>2.29 - Sistema de vigilância eletrônica</t>
        </is>
      </c>
      <c r="B764" s="1139" t="n"/>
      <c r="C764" s="1139" t="n"/>
      <c r="D764" s="1139" t="n"/>
      <c r="E764" s="1139" t="n"/>
      <c r="F764" s="1139" t="n"/>
      <c r="G764" s="1139" t="n"/>
      <c r="H764" s="1139" t="n"/>
      <c r="I764" s="1139" t="n"/>
      <c r="J764" s="1139" t="n"/>
      <c r="K764" s="1139" t="n"/>
      <c r="L764" s="1139" t="n"/>
      <c r="M764" s="1140" t="n"/>
      <c r="N764" s="1360">
        <f>SUM(O765,O769,O773,O776:O777)</f>
        <v/>
      </c>
      <c r="O764" s="503" t="n"/>
      <c r="P764" s="503" t="n"/>
      <c r="Q764" s="503" t="n"/>
    </row>
    <row r="765" outlineLevel="1" ht="28.2" customHeight="1" thickBot="1">
      <c r="A765" s="676">
        <f>'01_Preço'!$A$555</f>
        <v/>
      </c>
      <c r="B765" s="487">
        <f>'01_Preço'!A556</f>
        <v/>
      </c>
      <c r="C765" s="486">
        <f>'01_Preço'!B556</f>
        <v/>
      </c>
      <c r="D765" s="475">
        <f>'01_Preço'!E556</f>
        <v/>
      </c>
      <c r="E765" s="479" t="n"/>
      <c r="F765" s="479" t="n"/>
      <c r="G765" s="487" t="n"/>
      <c r="H765" s="487" t="n"/>
      <c r="I765" s="487" t="n"/>
      <c r="J765" s="487" t="n"/>
      <c r="K765" s="487" t="n"/>
      <c r="L765" s="678">
        <f>'01_Preço'!E556</f>
        <v/>
      </c>
      <c r="M765" s="679">
        <f>O765/$N$764</f>
        <v/>
      </c>
      <c r="N765" s="1361" t="n"/>
      <c r="O765" s="1362">
        <f>SUM(O766:O768)</f>
        <v/>
      </c>
      <c r="P765" s="561" t="n"/>
      <c r="Q765" s="1346" t="n"/>
    </row>
    <row r="766" outlineLevel="1" ht="27.6" customFormat="1" customHeight="1" s="181">
      <c r="A766" s="393">
        <f>'01_Preço'!$A$555</f>
        <v/>
      </c>
      <c r="B766" s="413">
        <f>'01_Preço'!A556</f>
        <v/>
      </c>
      <c r="C766" s="413">
        <f>'01_Preço'!B556</f>
        <v/>
      </c>
      <c r="D766" s="423">
        <f>'01_Preço'!E556</f>
        <v/>
      </c>
      <c r="E766" s="450" t="n">
        <v>16</v>
      </c>
      <c r="F766" s="1395">
        <f>VLOOKUP(E766,'Tabela de mês'!$A$1:$B$70,2,TRUE)</f>
        <v/>
      </c>
      <c r="G766" s="511" t="inlineStr">
        <is>
          <t>446-SER</t>
        </is>
      </c>
      <c r="H766" s="163" t="inlineStr">
        <is>
          <t>INSIGHT</t>
        </is>
      </c>
      <c r="I766" s="163" t="inlineStr">
        <is>
          <t>INSIGHT</t>
        </is>
      </c>
      <c r="J766" s="163" t="n"/>
      <c r="K766" s="163" t="n"/>
      <c r="L766" s="423" t="inlineStr">
        <is>
          <t>Aprovação do Plano de Emissão de Documentos do Sistema de Vigilância Eletrônica</t>
        </is>
      </c>
      <c r="M766" s="391">
        <f>O766/$O$765</f>
        <v/>
      </c>
      <c r="N766" s="1340" t="n"/>
      <c r="O766" s="1340" t="n">
        <v>8013.554</v>
      </c>
      <c r="P766" s="561" t="n"/>
      <c r="Q766" s="1340" t="n"/>
      <c r="S766" s="662" t="inlineStr">
        <is>
          <t>SIM</t>
        </is>
      </c>
    </row>
    <row r="767" outlineLevel="1" ht="27.6" customHeight="1">
      <c r="A767" s="228">
        <f>'01_Preço'!$A$555</f>
        <v/>
      </c>
      <c r="B767" s="170">
        <f>'01_Preço'!A556</f>
        <v/>
      </c>
      <c r="C767" s="170">
        <f>'01_Preço'!B556</f>
        <v/>
      </c>
      <c r="D767" s="162">
        <f>'01_Preço'!E556</f>
        <v/>
      </c>
      <c r="E767" s="453" t="n">
        <v>30</v>
      </c>
      <c r="F767" s="1396">
        <f>VLOOKUP(E767,'Tabela de mês'!$A$1:$B$70,2,TRUE)</f>
        <v/>
      </c>
      <c r="G767" s="520" t="inlineStr">
        <is>
          <t>447-SER</t>
        </is>
      </c>
      <c r="H767" s="161" t="inlineStr">
        <is>
          <t>INSIGHT</t>
        </is>
      </c>
      <c r="I767" s="161" t="inlineStr">
        <is>
          <t>INSIGHT</t>
        </is>
      </c>
      <c r="J767" s="161" t="n"/>
      <c r="K767" s="161" t="n"/>
      <c r="L767" s="164" t="inlineStr">
        <is>
          <t>Aprovação completa dos Documentos do Projeto Executivo e de Fabricação do Sistema de Vigilância Eletrônica</t>
        </is>
      </c>
      <c r="M767" s="416">
        <f>O767/$O$765</f>
        <v/>
      </c>
      <c r="N767" s="1373" t="n"/>
      <c r="O767" s="1373" t="n">
        <v>106958.63</v>
      </c>
      <c r="P767" s="561" t="n"/>
      <c r="Q767" s="1340" t="n"/>
    </row>
    <row r="768" outlineLevel="1" ht="27.6" customHeight="1">
      <c r="A768" s="230">
        <f>'01_Preço'!$A$555</f>
        <v/>
      </c>
      <c r="B768" s="168">
        <f>'01_Preço'!A556</f>
        <v/>
      </c>
      <c r="C768" s="168">
        <f>'01_Preço'!B556</f>
        <v/>
      </c>
      <c r="D768" s="169">
        <f>'01_Preço'!E556</f>
        <v/>
      </c>
      <c r="E768" s="450" t="n">
        <v>65</v>
      </c>
      <c r="F768" s="1395">
        <f>VLOOKUP(E768,'Tabela de mês'!$A$1:$B$70,2,TRUE)</f>
        <v/>
      </c>
      <c r="G768" s="510" t="inlineStr">
        <is>
          <t>448-SER</t>
        </is>
      </c>
      <c r="H768" s="163" t="inlineStr">
        <is>
          <t>INSIGHT</t>
        </is>
      </c>
      <c r="I768" s="163" t="inlineStr">
        <is>
          <t>INSIGHT</t>
        </is>
      </c>
      <c r="J768" s="161" t="n"/>
      <c r="K768" s="161" t="n"/>
      <c r="L768" s="164" t="inlineStr">
        <is>
          <t>Aprovação da versão conforme construído do Projeto do Sistema de Vigilância Eletrônica</t>
        </is>
      </c>
      <c r="M768" s="416">
        <f>O768/$O$765</f>
        <v/>
      </c>
      <c r="N768" s="1364" t="n"/>
      <c r="O768" s="1342" t="n">
        <v>11244.66</v>
      </c>
      <c r="P768" s="561" t="n"/>
      <c r="Q768" s="1340" t="n"/>
    </row>
    <row r="769" outlineLevel="1" ht="27.6" customHeight="1">
      <c r="A769" s="461">
        <f>'01_Preço'!$A$555</f>
        <v/>
      </c>
      <c r="B769" s="441">
        <f>'01_Preço'!A558</f>
        <v/>
      </c>
      <c r="C769" s="469">
        <f>'01_Preço'!B558</f>
        <v/>
      </c>
      <c r="D769" s="442">
        <f>'01_Preço'!E558</f>
        <v/>
      </c>
      <c r="E769" s="462" t="n"/>
      <c r="F769" s="462" t="n"/>
      <c r="G769" s="441" t="n"/>
      <c r="H769" s="441" t="n"/>
      <c r="I769" s="441" t="n"/>
      <c r="J769" s="441" t="n"/>
      <c r="K769" s="441" t="n"/>
      <c r="L769" s="471">
        <f>'01_Preço'!E558</f>
        <v/>
      </c>
      <c r="M769" s="443">
        <f>O769/$N$764</f>
        <v/>
      </c>
      <c r="N769" s="1365" t="n"/>
      <c r="O769" s="1349">
        <f>SUM(O770:O772)</f>
        <v/>
      </c>
      <c r="P769" s="561" t="n"/>
      <c r="Q769" s="1349" t="n"/>
    </row>
    <row r="770" outlineLevel="1" ht="27.6" customHeight="1">
      <c r="A770" s="230">
        <f>'01_Preço'!$A$555</f>
        <v/>
      </c>
      <c r="B770" s="168">
        <f>'01_Preço'!A558</f>
        <v/>
      </c>
      <c r="C770" s="168">
        <f>'01_Preço'!B558</f>
        <v/>
      </c>
      <c r="D770" s="167">
        <f>'01_Preço'!E558</f>
        <v/>
      </c>
      <c r="E770" s="450" t="n">
        <v>67</v>
      </c>
      <c r="F770" s="1395">
        <f>VLOOKUP(E770,'Tabela de mês'!$A$1:$B$70,2,TRUE)</f>
        <v/>
      </c>
      <c r="G770" s="510" t="inlineStr">
        <is>
          <t>451-SER</t>
        </is>
      </c>
      <c r="H770" s="163" t="inlineStr">
        <is>
          <t>INSIGHT</t>
        </is>
      </c>
      <c r="I770" s="163" t="inlineStr">
        <is>
          <t>INSIGHT</t>
        </is>
      </c>
      <c r="J770" s="163" t="n"/>
      <c r="K770" s="163" t="n"/>
      <c r="L770" s="167" t="inlineStr">
        <is>
          <t>Conclusão da montagem do Sistema de Controle de Acesso e Intrusão</t>
        </is>
      </c>
      <c r="M770" s="416">
        <f>O770/$O$769</f>
        <v/>
      </c>
      <c r="N770" s="1364" t="n"/>
      <c r="O770" s="1342" t="n">
        <v>104836.46</v>
      </c>
      <c r="P770" s="561" t="n"/>
      <c r="Q770" s="1342" t="n"/>
    </row>
    <row r="771" outlineLevel="1" ht="27.6" customHeight="1">
      <c r="A771" s="230">
        <f>'01_Preço'!$A$555</f>
        <v/>
      </c>
      <c r="B771" s="168">
        <f>'01_Preço'!A558</f>
        <v/>
      </c>
      <c r="C771" s="168">
        <f>'01_Preço'!B558</f>
        <v/>
      </c>
      <c r="D771" s="167">
        <f>'01_Preço'!E558</f>
        <v/>
      </c>
      <c r="E771" s="450" t="n">
        <v>31</v>
      </c>
      <c r="F771" s="1395">
        <f>VLOOKUP(E771,'Tabela de mês'!$A$1:$B$70,2,TRUE)</f>
        <v/>
      </c>
      <c r="G771" s="510" t="inlineStr">
        <is>
          <t>452-SER A</t>
        </is>
      </c>
      <c r="H771" s="163" t="inlineStr">
        <is>
          <t>INSIGHT</t>
        </is>
      </c>
      <c r="I771" s="163" t="inlineStr">
        <is>
          <t>INSIGHT</t>
        </is>
      </c>
      <c r="J771" s="163" t="n"/>
      <c r="K771" s="163" t="n"/>
      <c r="L771" s="167" t="inlineStr">
        <is>
          <t>Conclusão da montagem do Sistema de CFTV dos vertedouros e tomada d'água</t>
        </is>
      </c>
      <c r="M771" s="416">
        <f>O771/$O$769</f>
        <v/>
      </c>
      <c r="N771" s="1364" t="n"/>
      <c r="O771" s="1342" t="n">
        <v>77127.34</v>
      </c>
      <c r="P771" s="561" t="n"/>
      <c r="Q771" s="1342" t="n"/>
    </row>
    <row r="772" outlineLevel="1" ht="27.6" customHeight="1">
      <c r="A772" s="230">
        <f>'01_Preço'!$A$555</f>
        <v/>
      </c>
      <c r="B772" s="168">
        <f>'01_Preço'!A558</f>
        <v/>
      </c>
      <c r="C772" s="168">
        <f>'01_Preço'!B558</f>
        <v/>
      </c>
      <c r="D772" s="167">
        <f>'01_Preço'!E558</f>
        <v/>
      </c>
      <c r="E772" s="450" t="n">
        <v>55</v>
      </c>
      <c r="F772" s="1395">
        <f>VLOOKUP(E772,'Tabela de mês'!$A$1:$B$70,2,TRUE)</f>
        <v/>
      </c>
      <c r="G772" s="510" t="inlineStr">
        <is>
          <t>452-SER B</t>
        </is>
      </c>
      <c r="H772" s="163" t="inlineStr">
        <is>
          <t>INSIGHT</t>
        </is>
      </c>
      <c r="I772" s="163" t="inlineStr">
        <is>
          <t>INSIGHT</t>
        </is>
      </c>
      <c r="J772" s="163" t="n"/>
      <c r="K772" s="163" t="n"/>
      <c r="L772" s="167" t="inlineStr">
        <is>
          <t>Conclusão da montagem do Sistema de CFTV da casa de força</t>
        </is>
      </c>
      <c r="M772" s="416">
        <f>O772/$O$769</f>
        <v/>
      </c>
      <c r="N772" s="1364" t="n"/>
      <c r="O772" s="1342" t="n">
        <v>77127.34</v>
      </c>
      <c r="P772" s="561" t="n"/>
      <c r="Q772" s="1342" t="n"/>
    </row>
    <row r="773" outlineLevel="1" ht="27.6" customHeight="1">
      <c r="A773" s="461">
        <f>'01_Preço'!$A$555</f>
        <v/>
      </c>
      <c r="B773" s="441">
        <f>'01_Preço'!A560</f>
        <v/>
      </c>
      <c r="C773" s="469">
        <f>'01_Preço'!B560</f>
        <v/>
      </c>
      <c r="D773" s="442">
        <f>'01_Preço'!E560</f>
        <v/>
      </c>
      <c r="E773" s="462" t="n"/>
      <c r="F773" s="441" t="n"/>
      <c r="G773" s="441" t="n"/>
      <c r="H773" s="441" t="inlineStr">
        <is>
          <t>INSIGHT</t>
        </is>
      </c>
      <c r="I773" s="441" t="inlineStr">
        <is>
          <t>INSIGHT</t>
        </is>
      </c>
      <c r="J773" s="441" t="n"/>
      <c r="K773" s="441" t="n"/>
      <c r="L773" s="471">
        <f>'01_Preço'!E560</f>
        <v/>
      </c>
      <c r="M773" s="443">
        <f>O773/$N$764</f>
        <v/>
      </c>
      <c r="N773" s="1365" t="n"/>
      <c r="O773" s="1349">
        <f>SUM(O774:O775)</f>
        <v/>
      </c>
      <c r="P773" s="561" t="n"/>
      <c r="Q773" s="1349" t="n"/>
    </row>
    <row r="774" outlineLevel="1" ht="27.6" customHeight="1">
      <c r="A774" s="230">
        <f>'01_Preço'!$A$555</f>
        <v/>
      </c>
      <c r="B774" s="168">
        <f>'01_Preço'!A560</f>
        <v/>
      </c>
      <c r="C774" s="168">
        <f>'01_Preço'!B560</f>
        <v/>
      </c>
      <c r="D774" s="167">
        <f>'01_Preço'!E560</f>
        <v/>
      </c>
      <c r="E774" s="450" t="n">
        <v>33</v>
      </c>
      <c r="F774" s="1339">
        <f>VLOOKUP(E774,'Tabela de mês'!$A$1:$B$54,2,TRUE)</f>
        <v/>
      </c>
      <c r="G774" s="510" t="inlineStr">
        <is>
          <t>453-SER A</t>
        </is>
      </c>
      <c r="H774" s="163" t="inlineStr">
        <is>
          <t>INSIGHT</t>
        </is>
      </c>
      <c r="I774" s="163" t="inlineStr">
        <is>
          <t>INSIGHT</t>
        </is>
      </c>
      <c r="J774" s="163" t="n"/>
      <c r="K774" s="163" t="n"/>
      <c r="L774" s="167" t="inlineStr">
        <is>
          <t>Conclusão do comissionamento do Sistema de CFTV dos vertedouros e tomada d'água</t>
        </is>
      </c>
      <c r="M774" s="416">
        <f>O774/$O$769</f>
        <v/>
      </c>
      <c r="N774" s="1364" t="n"/>
      <c r="O774" s="1342" t="n">
        <v>46193.28</v>
      </c>
      <c r="P774" s="561" t="n"/>
      <c r="Q774" s="1342" t="n"/>
    </row>
    <row r="775" outlineLevel="1" ht="27.6" customHeight="1">
      <c r="A775" s="230">
        <f>'01_Preço'!$A$555</f>
        <v/>
      </c>
      <c r="B775" s="168">
        <f>'01_Preço'!A560</f>
        <v/>
      </c>
      <c r="C775" s="168">
        <f>'01_Preço'!B560</f>
        <v/>
      </c>
      <c r="D775" s="167">
        <f>'01_Preço'!E560</f>
        <v/>
      </c>
      <c r="E775" s="450" t="n">
        <v>57</v>
      </c>
      <c r="F775" s="1339">
        <f>VLOOKUP(E775,'Tabela de mês'!$A$1:$B$54,2,TRUE)</f>
        <v/>
      </c>
      <c r="G775" s="510" t="inlineStr">
        <is>
          <t>453-SER B</t>
        </is>
      </c>
      <c r="H775" s="163" t="inlineStr">
        <is>
          <t>INSIGHT</t>
        </is>
      </c>
      <c r="I775" s="163" t="inlineStr">
        <is>
          <t>INSIGHT</t>
        </is>
      </c>
      <c r="J775" s="163" t="n"/>
      <c r="K775" s="163" t="n"/>
      <c r="L775" s="167" t="inlineStr">
        <is>
          <t>Conclusão do comissionamento do Sistema de CFTV da casa de força</t>
        </is>
      </c>
      <c r="M775" s="416">
        <f>O775/$O$769</f>
        <v/>
      </c>
      <c r="N775" s="1364" t="n"/>
      <c r="O775" s="1342" t="n">
        <v>46193.28</v>
      </c>
      <c r="P775" s="561" t="n"/>
      <c r="Q775" s="1342" t="n"/>
    </row>
    <row r="776" outlineLevel="1" ht="41.4" customHeight="1">
      <c r="A776" s="461">
        <f>'01_Preço'!$A$555</f>
        <v/>
      </c>
      <c r="B776" s="441">
        <f>'01_Preço'!A562</f>
        <v/>
      </c>
      <c r="C776" s="469">
        <f>'01_Preço'!B562</f>
        <v/>
      </c>
      <c r="D776" s="442">
        <f>'01_Preço'!E562</f>
        <v/>
      </c>
      <c r="E776" s="462" t="n">
        <v>65</v>
      </c>
      <c r="F776" s="1348">
        <f>VLOOKUP(E776,'Tabela de mês'!$A$1:$B$54,2,TRUE)</f>
        <v/>
      </c>
      <c r="G776" s="510" t="inlineStr">
        <is>
          <t>449-MAT</t>
        </is>
      </c>
      <c r="H776" s="441" t="inlineStr">
        <is>
          <t>INSIGHT</t>
        </is>
      </c>
      <c r="I776" s="441" t="inlineStr">
        <is>
          <t>INSIGHT</t>
        </is>
      </c>
      <c r="J776" s="441" t="n"/>
      <c r="K776" s="441" t="n"/>
      <c r="L776" s="471" t="inlineStr">
        <is>
          <t>Entrega em campo dos equipamentos e componentes do Sistema de Controle de Acesso e Intrusão</t>
        </is>
      </c>
      <c r="M776" s="443">
        <f>O776/$N$764</f>
        <v/>
      </c>
      <c r="N776" s="1365" t="n"/>
      <c r="O776" s="1349" t="n">
        <v>331859.52</v>
      </c>
      <c r="P776" s="556" t="n">
        <v>61</v>
      </c>
      <c r="Q776" s="1349" t="n">
        <v>99557.856</v>
      </c>
    </row>
    <row r="777" outlineLevel="1" ht="27.6" customHeight="1">
      <c r="A777" s="461">
        <f>'01_Preço'!$A$555</f>
        <v/>
      </c>
      <c r="B777" s="441">
        <f>'01_Preço'!A564</f>
        <v/>
      </c>
      <c r="C777" s="469">
        <f>'01_Preço'!B564</f>
        <v/>
      </c>
      <c r="D777" s="442">
        <f>'01_Preço'!E564</f>
        <v/>
      </c>
      <c r="E777" s="462" t="n"/>
      <c r="F777" s="441" t="n"/>
      <c r="G777" s="441" t="n"/>
      <c r="H777" s="441" t="inlineStr">
        <is>
          <t>INSIGHT</t>
        </is>
      </c>
      <c r="I777" s="441" t="inlineStr">
        <is>
          <t>INSIGHT</t>
        </is>
      </c>
      <c r="J777" s="441" t="n"/>
      <c r="K777" s="441" t="n"/>
      <c r="L777" s="471">
        <f>'01_Preço'!E564</f>
        <v/>
      </c>
      <c r="M777" s="443">
        <f>O777/$N$764</f>
        <v/>
      </c>
      <c r="N777" s="1357" t="n"/>
      <c r="O777" s="1349">
        <f>SUM(O778:O779)</f>
        <v/>
      </c>
      <c r="P777" s="1346" t="n"/>
      <c r="Q777" s="1349" t="n"/>
    </row>
    <row r="778" outlineLevel="1" ht="27.6" customHeight="1">
      <c r="A778" s="230">
        <f>'01_Preço'!$A$555</f>
        <v/>
      </c>
      <c r="B778" s="168">
        <f>'01_Preço'!A564</f>
        <v/>
      </c>
      <c r="C778" s="168">
        <f>'01_Preço'!B564</f>
        <v/>
      </c>
      <c r="D778" s="167">
        <f>'01_Preço'!E564</f>
        <v/>
      </c>
      <c r="E778" s="450" t="n">
        <v>29</v>
      </c>
      <c r="F778" s="1339">
        <f>VLOOKUP(E778,'Tabela de mês'!$A$1:$B$54,2,TRUE)</f>
        <v/>
      </c>
      <c r="G778" s="510" t="inlineStr">
        <is>
          <t>450-MAT A</t>
        </is>
      </c>
      <c r="H778" s="163" t="inlineStr">
        <is>
          <t>INSIGHT</t>
        </is>
      </c>
      <c r="I778" s="163" t="inlineStr">
        <is>
          <t>INSIGHT</t>
        </is>
      </c>
      <c r="J778" s="163" t="n"/>
      <c r="K778" s="163" t="n"/>
      <c r="L778" s="167" t="inlineStr">
        <is>
          <t>Entrega de equipamentos e materiais do Sistema de CFTV dos vertedouros e tomada d'água</t>
        </is>
      </c>
      <c r="M778" s="416">
        <f>O778/$O$777</f>
        <v/>
      </c>
      <c r="N778" s="1342" t="n"/>
      <c r="O778" s="1342" t="n">
        <v>188238.79</v>
      </c>
      <c r="P778" s="450" t="n">
        <v>29</v>
      </c>
      <c r="Q778" s="1342" t="n">
        <v>94119.394</v>
      </c>
    </row>
    <row r="779" outlineLevel="1" ht="28.2" customHeight="1" thickBot="1">
      <c r="A779" s="232">
        <f>'01_Preço'!$A$555</f>
        <v/>
      </c>
      <c r="B779" s="176">
        <f>'01_Preço'!A564</f>
        <v/>
      </c>
      <c r="C779" s="176">
        <f>'01_Preço'!B564</f>
        <v/>
      </c>
      <c r="D779" s="180">
        <f>'01_Preço'!E564</f>
        <v/>
      </c>
      <c r="E779" s="454" t="n">
        <v>53</v>
      </c>
      <c r="F779" s="1397">
        <f>VLOOKUP(E779,'Tabela de mês'!$A$1:$B$54,2,TRUE)</f>
        <v/>
      </c>
      <c r="G779" s="518" t="inlineStr">
        <is>
          <t>450-MAT B</t>
        </is>
      </c>
      <c r="H779" s="179" t="inlineStr">
        <is>
          <t>INSIGHT</t>
        </is>
      </c>
      <c r="I779" s="179" t="inlineStr">
        <is>
          <t>INSIGHT</t>
        </is>
      </c>
      <c r="J779" s="179" t="n"/>
      <c r="K779" s="179" t="n"/>
      <c r="L779" s="180" t="inlineStr">
        <is>
          <t>Entrega de equipamentos e materiais do Sistema de CFTV da casa de força</t>
        </is>
      </c>
      <c r="M779" s="421">
        <f>O779/$O$777</f>
        <v/>
      </c>
      <c r="N779" s="1364" t="n"/>
      <c r="O779" s="1342" t="n">
        <v>282358.18</v>
      </c>
      <c r="P779" s="561" t="n">
        <v>63</v>
      </c>
      <c r="Q779" s="1342" t="n">
        <v>141179.091</v>
      </c>
    </row>
    <row r="780" ht="16.2" customHeight="1" thickBot="1">
      <c r="A780" s="1332" t="inlineStr">
        <is>
          <t>2.30 - Vertedouro Santo Antônio - Adequações das Instalações Elétricas</t>
        </is>
      </c>
      <c r="B780" s="1139" t="n"/>
      <c r="C780" s="1139" t="n"/>
      <c r="D780" s="1139" t="n"/>
      <c r="E780" s="1139" t="n"/>
      <c r="F780" s="1139" t="n"/>
      <c r="G780" s="1139" t="n"/>
      <c r="H780" s="1139" t="n"/>
      <c r="I780" s="1139" t="n"/>
      <c r="J780" s="1139" t="n"/>
      <c r="K780" s="1139" t="n"/>
      <c r="L780" s="1139" t="n"/>
      <c r="M780" s="1140" t="n"/>
      <c r="N780" s="1360">
        <f>SUM(O781,O787,O790:O792)</f>
        <v/>
      </c>
      <c r="O780" s="503" t="n"/>
      <c r="P780" s="503" t="n"/>
      <c r="Q780" s="503" t="n"/>
    </row>
    <row r="781" outlineLevel="1" ht="41.4" customHeight="1">
      <c r="A781" s="464">
        <f>'01_Preço'!$A$566</f>
        <v/>
      </c>
      <c r="B781" s="486">
        <f>'01_Preço'!A567</f>
        <v/>
      </c>
      <c r="C781" s="486">
        <f>'01_Preço'!B567</f>
        <v/>
      </c>
      <c r="D781" s="475">
        <f>'01_Preço'!E567</f>
        <v/>
      </c>
      <c r="E781" s="714" t="n"/>
      <c r="F781" s="714" t="n"/>
      <c r="G781" s="487" t="n"/>
      <c r="H781" s="487" t="n"/>
      <c r="I781" s="487" t="n"/>
      <c r="J781" s="487" t="n"/>
      <c r="K781" s="487" t="n"/>
      <c r="L781" s="678">
        <f>'01_Preço'!E567</f>
        <v/>
      </c>
      <c r="M781" s="679">
        <f>O781/$N$780</f>
        <v/>
      </c>
      <c r="N781" s="1369" t="n"/>
      <c r="O781" s="1354">
        <f>SUM(O782:O786)</f>
        <v/>
      </c>
      <c r="P781" s="561" t="n"/>
      <c r="Q781" s="1349" t="n"/>
    </row>
    <row r="782" outlineLevel="1" ht="41.4" customHeight="1">
      <c r="A782" s="393">
        <f>'01_Preço'!$A$566</f>
        <v/>
      </c>
      <c r="B782" s="413">
        <f>'01_Preço'!A567</f>
        <v/>
      </c>
      <c r="C782" s="413">
        <f>'01_Preço'!B567</f>
        <v/>
      </c>
      <c r="D782" s="414">
        <f>'01_Preço'!E567</f>
        <v/>
      </c>
      <c r="E782" s="450" t="n">
        <v>16</v>
      </c>
      <c r="F782" s="1339">
        <f>VLOOKUP(E782,'Tabela de mês'!$A$1:$B$70,2,TRUE)</f>
        <v/>
      </c>
      <c r="G782" s="511" t="inlineStr">
        <is>
          <t>454-SER</t>
        </is>
      </c>
      <c r="H782" s="163" t="inlineStr">
        <is>
          <t>INSIGHT</t>
        </is>
      </c>
      <c r="I782" s="163" t="inlineStr">
        <is>
          <t>INSIGHT</t>
        </is>
      </c>
      <c r="J782" s="163" t="n"/>
      <c r="K782" s="163" t="n"/>
      <c r="L782" s="423" t="inlineStr">
        <is>
          <t>Aprovação do Plano de Emissão de Documentos das Adequações das Instalações Elétricas - Vertedouro Santo Antônio</t>
        </is>
      </c>
      <c r="M782" s="391">
        <f>O782/$O$781</f>
        <v/>
      </c>
      <c r="N782" s="1340" t="n"/>
      <c r="O782" s="1340" t="n">
        <v>4146.03</v>
      </c>
      <c r="P782" s="561" t="n"/>
      <c r="Q782" s="1340" t="n"/>
      <c r="S782" s="662" t="inlineStr">
        <is>
          <t>SIM</t>
        </is>
      </c>
    </row>
    <row r="783" outlineLevel="1" ht="41.4" customHeight="1">
      <c r="A783" s="668">
        <f>'01_Preço'!$A$566</f>
        <v/>
      </c>
      <c r="B783" s="170">
        <f>'01_Preço'!A567</f>
        <v/>
      </c>
      <c r="C783" s="170">
        <f>'01_Preço'!B567</f>
        <v/>
      </c>
      <c r="D783" s="162">
        <f>'01_Preço'!E567</f>
        <v/>
      </c>
      <c r="E783" s="453" t="n">
        <v>32</v>
      </c>
      <c r="F783" s="1343">
        <f>VLOOKUP(E783,'Tabela de mês'!$A$1:$B$70,2,TRUE)</f>
        <v/>
      </c>
      <c r="G783" s="513" t="inlineStr">
        <is>
          <t>455-SER</t>
        </is>
      </c>
      <c r="H783" s="161" t="inlineStr">
        <is>
          <t>INSIGHT</t>
        </is>
      </c>
      <c r="I783" s="161" t="inlineStr">
        <is>
          <t>INSIGHT</t>
        </is>
      </c>
      <c r="J783" s="161" t="n"/>
      <c r="K783" s="161" t="n"/>
      <c r="L783" s="164" t="inlineStr">
        <is>
          <t>Aprovação do Diagrama Unifilar dos Serviços Auxiliares Elétricos do Vertedouro Santo Antônio</t>
        </is>
      </c>
      <c r="M783" s="416">
        <f>O783/$O$781</f>
        <v/>
      </c>
      <c r="N783" s="1373" t="n"/>
      <c r="O783" s="1373" t="n">
        <v>4146.03</v>
      </c>
      <c r="P783" s="561" t="n"/>
      <c r="Q783" s="1340" t="n"/>
    </row>
    <row r="784" outlineLevel="1" ht="41.4" customHeight="1">
      <c r="A784" s="393">
        <f>'01_Preço'!$A$566</f>
        <v/>
      </c>
      <c r="B784" s="168">
        <f>'01_Preço'!A567</f>
        <v/>
      </c>
      <c r="C784" s="168">
        <f>'01_Preço'!B567</f>
        <v/>
      </c>
      <c r="D784" s="167">
        <f>'01_Preço'!E567</f>
        <v/>
      </c>
      <c r="E784" s="453" t="n">
        <v>32</v>
      </c>
      <c r="F784" s="1343">
        <f>VLOOKUP(E784,'Tabela de mês'!$A$1:$B$70,2,TRUE)</f>
        <v/>
      </c>
      <c r="G784" s="511" t="inlineStr">
        <is>
          <t>456-SER</t>
        </is>
      </c>
      <c r="H784" s="163" t="inlineStr">
        <is>
          <t>INSIGHT</t>
        </is>
      </c>
      <c r="I784" s="163" t="inlineStr">
        <is>
          <t>INSIGHT</t>
        </is>
      </c>
      <c r="J784" s="163" t="n"/>
      <c r="K784" s="163" t="n"/>
      <c r="L784" s="165" t="inlineStr">
        <is>
          <t>Aprovação da Memória de Cálculo e Dimensionamento dos Serviços Auxiliares Elétricos - Vertedouro Santo Antônio</t>
        </is>
      </c>
      <c r="M784" s="391">
        <f>O784/$O$781</f>
        <v/>
      </c>
      <c r="N784" s="1342" t="n"/>
      <c r="O784" s="1342" t="n">
        <v>12438.1</v>
      </c>
      <c r="P784" s="561" t="n"/>
      <c r="Q784" s="1340" t="n"/>
    </row>
    <row r="785" outlineLevel="1" ht="41.4" customHeight="1">
      <c r="A785" s="230">
        <f>'01_Preço'!$A$566</f>
        <v/>
      </c>
      <c r="B785" s="168">
        <f>'01_Preço'!A567</f>
        <v/>
      </c>
      <c r="C785" s="168">
        <f>'01_Preço'!B567</f>
        <v/>
      </c>
      <c r="D785" s="169">
        <f>'01_Preço'!E567</f>
        <v/>
      </c>
      <c r="E785" s="453" t="n">
        <v>32</v>
      </c>
      <c r="F785" s="1343">
        <f>VLOOKUP(E785,'Tabela de mês'!$A$1:$B$70,2,TRUE)</f>
        <v/>
      </c>
      <c r="G785" s="511" t="inlineStr">
        <is>
          <t>457-SER</t>
        </is>
      </c>
      <c r="H785" s="161" t="inlineStr">
        <is>
          <t>INSIGHT</t>
        </is>
      </c>
      <c r="I785" s="161" t="inlineStr">
        <is>
          <t>INSIGHT</t>
        </is>
      </c>
      <c r="J785" s="161" t="n"/>
      <c r="K785" s="161" t="n"/>
      <c r="L785" s="164" t="inlineStr">
        <is>
          <t>Aprovação completa dos Documentos do Projeto Executivo e de Fabricação das Adequações das Instalações Elétricas - Vertedouro Santo Antônio</t>
        </is>
      </c>
      <c r="M785" s="391">
        <f>O785/$O$781</f>
        <v/>
      </c>
      <c r="N785" s="1364" t="n"/>
      <c r="O785" s="1342" t="n">
        <v>53898.44</v>
      </c>
      <c r="P785" s="561" t="n"/>
      <c r="Q785" s="1342" t="n"/>
    </row>
    <row r="786" outlineLevel="1" ht="41.4" customHeight="1">
      <c r="A786" s="230">
        <f>'01_Preço'!$A$566</f>
        <v/>
      </c>
      <c r="B786" s="168">
        <f>'01_Preço'!A567</f>
        <v/>
      </c>
      <c r="C786" s="168">
        <f>'01_Preço'!B567</f>
        <v/>
      </c>
      <c r="D786" s="167">
        <f>'01_Preço'!E567</f>
        <v/>
      </c>
      <c r="E786" s="453" t="n">
        <v>65</v>
      </c>
      <c r="F786" s="1343">
        <f>VLOOKUP(E786,'Tabela de mês'!$A$1:$B$70,2,TRUE)</f>
        <v/>
      </c>
      <c r="G786" s="511" t="inlineStr">
        <is>
          <t>458-SER</t>
        </is>
      </c>
      <c r="H786" s="161" t="inlineStr">
        <is>
          <t>INSIGHT</t>
        </is>
      </c>
      <c r="I786" s="161" t="inlineStr">
        <is>
          <t>INSIGHT</t>
        </is>
      </c>
      <c r="J786" s="161" t="n"/>
      <c r="K786" s="161" t="n"/>
      <c r="L786" s="164" t="inlineStr">
        <is>
          <t>Aprovação da versão conforme construído do Projeto das Adequações das Instalações Elétricas - Vertedouro Santo Antônio</t>
        </is>
      </c>
      <c r="M786" s="391">
        <f>O786/$O$781</f>
        <v/>
      </c>
      <c r="N786" s="1364" t="n"/>
      <c r="O786" s="1342" t="n">
        <v>8292.07</v>
      </c>
      <c r="P786" s="561" t="n"/>
      <c r="Q786" s="1342" t="n"/>
    </row>
    <row r="787" outlineLevel="1" ht="41.4" customHeight="1">
      <c r="A787" s="472">
        <f>'01_Preço'!$A$566</f>
        <v/>
      </c>
      <c r="B787" s="467">
        <f>'01_Preço'!A569</f>
        <v/>
      </c>
      <c r="C787" s="467">
        <f>'01_Preço'!B569</f>
        <v/>
      </c>
      <c r="D787" s="437">
        <f>'01_Preço'!E569</f>
        <v/>
      </c>
      <c r="E787" s="462" t="n"/>
      <c r="F787" s="462" t="n"/>
      <c r="G787" s="436" t="n"/>
      <c r="H787" s="436" t="n"/>
      <c r="I787" s="436" t="n"/>
      <c r="J787" s="436" t="n"/>
      <c r="K787" s="436" t="n"/>
      <c r="L787" s="470">
        <f>'01_Preço'!E569</f>
        <v/>
      </c>
      <c r="M787" s="446">
        <f>O787/$N$780</f>
        <v/>
      </c>
      <c r="N787" s="1365" t="n"/>
      <c r="O787" s="1349">
        <f>SUM(O788:O789)</f>
        <v/>
      </c>
      <c r="P787" s="561" t="n"/>
      <c r="Q787" s="1349" t="n"/>
    </row>
    <row r="788" outlineLevel="1" ht="41.4" customHeight="1">
      <c r="A788" s="230" t="inlineStr">
        <is>
          <t>2.30 - Vertedouro Santo Antônio - Adequações das Instalações Elétricas</t>
        </is>
      </c>
      <c r="B788" s="426">
        <f>'01_Preço'!A569</f>
        <v/>
      </c>
      <c r="C788" s="168">
        <f>'01_Preço'!B569</f>
        <v/>
      </c>
      <c r="D788" s="390">
        <f>'01_Preço'!E569</f>
        <v/>
      </c>
      <c r="E788" s="453" t="n">
        <v>38</v>
      </c>
      <c r="F788" s="1343">
        <f>VLOOKUP(E788,'Tabela de mês'!$A$1:$B$70,2,TRUE)</f>
        <v/>
      </c>
      <c r="G788" s="510" t="inlineStr">
        <is>
          <t>460-SER A</t>
        </is>
      </c>
      <c r="H788" s="161" t="inlineStr">
        <is>
          <t>INSIGHT</t>
        </is>
      </c>
      <c r="I788" s="161" t="inlineStr">
        <is>
          <t>INSIGHT</t>
        </is>
      </c>
      <c r="J788" s="161" t="n"/>
      <c r="K788" s="161" t="n"/>
      <c r="L788" s="164" t="inlineStr">
        <is>
          <t>Conclusão da desmontagem de todos equipamentos e componentes do Vertedouro Santo Antônio</t>
        </is>
      </c>
      <c r="M788" s="391">
        <f>O788/$O$787</f>
        <v/>
      </c>
      <c r="N788" s="416" t="n"/>
      <c r="O788" s="1342" t="n">
        <v>72662.45</v>
      </c>
      <c r="P788" s="561" t="n"/>
      <c r="Q788" s="1347" t="n"/>
    </row>
    <row r="789" outlineLevel="1" ht="41.4" customHeight="1">
      <c r="A789" s="230" t="inlineStr">
        <is>
          <t>2.30 - Vertedouro Santo Antônio - Adequações das Instalações Elétricas</t>
        </is>
      </c>
      <c r="B789" s="426">
        <f>'01_Preço'!A569</f>
        <v/>
      </c>
      <c r="C789" s="168">
        <f>'01_Preço'!B569</f>
        <v/>
      </c>
      <c r="D789" s="169" t="inlineStr">
        <is>
          <t>Desmontagem, adequação e montagem eletromecânica completa</t>
        </is>
      </c>
      <c r="E789" s="453" t="n">
        <v>39</v>
      </c>
      <c r="F789" s="1343">
        <f>VLOOKUP(E789,'Tabela de mês'!$A$1:$B$70,2,TRUE)</f>
        <v/>
      </c>
      <c r="G789" s="510" t="inlineStr">
        <is>
          <t>460-SER B</t>
        </is>
      </c>
      <c r="H789" s="161" t="inlineStr">
        <is>
          <t>INSIGHT</t>
        </is>
      </c>
      <c r="I789" s="161" t="inlineStr">
        <is>
          <t>INSIGHT</t>
        </is>
      </c>
      <c r="J789" s="161" t="n"/>
      <c r="K789" s="161" t="n"/>
      <c r="L789" s="164" t="inlineStr">
        <is>
          <t>Conclusão da montagem de todos equipamentos e componentes do Vertedouro Santo Antônio</t>
        </is>
      </c>
      <c r="M789" s="391">
        <f>O789/$O$787</f>
        <v/>
      </c>
      <c r="N789" s="416" t="n"/>
      <c r="O789" s="1342" t="n">
        <v>72662.45</v>
      </c>
      <c r="P789" s="561" t="n"/>
      <c r="Q789" s="1347" t="n"/>
    </row>
    <row r="790" outlineLevel="1" ht="41.4" customHeight="1">
      <c r="A790" s="472">
        <f>'01_Preço'!$A$566</f>
        <v/>
      </c>
      <c r="B790" s="467">
        <f>'01_Preço'!A571</f>
        <v/>
      </c>
      <c r="C790" s="467">
        <f>'01_Preço'!B571</f>
        <v/>
      </c>
      <c r="D790" s="437">
        <f>'01_Preço'!E571</f>
        <v/>
      </c>
      <c r="E790" s="449" t="n">
        <v>40</v>
      </c>
      <c r="F790" s="1348">
        <f>VLOOKUP(E790,'Tabela de mês'!$A$1:$B$70,2,TRUE)</f>
        <v/>
      </c>
      <c r="G790" s="511" t="inlineStr">
        <is>
          <t>461-SER</t>
        </is>
      </c>
      <c r="H790" s="436" t="inlineStr">
        <is>
          <t>INSIGHT</t>
        </is>
      </c>
      <c r="I790" s="436" t="inlineStr">
        <is>
          <t>INSIGHT</t>
        </is>
      </c>
      <c r="J790" s="436" t="n"/>
      <c r="K790" s="436" t="n"/>
      <c r="L790" s="470" t="inlineStr">
        <is>
          <t>Conclusão da supervisão, ensaios de campo e comissionamento</t>
        </is>
      </c>
      <c r="M790" s="446">
        <f>O790/$N$780</f>
        <v/>
      </c>
      <c r="N790" s="1365" t="n"/>
      <c r="O790" s="1349" t="n">
        <v>49410.47</v>
      </c>
      <c r="P790" s="561" t="n"/>
      <c r="Q790" s="1349" t="n"/>
    </row>
    <row r="791" outlineLevel="1" ht="41.4" customHeight="1">
      <c r="A791" s="472">
        <f>'01_Preço'!$A$566</f>
        <v/>
      </c>
      <c r="B791" s="467">
        <f>'01_Preço'!A573</f>
        <v/>
      </c>
      <c r="C791" s="467">
        <f>'01_Preço'!B573</f>
        <v/>
      </c>
      <c r="D791" s="437">
        <f>'01_Preço'!E573</f>
        <v/>
      </c>
      <c r="E791" s="449" t="n">
        <v>30</v>
      </c>
      <c r="F791" s="1348">
        <f>VLOOKUP(E791,'Tabela de mês'!$A$1:$B$70,2,TRUE)</f>
        <v/>
      </c>
      <c r="G791" s="510" t="inlineStr">
        <is>
          <t>459-MAT A</t>
        </is>
      </c>
      <c r="H791" s="441" t="inlineStr">
        <is>
          <t>MS GERADORES</t>
        </is>
      </c>
      <c r="I791" s="497" t="inlineStr">
        <is>
          <t>FAT. DIRETO</t>
        </is>
      </c>
      <c r="J791" s="436" t="n"/>
      <c r="K791" s="436" t="n"/>
      <c r="L791" s="470" t="inlineStr">
        <is>
          <t>Entrega em campo do Grupo Gerador Diesel de Emergência 100kVA</t>
        </is>
      </c>
      <c r="M791" s="446">
        <f>O791/$N$780</f>
        <v/>
      </c>
      <c r="N791" s="1365" t="n"/>
      <c r="O791" s="1349" t="n">
        <v>127000</v>
      </c>
      <c r="P791" s="552" t="n"/>
      <c r="Q791" s="1349" t="n"/>
    </row>
    <row r="792" outlineLevel="1" ht="42" customHeight="1" thickBot="1">
      <c r="A792" s="472">
        <f>'01_Preço'!$A$566</f>
        <v/>
      </c>
      <c r="B792" s="467">
        <f>CONCATENATE('01_Preço'!$A$575," a ",'01_Preço'!$A$585,)</f>
        <v/>
      </c>
      <c r="C792" s="467">
        <f>'01_Preço'!B577</f>
        <v/>
      </c>
      <c r="D792" s="437">
        <f>'01_Preço'!E577</f>
        <v/>
      </c>
      <c r="E792" s="449" t="n">
        <v>37</v>
      </c>
      <c r="F792" s="1348">
        <f>VLOOKUP(E792,'Tabela de mês'!$A$1:$B$70,2,TRUE)</f>
        <v/>
      </c>
      <c r="G792" s="510" t="inlineStr">
        <is>
          <t>459-MAT B</t>
        </is>
      </c>
      <c r="H792" s="436" t="inlineStr">
        <is>
          <t>INSIGHT</t>
        </is>
      </c>
      <c r="I792" s="436" t="inlineStr">
        <is>
          <t>INSIGHT</t>
        </is>
      </c>
      <c r="J792" s="436" t="n"/>
      <c r="K792" s="436" t="n"/>
      <c r="L792" s="470" t="inlineStr">
        <is>
          <t>Entrega em campo de equipamentos e materiais elétricos</t>
        </is>
      </c>
      <c r="M792" s="446">
        <f>O792/$N$780</f>
        <v/>
      </c>
      <c r="N792" s="1365" t="n"/>
      <c r="O792" s="1349" t="n">
        <v>1105526.21</v>
      </c>
      <c r="P792" s="552" t="n">
        <v>30</v>
      </c>
      <c r="Q792" s="1349" t="n">
        <v>910793.9430967737</v>
      </c>
    </row>
    <row r="793" ht="16.2" customHeight="1" thickBot="1">
      <c r="A793" s="1332" t="inlineStr">
        <is>
          <t>2.31 - Vertedouro Guanhães - Adequações das Instalações Elétricas</t>
        </is>
      </c>
      <c r="B793" s="1139" t="n"/>
      <c r="C793" s="1139" t="n"/>
      <c r="D793" s="1139" t="n"/>
      <c r="E793" s="1139" t="n"/>
      <c r="F793" s="1139" t="n"/>
      <c r="G793" s="1139" t="n"/>
      <c r="H793" s="1139" t="n"/>
      <c r="I793" s="1139" t="n"/>
      <c r="J793" s="1139" t="n"/>
      <c r="K793" s="1139" t="n"/>
      <c r="L793" s="1139" t="n"/>
      <c r="M793" s="1140" t="n"/>
      <c r="N793" s="1360">
        <f>SUM(O794,O800,O803:O806)</f>
        <v/>
      </c>
      <c r="O793" s="503" t="n"/>
      <c r="P793" s="503" t="n"/>
      <c r="Q793" s="503" t="n"/>
    </row>
    <row r="794" outlineLevel="1" ht="41.4" customHeight="1">
      <c r="A794" s="676">
        <f>'01_Preço'!$A$587</f>
        <v/>
      </c>
      <c r="B794" s="486">
        <f>'01_Preço'!A588</f>
        <v/>
      </c>
      <c r="C794" s="486">
        <f>'01_Preço'!B588</f>
        <v/>
      </c>
      <c r="D794" s="475">
        <f>'01_Preço'!E588</f>
        <v/>
      </c>
      <c r="E794" s="479" t="n"/>
      <c r="F794" s="479" t="n"/>
      <c r="G794" s="487" t="n"/>
      <c r="H794" s="487" t="n"/>
      <c r="I794" s="487" t="n"/>
      <c r="J794" s="487" t="n"/>
      <c r="K794" s="487" t="n"/>
      <c r="L794" s="475">
        <f>'01_Preço'!E588</f>
        <v/>
      </c>
      <c r="M794" s="679">
        <f>O794/$N$793</f>
        <v/>
      </c>
      <c r="N794" s="1361" t="n"/>
      <c r="O794" s="1362">
        <f>SUM(O795:O799)</f>
        <v/>
      </c>
      <c r="P794" s="552" t="n"/>
      <c r="Q794" s="1349" t="n"/>
    </row>
    <row r="795" outlineLevel="1" ht="41.4" customHeight="1">
      <c r="A795" s="393">
        <f>'01_Preço'!$A$587</f>
        <v/>
      </c>
      <c r="B795" s="413">
        <f>'01_Preço'!A588</f>
        <v/>
      </c>
      <c r="C795" s="413">
        <f>'01_Preço'!B588</f>
        <v/>
      </c>
      <c r="D795" s="414">
        <f>'01_Preço'!E588</f>
        <v/>
      </c>
      <c r="E795" s="450" t="n">
        <v>16</v>
      </c>
      <c r="F795" s="1339">
        <f>VLOOKUP(E795,'Tabela de mês'!$A$1:$B$70,2,TRUE)</f>
        <v/>
      </c>
      <c r="G795" s="511" t="inlineStr">
        <is>
          <t>462-SER</t>
        </is>
      </c>
      <c r="H795" s="389" t="inlineStr">
        <is>
          <t>INSIGHT</t>
        </is>
      </c>
      <c r="I795" s="389" t="inlineStr">
        <is>
          <t>INSIGHT</t>
        </is>
      </c>
      <c r="J795" s="389" t="n"/>
      <c r="K795" s="389" t="n"/>
      <c r="L795" s="423" t="inlineStr">
        <is>
          <t>Aprovação do Plano de Emissão de Documentos das Adequações das Instalações Elétricas - Vertedouro Guanhães</t>
        </is>
      </c>
      <c r="M795" s="391">
        <f>O795/$O$794</f>
        <v/>
      </c>
      <c r="N795" s="1340" t="n"/>
      <c r="O795" s="1340" t="n">
        <v>7551.21</v>
      </c>
      <c r="P795" s="565" t="n"/>
      <c r="Q795" s="1338" t="n"/>
      <c r="S795" s="662" t="inlineStr">
        <is>
          <t>SIM</t>
        </is>
      </c>
    </row>
    <row r="796" outlineLevel="1" ht="41.4" customHeight="1">
      <c r="A796" s="228">
        <f>'01_Preço'!$A$587</f>
        <v/>
      </c>
      <c r="B796" s="170">
        <f>'01_Preço'!A588</f>
        <v/>
      </c>
      <c r="C796" s="170">
        <f>'01_Preço'!B588</f>
        <v/>
      </c>
      <c r="D796" s="162">
        <f>'01_Preço'!E588</f>
        <v/>
      </c>
      <c r="E796" s="453" t="n">
        <v>32</v>
      </c>
      <c r="F796" s="1343">
        <f>VLOOKUP(E796,'Tabela de mês'!$A$1:$B$70,2,TRUE)</f>
        <v/>
      </c>
      <c r="G796" s="513" t="inlineStr">
        <is>
          <t>463-SER</t>
        </is>
      </c>
      <c r="H796" s="161" t="inlineStr">
        <is>
          <t>INSIGHT</t>
        </is>
      </c>
      <c r="I796" s="161" t="inlineStr">
        <is>
          <t>INSIGHT</t>
        </is>
      </c>
      <c r="J796" s="161" t="n"/>
      <c r="K796" s="161" t="n"/>
      <c r="L796" s="164" t="inlineStr">
        <is>
          <t>Aprovação do Diagrama Unifilar dos Serviços Auxiliares Elétricos do Vertedouro Guanhães</t>
        </is>
      </c>
      <c r="M796" s="416">
        <f>O796/$O$794</f>
        <v/>
      </c>
      <c r="N796" s="1344" t="n"/>
      <c r="O796" s="1373" t="n">
        <v>7551.21</v>
      </c>
      <c r="P796" s="565" t="n"/>
      <c r="Q796" s="1338" t="n"/>
    </row>
    <row r="797" outlineLevel="1" ht="41.4" customHeight="1">
      <c r="A797" s="230">
        <f>'01_Preço'!$A$587</f>
        <v/>
      </c>
      <c r="B797" s="168">
        <f>'01_Preço'!A588</f>
        <v/>
      </c>
      <c r="C797" s="168">
        <f>'01_Preço'!B588</f>
        <v/>
      </c>
      <c r="D797" s="169">
        <f>'01_Preço'!E588</f>
        <v/>
      </c>
      <c r="E797" s="453" t="n">
        <v>32</v>
      </c>
      <c r="F797" s="1343">
        <f>VLOOKUP(E797,'Tabela de mês'!$A$1:$B$70,2,TRUE)</f>
        <v/>
      </c>
      <c r="G797" s="511" t="inlineStr">
        <is>
          <t>464-SER</t>
        </is>
      </c>
      <c r="H797" s="161" t="inlineStr">
        <is>
          <t>INSIGHT</t>
        </is>
      </c>
      <c r="I797" s="161" t="inlineStr">
        <is>
          <t>INSIGHT</t>
        </is>
      </c>
      <c r="J797" s="161" t="n"/>
      <c r="K797" s="161" t="n"/>
      <c r="L797" s="164" t="inlineStr">
        <is>
          <t>Aprovação da Memória de Cálculo e Dimensionamento dos Serviços Auxiliares Elétricos - Vertedouro Guanhães</t>
        </is>
      </c>
      <c r="M797" s="416">
        <f>O797/$O$794</f>
        <v/>
      </c>
      <c r="N797" s="1364" t="n"/>
      <c r="O797" s="1342" t="n">
        <v>22653.63</v>
      </c>
      <c r="P797" s="565" t="n"/>
      <c r="Q797" s="1338" t="n"/>
    </row>
    <row r="798" outlineLevel="1" ht="41.4" customHeight="1">
      <c r="A798" s="230">
        <f>'01_Preço'!$A$587</f>
        <v/>
      </c>
      <c r="B798" s="168">
        <f>'01_Preço'!A588</f>
        <v/>
      </c>
      <c r="C798" s="168">
        <f>'01_Preço'!B588</f>
        <v/>
      </c>
      <c r="D798" s="169">
        <f>'01_Preço'!E588</f>
        <v/>
      </c>
      <c r="E798" s="453" t="n">
        <v>32</v>
      </c>
      <c r="F798" s="1343">
        <f>VLOOKUP(E798,'Tabela de mês'!$A$1:$B$70,2,TRUE)</f>
        <v/>
      </c>
      <c r="G798" s="511" t="inlineStr">
        <is>
          <t>465-SER</t>
        </is>
      </c>
      <c r="H798" s="161" t="inlineStr">
        <is>
          <t>INSIGHT</t>
        </is>
      </c>
      <c r="I798" s="161" t="inlineStr">
        <is>
          <t>INSIGHT</t>
        </is>
      </c>
      <c r="J798" s="161" t="n"/>
      <c r="K798" s="161" t="n"/>
      <c r="L798" s="164" t="inlineStr">
        <is>
          <t>Aprovação completa dos Documentos do Projeto Executivo e de Fabricação das Adequações das Instalações Elétricas - Vertedouro Guanhães</t>
        </is>
      </c>
      <c r="M798" s="416">
        <f>O798/$O$794</f>
        <v/>
      </c>
      <c r="N798" s="1364" t="n"/>
      <c r="O798" s="1342" t="n">
        <v>98165.72</v>
      </c>
      <c r="P798" s="561" t="n"/>
      <c r="Q798" s="1347" t="n"/>
    </row>
    <row r="799" outlineLevel="1" ht="41.4" customHeight="1">
      <c r="A799" s="230">
        <f>'01_Preço'!$A$587</f>
        <v/>
      </c>
      <c r="B799" s="168">
        <f>'01_Preço'!A588</f>
        <v/>
      </c>
      <c r="C799" s="168">
        <f>'01_Preço'!B588</f>
        <v/>
      </c>
      <c r="D799" s="167">
        <f>'01_Preço'!E588</f>
        <v/>
      </c>
      <c r="E799" s="453" t="n">
        <v>65</v>
      </c>
      <c r="F799" s="1343">
        <f>VLOOKUP(E799,'Tabela de mês'!$A$1:$B$70,2,TRUE)</f>
        <v/>
      </c>
      <c r="G799" s="511" t="inlineStr">
        <is>
          <t>466-SER</t>
        </is>
      </c>
      <c r="H799" s="161" t="inlineStr">
        <is>
          <t>INSIGHT</t>
        </is>
      </c>
      <c r="I799" s="161" t="inlineStr">
        <is>
          <t>INSIGHT</t>
        </is>
      </c>
      <c r="J799" s="161" t="n"/>
      <c r="K799" s="161" t="n"/>
      <c r="L799" s="164" t="inlineStr">
        <is>
          <t>Aprovação da versão conforme construído do Projeto das Adequações das Instalações Elétricas - Vertedouro Guanhães</t>
        </is>
      </c>
      <c r="M799" s="416">
        <f>O799/$O$794</f>
        <v/>
      </c>
      <c r="N799" s="1364" t="n"/>
      <c r="O799" s="1342" t="n">
        <v>15102.42</v>
      </c>
      <c r="P799" s="561" t="n"/>
      <c r="Q799" s="1347" t="n"/>
    </row>
    <row r="800" outlineLevel="1" ht="41.4" customHeight="1">
      <c r="A800" s="461">
        <f>'01_Preço'!$A$587</f>
        <v/>
      </c>
      <c r="B800" s="467">
        <f>'01_Preço'!A590</f>
        <v/>
      </c>
      <c r="C800" s="467">
        <f>'01_Preço'!B590</f>
        <v/>
      </c>
      <c r="D800" s="437">
        <f>'01_Preço'!E590</f>
        <v/>
      </c>
      <c r="E800" s="462" t="n"/>
      <c r="F800" s="462" t="n"/>
      <c r="G800" s="436" t="n"/>
      <c r="H800" s="436" t="n"/>
      <c r="I800" s="436" t="n"/>
      <c r="J800" s="436" t="n"/>
      <c r="K800" s="436" t="n"/>
      <c r="L800" s="437">
        <f>'01_Preço'!E590</f>
        <v/>
      </c>
      <c r="M800" s="446">
        <f>O800/$N$793</f>
        <v/>
      </c>
      <c r="N800" s="1365" t="n"/>
      <c r="O800" s="1349">
        <f>SUM(O801:O802)</f>
        <v/>
      </c>
      <c r="P800" s="569" t="n"/>
      <c r="Q800" s="1334" t="n"/>
    </row>
    <row r="801" outlineLevel="1" ht="41.4" customHeight="1">
      <c r="A801" s="230">
        <f>'01_Preço'!$A$587</f>
        <v/>
      </c>
      <c r="B801" s="168">
        <f>'01_Preço'!A590</f>
        <v/>
      </c>
      <c r="C801" s="168">
        <f>'01_Preço'!B590</f>
        <v/>
      </c>
      <c r="D801" s="169">
        <f>'01_Preço'!E590</f>
        <v/>
      </c>
      <c r="E801" s="453" t="n">
        <v>38</v>
      </c>
      <c r="F801" s="1343">
        <f>VLOOKUP(E801,'Tabela de mês'!$A$1:$B$70,2,TRUE)</f>
        <v/>
      </c>
      <c r="G801" s="510" t="inlineStr">
        <is>
          <t>468-SER A</t>
        </is>
      </c>
      <c r="H801" s="161" t="inlineStr">
        <is>
          <t>INSIGHT</t>
        </is>
      </c>
      <c r="I801" s="161" t="inlineStr">
        <is>
          <t>INSIGHT</t>
        </is>
      </c>
      <c r="J801" s="161" t="n"/>
      <c r="K801" s="161" t="n"/>
      <c r="L801" s="164" t="inlineStr">
        <is>
          <t>Conclusão da desmontagem de todos equipamentos e componentes do Vertedouro Guanhães</t>
        </is>
      </c>
      <c r="M801" s="416">
        <f>O801/$O$800</f>
        <v/>
      </c>
      <c r="N801" s="1364" t="n"/>
      <c r="O801" s="1342" t="n">
        <v>175385.92</v>
      </c>
      <c r="P801" s="561" t="n"/>
      <c r="Q801" s="1347" t="n"/>
    </row>
    <row r="802" outlineLevel="1" ht="41.4" customHeight="1">
      <c r="A802" s="230">
        <f>'01_Preço'!$A$587</f>
        <v/>
      </c>
      <c r="B802" s="168">
        <f>'01_Preço'!A590</f>
        <v/>
      </c>
      <c r="C802" s="168" t="inlineStr">
        <is>
          <t>SERVIÇO</t>
        </is>
      </c>
      <c r="D802" s="169">
        <f>'01_Preço'!E590</f>
        <v/>
      </c>
      <c r="E802" s="453" t="n">
        <v>39</v>
      </c>
      <c r="F802" s="1343">
        <f>VLOOKUP(E802,'Tabela de mês'!$A$1:$B$70,2,TRUE)</f>
        <v/>
      </c>
      <c r="G802" s="510" t="inlineStr">
        <is>
          <t>468-SER B</t>
        </is>
      </c>
      <c r="H802" s="161" t="inlineStr">
        <is>
          <t>INSIGHT</t>
        </is>
      </c>
      <c r="I802" s="161" t="inlineStr">
        <is>
          <t>INSIGHT</t>
        </is>
      </c>
      <c r="J802" s="161" t="n"/>
      <c r="K802" s="161" t="n"/>
      <c r="L802" s="164" t="inlineStr">
        <is>
          <t>Conclusão da montagem de todos equipamentos e componentes do Vertedouro Guanhães</t>
        </is>
      </c>
      <c r="M802" s="416">
        <f>O802/$O$800</f>
        <v/>
      </c>
      <c r="N802" s="1364" t="n"/>
      <c r="O802" s="1342" t="n">
        <v>175385.92</v>
      </c>
      <c r="P802" s="561" t="n"/>
      <c r="Q802" s="1347" t="n"/>
    </row>
    <row r="803" outlineLevel="1" ht="41.4" customHeight="1">
      <c r="A803" s="461">
        <f>'01_Preço'!$A$587</f>
        <v/>
      </c>
      <c r="B803" s="467">
        <f>'01_Preço'!A592</f>
        <v/>
      </c>
      <c r="C803" s="467">
        <f>'01_Preço'!B592</f>
        <v/>
      </c>
      <c r="D803" s="437">
        <f>'01_Preço'!E592</f>
        <v/>
      </c>
      <c r="E803" s="449" t="n">
        <v>40</v>
      </c>
      <c r="F803" s="1348">
        <f>VLOOKUP(E803,'Tabela de mês'!$A$1:$B$70,2,TRUE)</f>
        <v/>
      </c>
      <c r="G803" s="513" t="inlineStr">
        <is>
          <t>469-SER</t>
        </is>
      </c>
      <c r="H803" s="436" t="inlineStr">
        <is>
          <t>INSIGHT</t>
        </is>
      </c>
      <c r="I803" s="436" t="inlineStr">
        <is>
          <t>INSIGHT</t>
        </is>
      </c>
      <c r="J803" s="436" t="n"/>
      <c r="K803" s="436" t="n"/>
      <c r="L803" s="470" t="inlineStr">
        <is>
          <t>Conclusão da supervisão, ensaios de campo e comissionamento</t>
        </is>
      </c>
      <c r="M803" s="446">
        <f>O803/$N$793</f>
        <v/>
      </c>
      <c r="N803" s="1365" t="n"/>
      <c r="O803" s="1349" t="n">
        <v>19808.29</v>
      </c>
      <c r="P803" s="552" t="n"/>
      <c r="Q803" s="1334" t="n"/>
    </row>
    <row r="804" outlineLevel="1" ht="41.4" customHeight="1">
      <c r="A804" s="477">
        <f>'01_Preço'!$A$587</f>
        <v/>
      </c>
      <c r="B804" s="469">
        <f>'01_Preço'!A594</f>
        <v/>
      </c>
      <c r="C804" s="469">
        <f>'01_Preço'!B594</f>
        <v/>
      </c>
      <c r="D804" s="442">
        <f>'01_Preço'!E594</f>
        <v/>
      </c>
      <c r="E804" s="449" t="n">
        <v>30</v>
      </c>
      <c r="F804" s="1348">
        <f>VLOOKUP(E804,'Tabela de mês'!$A$1:$B$70,2,TRUE)</f>
        <v/>
      </c>
      <c r="G804" s="510" t="inlineStr">
        <is>
          <t>467-MAT A</t>
        </is>
      </c>
      <c r="H804" s="441" t="inlineStr">
        <is>
          <t>MS GERADORES</t>
        </is>
      </c>
      <c r="I804" s="497" t="inlineStr">
        <is>
          <t>FAT. DIRETO</t>
        </is>
      </c>
      <c r="J804" s="441" t="n"/>
      <c r="K804" s="441" t="n"/>
      <c r="L804" s="470" t="inlineStr">
        <is>
          <t>Entrega em campo do Grupo Gerador Diesel de Emergência 100kVA</t>
        </is>
      </c>
      <c r="M804" s="443">
        <f>O804/$N$793</f>
        <v/>
      </c>
      <c r="N804" s="1365" t="n"/>
      <c r="O804" s="1349" t="n">
        <v>127000</v>
      </c>
      <c r="P804" s="552" t="n"/>
      <c r="Q804" s="1334" t="n"/>
    </row>
    <row r="805" outlineLevel="1" ht="41.4" customHeight="1">
      <c r="A805" s="461">
        <f>'01_Preço'!$A$587</f>
        <v/>
      </c>
      <c r="B805" s="467">
        <f>CONCATENATE('01_Preço'!$A$596," a ",'01_Preço'!$A$604,)</f>
        <v/>
      </c>
      <c r="C805" s="469">
        <f>'01_Preço'!B598</f>
        <v/>
      </c>
      <c r="D805" s="437" t="inlineStr">
        <is>
          <t>Equipamentos e materiais</t>
        </is>
      </c>
      <c r="E805" s="449" t="n">
        <v>37</v>
      </c>
      <c r="F805" s="1348">
        <f>VLOOKUP(E805,'Tabela de mês'!$A$1:$B$70,2,TRUE)</f>
        <v/>
      </c>
      <c r="G805" s="520" t="inlineStr">
        <is>
          <t>467-MAT B</t>
        </is>
      </c>
      <c r="H805" s="436" t="inlineStr">
        <is>
          <t>INSIGHT</t>
        </is>
      </c>
      <c r="I805" s="436" t="inlineStr">
        <is>
          <t>INSIGHT</t>
        </is>
      </c>
      <c r="J805" s="436" t="n"/>
      <c r="K805" s="436" t="n"/>
      <c r="L805" s="437" t="inlineStr">
        <is>
          <t>Entrega de materiais e componentes do Vertedouro Guanhães</t>
        </is>
      </c>
      <c r="M805" s="446">
        <f>O805/$N$793</f>
        <v/>
      </c>
      <c r="N805" s="1365" t="n"/>
      <c r="O805" s="1349" t="n">
        <v>892001.8100000001</v>
      </c>
      <c r="P805" s="552" t="n">
        <v>30</v>
      </c>
      <c r="Q805" s="1334" t="n">
        <v>633625.432</v>
      </c>
    </row>
    <row r="806" outlineLevel="1" ht="42" customHeight="1" thickBot="1">
      <c r="A806" s="472">
        <f>'01_Preço'!$A$566</f>
        <v/>
      </c>
      <c r="B806" s="467">
        <f>'01_Preço'!A606</f>
        <v/>
      </c>
      <c r="C806" s="467">
        <f>'01_Preço'!B606</f>
        <v/>
      </c>
      <c r="D806" s="437">
        <f>'01_Preço'!E606</f>
        <v/>
      </c>
      <c r="E806" s="449" t="n">
        <v>39</v>
      </c>
      <c r="F806" s="1348">
        <f>VLOOKUP(E806,'Tabela de mês'!$A$1:$B$70,2,TRUE)</f>
        <v/>
      </c>
      <c r="G806" s="520" t="inlineStr">
        <is>
          <t>475-MAT J</t>
        </is>
      </c>
      <c r="H806" s="436" t="inlineStr">
        <is>
          <t>INSIGHT</t>
        </is>
      </c>
      <c r="I806" s="436" t="inlineStr">
        <is>
          <t>INSIGHT</t>
        </is>
      </c>
      <c r="J806" s="436" t="n"/>
      <c r="K806" s="436" t="n"/>
      <c r="L806" s="437" t="inlineStr">
        <is>
          <t>Conclusão dos serviços de adequações elétricas na tomada d'agua de Ganhães</t>
        </is>
      </c>
      <c r="M806" s="446">
        <f>O806/$N$793</f>
        <v/>
      </c>
      <c r="N806" s="1365" t="n"/>
      <c r="O806" s="1349" t="n">
        <v>425661.016521074</v>
      </c>
      <c r="P806" s="552" t="n"/>
      <c r="Q806" s="1334" t="n"/>
    </row>
    <row r="807" ht="16.2" customHeight="1" thickBot="1">
      <c r="A807" s="1332" t="inlineStr">
        <is>
          <t>2.32 - Tomada d'água Santo Antônio - Automação das Comportas Vagão</t>
        </is>
      </c>
      <c r="B807" s="1139" t="n"/>
      <c r="C807" s="1139" t="n"/>
      <c r="D807" s="1139" t="n"/>
      <c r="E807" s="1139" t="n"/>
      <c r="F807" s="1139" t="n"/>
      <c r="G807" s="1139" t="n"/>
      <c r="H807" s="1139" t="n"/>
      <c r="I807" s="1139" t="n"/>
      <c r="J807" s="1139" t="n"/>
      <c r="K807" s="1139" t="n"/>
      <c r="L807" s="1139" t="n"/>
      <c r="M807" s="1140" t="n"/>
      <c r="N807" s="1360">
        <f>SUM(O808,O814,O817,O819,O820,O821,O822,O823,O824,O825,O818)</f>
        <v/>
      </c>
      <c r="O807" s="1385" t="n"/>
      <c r="P807" s="1053" t="n"/>
      <c r="Q807" s="424" t="n"/>
    </row>
    <row r="808" outlineLevel="1" ht="27" customHeight="1">
      <c r="A808" s="727">
        <f>'01_Preço'!$A$608</f>
        <v/>
      </c>
      <c r="B808" s="728">
        <f>'01_Preço'!A609</f>
        <v/>
      </c>
      <c r="C808" s="728">
        <f>'01_Preço'!B609</f>
        <v/>
      </c>
      <c r="D808" s="713">
        <f>'01_Preço'!E609</f>
        <v/>
      </c>
      <c r="E808" s="714" t="n"/>
      <c r="F808" s="714" t="n"/>
      <c r="G808" s="715" t="n"/>
      <c r="H808" s="715" t="n"/>
      <c r="I808" s="715" t="n"/>
      <c r="J808" s="715" t="n"/>
      <c r="K808" s="715" t="n"/>
      <c r="L808" s="713">
        <f>'01_Preço'!E609</f>
        <v/>
      </c>
      <c r="M808" s="716">
        <f>O808/$N$807</f>
        <v/>
      </c>
      <c r="N808" s="1361" t="n"/>
      <c r="O808" s="1362">
        <f>SUM(O809:O813)</f>
        <v/>
      </c>
      <c r="P808" s="552" t="n"/>
      <c r="Q808" s="1349" t="n"/>
    </row>
    <row r="809" outlineLevel="1" ht="41.4" customHeight="1">
      <c r="A809" s="393">
        <f>'01_Preço'!$A$608</f>
        <v/>
      </c>
      <c r="B809" s="413">
        <f>'01_Preço'!A609</f>
        <v/>
      </c>
      <c r="C809" s="413">
        <f>'01_Preço'!B609</f>
        <v/>
      </c>
      <c r="D809" s="414">
        <f>'01_Preço'!E609</f>
        <v/>
      </c>
      <c r="E809" s="450" t="n">
        <v>16</v>
      </c>
      <c r="F809" s="1339">
        <f>VLOOKUP(E809,'Tabela de mês'!$A$1:$B$54,2,TRUE)</f>
        <v/>
      </c>
      <c r="G809" s="511" t="inlineStr">
        <is>
          <t>470-SER</t>
        </is>
      </c>
      <c r="H809" s="163" t="inlineStr">
        <is>
          <t>INSIGHT</t>
        </is>
      </c>
      <c r="I809" s="163" t="inlineStr">
        <is>
          <t>INSIGHT</t>
        </is>
      </c>
      <c r="J809" s="163" t="n"/>
      <c r="K809" s="163" t="n"/>
      <c r="L809" s="423" t="inlineStr">
        <is>
          <t>Aprovação do Plano de Emissão de Documentos da Automação das Comportas Vagão - T.D. Santo Antônio</t>
        </is>
      </c>
      <c r="M809" s="391">
        <f>O809/$O$808</f>
        <v/>
      </c>
      <c r="N809" s="1340" t="n"/>
      <c r="O809" s="1340" t="n">
        <v>24570.63</v>
      </c>
      <c r="P809" s="563" t="n"/>
      <c r="Q809" s="1338" t="n"/>
      <c r="R809" s="664" t="n">
        <v>0.2</v>
      </c>
      <c r="S809" s="662" t="inlineStr">
        <is>
          <t>SIM</t>
        </is>
      </c>
    </row>
    <row r="810" outlineLevel="1" ht="41.4" customHeight="1">
      <c r="A810" s="414">
        <f>'01_Preço'!$A$608</f>
        <v/>
      </c>
      <c r="B810" s="413">
        <f>'01_Preço'!A609</f>
        <v/>
      </c>
      <c r="C810" s="413">
        <f>'01_Preço'!B609</f>
        <v/>
      </c>
      <c r="D810" s="414">
        <f>'01_Preço'!E609</f>
        <v/>
      </c>
      <c r="E810" s="730" t="n">
        <v>25</v>
      </c>
      <c r="F810" s="1339">
        <f>VLOOKUP(E810,'Tabela de mês'!$A$1:$B$54,2,TRUE)</f>
        <v/>
      </c>
      <c r="G810" s="389" t="inlineStr">
        <is>
          <t>471-SER</t>
        </is>
      </c>
      <c r="H810" s="163" t="inlineStr">
        <is>
          <t>INSIGHT</t>
        </is>
      </c>
      <c r="I810" s="163" t="inlineStr">
        <is>
          <t>INSIGHT</t>
        </is>
      </c>
      <c r="J810" s="163" t="n"/>
      <c r="K810" s="163" t="n"/>
      <c r="L810" s="342" t="inlineStr">
        <is>
          <t>Aprovação do Diagrama Unifilar dos Serviços Auxiliares Elétricos da T.D. Santo Antônio</t>
        </is>
      </c>
      <c r="M810" s="391">
        <f>O810/$O$808</f>
        <v/>
      </c>
      <c r="N810" s="1340" t="n"/>
      <c r="O810" s="1340" t="n">
        <v>24570.63</v>
      </c>
      <c r="P810" s="563" t="n"/>
      <c r="Q810" s="1338" t="n"/>
    </row>
    <row r="811" outlineLevel="1" ht="41.4" customHeight="1">
      <c r="A811" s="414">
        <f>'01_Preço'!$A$608</f>
        <v/>
      </c>
      <c r="B811" s="413">
        <f>'01_Preço'!A609</f>
        <v/>
      </c>
      <c r="C811" s="413">
        <f>'01_Preço'!B609</f>
        <v/>
      </c>
      <c r="D811" s="414">
        <f>'01_Preço'!E609</f>
        <v/>
      </c>
      <c r="E811" s="730" t="n">
        <v>25</v>
      </c>
      <c r="F811" s="1339">
        <f>VLOOKUP(E811,'Tabela de mês'!$A$1:$B$54,2,TRUE)</f>
        <v/>
      </c>
      <c r="G811" s="389" t="inlineStr">
        <is>
          <t>472-SER</t>
        </is>
      </c>
      <c r="H811" s="163" t="inlineStr">
        <is>
          <t>INSIGHT</t>
        </is>
      </c>
      <c r="I811" s="163" t="inlineStr">
        <is>
          <t>INSIGHT</t>
        </is>
      </c>
      <c r="J811" s="163" t="n"/>
      <c r="K811" s="163" t="n"/>
      <c r="L811" s="342" t="inlineStr">
        <is>
          <t>Aprovação da Memória de Cálculo e Dimensionamento dos Equipamentos e Serviços Auxiliares Elétricos - T.D. Santo Antônio</t>
        </is>
      </c>
      <c r="M811" s="391">
        <f>O811/$O$808</f>
        <v/>
      </c>
      <c r="N811" s="1340" t="n"/>
      <c r="O811" s="1340" t="n">
        <v>73711.89999999999</v>
      </c>
      <c r="P811" s="563" t="n"/>
      <c r="Q811" s="1338" t="n"/>
    </row>
    <row r="812" outlineLevel="1" ht="41.4" customHeight="1">
      <c r="A812" s="414">
        <f>'01_Preço'!$A$608</f>
        <v/>
      </c>
      <c r="B812" s="413">
        <f>'01_Preço'!A609</f>
        <v/>
      </c>
      <c r="C812" s="413">
        <f>'01_Preço'!B609</f>
        <v/>
      </c>
      <c r="D812" s="414">
        <f>'01_Preço'!E609</f>
        <v/>
      </c>
      <c r="E812" s="730" t="n">
        <v>25</v>
      </c>
      <c r="F812" s="1339">
        <f>VLOOKUP(E812,'Tabela de mês'!$A$1:$B$54,2,TRUE)</f>
        <v/>
      </c>
      <c r="G812" s="389" t="inlineStr">
        <is>
          <t>473-SER</t>
        </is>
      </c>
      <c r="H812" s="163" t="inlineStr">
        <is>
          <t>INSIGHT</t>
        </is>
      </c>
      <c r="I812" s="163" t="inlineStr">
        <is>
          <t>INSIGHT</t>
        </is>
      </c>
      <c r="J812" s="163" t="n"/>
      <c r="K812" s="163" t="n"/>
      <c r="L812" s="342" t="inlineStr">
        <is>
          <t>Aprovação completa dos Documentos do Projeto Executivo e de Fabricação das Adequações das Instalações Elétricas - T.D. Santo Antônio</t>
        </is>
      </c>
      <c r="M812" s="391">
        <f>O812/$O$808</f>
        <v/>
      </c>
      <c r="N812" s="1340" t="n"/>
      <c r="O812" s="1340" t="n">
        <v>216205.45</v>
      </c>
      <c r="P812" s="561" t="n"/>
      <c r="Q812" s="1338" t="n"/>
    </row>
    <row r="813" outlineLevel="1" ht="41.4" customHeight="1">
      <c r="A813" s="414">
        <f>'01_Preço'!$A$608</f>
        <v/>
      </c>
      <c r="B813" s="168">
        <f>'01_Preço'!A609</f>
        <v/>
      </c>
      <c r="C813" s="168">
        <f>'01_Preço'!B609</f>
        <v/>
      </c>
      <c r="D813" s="167">
        <f>'01_Preço'!E609</f>
        <v/>
      </c>
      <c r="E813" s="730" t="n">
        <v>40</v>
      </c>
      <c r="F813" s="1339">
        <f>VLOOKUP(E813,'Tabela de mês'!$A$1:$B$54,2,TRUE)</f>
        <v/>
      </c>
      <c r="G813" s="510" t="inlineStr">
        <is>
          <t>474-SER</t>
        </is>
      </c>
      <c r="H813" s="163" t="inlineStr">
        <is>
          <t>INSIGHT</t>
        </is>
      </c>
      <c r="I813" s="163" t="inlineStr">
        <is>
          <t>INSIGHT</t>
        </is>
      </c>
      <c r="J813" s="163" t="n"/>
      <c r="K813" s="163" t="n"/>
      <c r="L813" s="165" t="inlineStr">
        <is>
          <t>Aprovação da versão conforme construído do Projeto da Automação das Comportas Vagão - T.D. Santo Antônio</t>
        </is>
      </c>
      <c r="M813" s="391">
        <f>O813/$O$808</f>
        <v/>
      </c>
      <c r="N813" s="1342" t="n"/>
      <c r="O813" s="1340" t="n">
        <v>34943.12</v>
      </c>
      <c r="P813" s="561" t="n"/>
      <c r="Q813" s="1338" t="n"/>
    </row>
    <row r="814" outlineLevel="1" ht="96.59999999999999" customHeight="1">
      <c r="A814" s="694">
        <f>'01_Preço'!$A$608</f>
        <v/>
      </c>
      <c r="B814" s="677">
        <f>'01_Preço'!A611</f>
        <v/>
      </c>
      <c r="C814" s="677">
        <f>'01_Preço'!B611</f>
        <v/>
      </c>
      <c r="D814" s="684">
        <f>'01_Preço'!E611</f>
        <v/>
      </c>
      <c r="E814" s="683" t="n"/>
      <c r="F814" s="683" t="n"/>
      <c r="G814" s="683" t="n"/>
      <c r="H814" s="683" t="n"/>
      <c r="I814" s="683" t="n"/>
      <c r="J814" s="683" t="n"/>
      <c r="K814" s="683" t="n"/>
      <c r="L814" s="684">
        <f>'01_Preço'!E611</f>
        <v/>
      </c>
      <c r="M814" s="687">
        <f>O814/$N$807</f>
        <v/>
      </c>
      <c r="N814" s="1382" t="n"/>
      <c r="O814" s="1386">
        <f>SUM(O815:O816)</f>
        <v/>
      </c>
      <c r="P814" s="552" t="n"/>
      <c r="Q814" s="1398" t="n"/>
    </row>
    <row r="815" outlineLevel="1" ht="96.59999999999999" customHeight="1">
      <c r="A815" s="414">
        <f>'01_Preço'!$A$608</f>
        <v/>
      </c>
      <c r="B815" s="413">
        <f>'01_Preço'!A611</f>
        <v/>
      </c>
      <c r="C815" s="413">
        <f>'01_Preço'!B611</f>
        <v/>
      </c>
      <c r="D815" s="414">
        <f>'01_Preço'!E611</f>
        <v/>
      </c>
      <c r="E815" s="730" t="n">
        <v>20</v>
      </c>
      <c r="F815" s="1339">
        <f>VLOOKUP(E815,'Tabela de mês'!$A$1:$B$54,2,TRUE)</f>
        <v/>
      </c>
      <c r="G815" s="389" t="inlineStr">
        <is>
          <t>476-SER A</t>
        </is>
      </c>
      <c r="H815" s="163" t="inlineStr">
        <is>
          <t>INSIGHT</t>
        </is>
      </c>
      <c r="I815" s="163" t="inlineStr">
        <is>
          <t>INSIGHT</t>
        </is>
      </c>
      <c r="J815" s="163" t="n"/>
      <c r="K815" s="163" t="n"/>
      <c r="L815" s="423" t="inlineStr">
        <is>
          <t>Conclusão da fabricação, montagem e desmontagem de sistema Stop Log provisório para peritagem</t>
        </is>
      </c>
      <c r="M815" s="391">
        <f>O815/$O$814</f>
        <v/>
      </c>
      <c r="N815" s="1340" t="n"/>
      <c r="O815" s="1340" t="n">
        <v>441946.56</v>
      </c>
      <c r="P815" s="561" t="n">
        <v>19</v>
      </c>
      <c r="Q815" s="1338" t="n">
        <v>320000</v>
      </c>
    </row>
    <row r="816" outlineLevel="1" ht="96.59999999999999" customHeight="1">
      <c r="A816" s="735">
        <f>'01_Preço'!$A$608</f>
        <v/>
      </c>
      <c r="B816" s="170">
        <f>'01_Preço'!A611</f>
        <v/>
      </c>
      <c r="C816" s="170">
        <f>'01_Preço'!B611</f>
        <v/>
      </c>
      <c r="D816" s="162">
        <f>'01_Preço'!E611</f>
        <v/>
      </c>
      <c r="E816" s="731" t="n">
        <v>35</v>
      </c>
      <c r="F816" s="1343">
        <f>VLOOKUP(E816,'Tabela de mês'!$A$1:$B$54,2,TRUE)</f>
        <v/>
      </c>
      <c r="G816" s="520" t="inlineStr">
        <is>
          <t>476-SER B</t>
        </is>
      </c>
      <c r="H816" s="161" t="inlineStr">
        <is>
          <t>INSIGHT</t>
        </is>
      </c>
      <c r="I816" s="161" t="inlineStr">
        <is>
          <t>INSIGHT</t>
        </is>
      </c>
      <c r="J816" s="161" t="n"/>
      <c r="K816" s="161" t="n"/>
      <c r="L816" s="390" t="inlineStr">
        <is>
          <t>Conclusão da desmontagem, adequação e montagem eletromecânica completa, incluindo o fornecimento de conjuntos de comportas, para serem instalados nas ranhuras existentes</t>
        </is>
      </c>
      <c r="M816" s="416">
        <f>O816/$O$814</f>
        <v/>
      </c>
      <c r="N816" s="1344" t="n"/>
      <c r="O816" s="1355" t="n">
        <v>1173507.47</v>
      </c>
      <c r="P816" s="561" t="n"/>
      <c r="Q816" s="1338" t="n"/>
    </row>
    <row r="817" outlineLevel="1" ht="27" customHeight="1">
      <c r="A817" s="477">
        <f>'01_Preço'!$A$608</f>
        <v/>
      </c>
      <c r="B817" s="469">
        <f>'01_Preço'!A613</f>
        <v/>
      </c>
      <c r="C817" s="469">
        <f>'01_Preço'!B613</f>
        <v/>
      </c>
      <c r="D817" s="442">
        <f>'01_Preço'!E613</f>
        <v/>
      </c>
      <c r="E817" s="449" t="n">
        <v>36</v>
      </c>
      <c r="F817" s="1348">
        <f>VLOOKUP(E817,'Tabela de mês'!$A$1:$B$54,2,TRUE)</f>
        <v/>
      </c>
      <c r="G817" s="510" t="inlineStr">
        <is>
          <t>477-SER</t>
        </is>
      </c>
      <c r="H817" s="441" t="inlineStr">
        <is>
          <t>INSIGHT</t>
        </is>
      </c>
      <c r="I817" s="441" t="inlineStr">
        <is>
          <t>INSIGHT</t>
        </is>
      </c>
      <c r="J817" s="441" t="n"/>
      <c r="K817" s="441" t="n"/>
      <c r="L817" s="442" t="inlineStr">
        <is>
          <t>Conclusão do Comissionamento da Automação das Comportas Vagão - T.D. Santo Antônio</t>
        </is>
      </c>
      <c r="M817" s="443">
        <f>O817/$N$807</f>
        <v/>
      </c>
      <c r="N817" s="1357" t="n"/>
      <c r="O817" s="1346" t="n">
        <v>118839.2800000002</v>
      </c>
      <c r="P817" s="552" t="n"/>
      <c r="Q817" s="1398" t="n"/>
    </row>
    <row r="818" outlineLevel="1" ht="27" customHeight="1">
      <c r="A818" s="477">
        <f>'01_Preço'!$A$608</f>
        <v/>
      </c>
      <c r="B818" s="469">
        <f>'01_Preço'!A615</f>
        <v/>
      </c>
      <c r="C818" s="469">
        <f>'01_Preço'!B615</f>
        <v/>
      </c>
      <c r="D818" s="442">
        <f>'01_Preço'!E615</f>
        <v/>
      </c>
      <c r="E818" s="449" t="n">
        <v>31</v>
      </c>
      <c r="F818" s="1348">
        <f>VLOOKUP(E818,'Tabela de mês'!$A$1:$B$54,2,TRUE)</f>
        <v/>
      </c>
      <c r="G818" s="510" t="inlineStr">
        <is>
          <t>475-MAT A</t>
        </is>
      </c>
      <c r="H818" s="441" t="inlineStr">
        <is>
          <t>HYDROSTEC</t>
        </is>
      </c>
      <c r="I818" s="497" t="inlineStr">
        <is>
          <t>FAT. DIRETO</t>
        </is>
      </c>
      <c r="J818" s="441" t="n"/>
      <c r="K818" s="441" t="n"/>
      <c r="L818" s="442" t="inlineStr">
        <is>
          <t>Entrega em campo das comportas vagão completas, com paramento e vedação a jusante, acionadas por servomotores hidráulicos</t>
        </is>
      </c>
      <c r="M818" s="443">
        <f>O818/$N$807</f>
        <v/>
      </c>
      <c r="N818" s="1357" t="n"/>
      <c r="O818" s="1346" t="n">
        <v>2420000</v>
      </c>
      <c r="P818" s="552" t="n"/>
      <c r="Q818" s="1398" t="n"/>
    </row>
    <row r="819" outlineLevel="1" ht="27" customHeight="1">
      <c r="A819" s="477">
        <f>'01_Preço'!$A$608</f>
        <v/>
      </c>
      <c r="B819" s="469">
        <f>'01_Preço'!A617</f>
        <v/>
      </c>
      <c r="C819" s="469">
        <f>'01_Preço'!B617</f>
        <v/>
      </c>
      <c r="D819" s="442">
        <f>'01_Preço'!E617</f>
        <v/>
      </c>
      <c r="E819" s="449" t="n">
        <v>31</v>
      </c>
      <c r="F819" s="1348">
        <f>VLOOKUP(E819,'Tabela de mês'!$A$1:$B$54,2,TRUE)</f>
        <v/>
      </c>
      <c r="G819" s="510" t="inlineStr">
        <is>
          <t>475-MAT B</t>
        </is>
      </c>
      <c r="H819" s="441" t="inlineStr">
        <is>
          <t>INSIGHT</t>
        </is>
      </c>
      <c r="I819" s="441" t="inlineStr">
        <is>
          <t>INSIGHT</t>
        </is>
      </c>
      <c r="J819" s="441" t="n"/>
      <c r="K819" s="441" t="n"/>
      <c r="L819" s="442" t="inlineStr">
        <is>
          <t>Entrega em campo das peças fixas completas para adequação das ranhuras das comportas vagão</t>
        </is>
      </c>
      <c r="M819" s="443">
        <f>O819/$N$807</f>
        <v/>
      </c>
      <c r="N819" s="1357" t="n"/>
      <c r="O819" s="1346" t="n">
        <v>513922.26</v>
      </c>
      <c r="P819" s="552" t="n"/>
      <c r="Q819" s="1398" t="n"/>
    </row>
    <row r="820" outlineLevel="1" ht="27" customHeight="1">
      <c r="A820" s="477">
        <f>'01_Preço'!$A$608</f>
        <v/>
      </c>
      <c r="B820" s="469">
        <f>'01_Preço'!A619</f>
        <v/>
      </c>
      <c r="C820" s="469">
        <f>'01_Preço'!B619</f>
        <v/>
      </c>
      <c r="D820" s="442">
        <f>'01_Preço'!E619</f>
        <v/>
      </c>
      <c r="E820" s="449" t="n">
        <v>31</v>
      </c>
      <c r="F820" s="1348">
        <f>VLOOKUP(E820,'Tabela de mês'!$A$1:$B$54,2,TRUE)</f>
        <v/>
      </c>
      <c r="G820" s="510" t="inlineStr">
        <is>
          <t>475-MAT C</t>
        </is>
      </c>
      <c r="H820" s="441" t="inlineStr">
        <is>
          <t>INSIGHT</t>
        </is>
      </c>
      <c r="I820" s="441" t="inlineStr">
        <is>
          <t>INSIGHT</t>
        </is>
      </c>
      <c r="J820" s="441" t="n"/>
      <c r="K820" s="441" t="n"/>
      <c r="L820" s="442" t="inlineStr">
        <is>
          <t>Entrega de equipamentos e materiais do Sistema de Acionamento das Comportas</t>
        </is>
      </c>
      <c r="M820" s="443">
        <f>O820/$N$807</f>
        <v/>
      </c>
      <c r="N820" s="1357" t="n"/>
      <c r="O820" s="1346" t="n">
        <v>331299.57</v>
      </c>
      <c r="P820" s="552" t="n"/>
      <c r="Q820" s="1398" t="n"/>
    </row>
    <row r="821" outlineLevel="1" ht="55.2" customHeight="1">
      <c r="A821" s="477">
        <f>'01_Preço'!$A$608</f>
        <v/>
      </c>
      <c r="B821" s="469">
        <f>'01_Preço'!A621</f>
        <v/>
      </c>
      <c r="C821" s="469">
        <f>'01_Preço'!B621</f>
        <v/>
      </c>
      <c r="D821" s="442">
        <f>'01_Preço'!E621</f>
        <v/>
      </c>
      <c r="E821" s="449" t="n">
        <v>31</v>
      </c>
      <c r="F821" s="1348">
        <f>VLOOKUP(E821,'Tabela de mês'!$A$1:$B$54,2,TRUE)</f>
        <v/>
      </c>
      <c r="G821" s="510" t="inlineStr">
        <is>
          <t>475-MAT D</t>
        </is>
      </c>
      <c r="H821" s="441" t="inlineStr">
        <is>
          <t>HYDROSTEC</t>
        </is>
      </c>
      <c r="I821" s="497" t="inlineStr">
        <is>
          <t>FAT. DIRETO</t>
        </is>
      </c>
      <c r="J821" s="441" t="n"/>
      <c r="K821" s="441" t="n"/>
      <c r="L821" s="442" t="inlineStr">
        <is>
          <t>Entrega em campo da unidade hidráulica completa, com todos os seus periféricos, para acionamento das duas comportas vagão</t>
        </is>
      </c>
      <c r="M821" s="443">
        <f>O821/$N$807</f>
        <v/>
      </c>
      <c r="N821" s="1357" t="n"/>
      <c r="O821" s="1346" t="n">
        <v>610000</v>
      </c>
      <c r="P821" s="556" t="n"/>
      <c r="Q821" s="1398" t="n"/>
    </row>
    <row r="822" outlineLevel="1" ht="27" customHeight="1">
      <c r="A822" s="477">
        <f>'01_Preço'!$A$608</f>
        <v/>
      </c>
      <c r="B822" s="469">
        <f>'01_Preço'!A623</f>
        <v/>
      </c>
      <c r="C822" s="469">
        <f>'01_Preço'!B625</f>
        <v/>
      </c>
      <c r="D822" s="442">
        <f>'01_Preço'!E623</f>
        <v/>
      </c>
      <c r="E822" s="449" t="n">
        <v>31</v>
      </c>
      <c r="F822" s="1348">
        <f>VLOOKUP(E822,'Tabela de mês'!$A$1:$B$54,2,TRUE)</f>
        <v/>
      </c>
      <c r="G822" s="510" t="inlineStr">
        <is>
          <t>475-MAT E</t>
        </is>
      </c>
      <c r="H822" s="441" t="inlineStr">
        <is>
          <t>INSIGHT</t>
        </is>
      </c>
      <c r="I822" s="441" t="inlineStr">
        <is>
          <t>INSIGHT</t>
        </is>
      </c>
      <c r="J822" s="441" t="n"/>
      <c r="K822" s="441" t="n"/>
      <c r="L822" s="442" t="inlineStr">
        <is>
          <t>Entrega em campo dos equipamentos e materiais dos Serviços Auxiliares Elétricos em Baixa Tensão</t>
        </is>
      </c>
      <c r="M822" s="443">
        <f>O822/$N$807</f>
        <v/>
      </c>
      <c r="N822" s="1357" t="n"/>
      <c r="O822" s="1346" t="n">
        <v>277679.51</v>
      </c>
      <c r="P822" s="556" t="n"/>
      <c r="Q822" s="1398" t="n"/>
    </row>
    <row r="823" outlineLevel="1" ht="27" customHeight="1">
      <c r="A823" s="477">
        <f>'01_Preço'!$A$608</f>
        <v/>
      </c>
      <c r="B823" s="469">
        <f>'01_Preço'!A625</f>
        <v/>
      </c>
      <c r="C823" s="469">
        <f>'01_Preço'!B625</f>
        <v/>
      </c>
      <c r="D823" s="442">
        <f>'01_Preço'!E625</f>
        <v/>
      </c>
      <c r="E823" s="449" t="n">
        <v>31</v>
      </c>
      <c r="F823" s="1348">
        <f>VLOOKUP(E823,'Tabela de mês'!$A$1:$B$54,2,TRUE)</f>
        <v/>
      </c>
      <c r="G823" s="510" t="inlineStr">
        <is>
          <t>475-MAT F</t>
        </is>
      </c>
      <c r="H823" s="441" t="inlineStr">
        <is>
          <t>INSIGHT</t>
        </is>
      </c>
      <c r="I823" s="441" t="inlineStr">
        <is>
          <t>INSIGHT</t>
        </is>
      </c>
      <c r="J823" s="441" t="n"/>
      <c r="K823" s="441" t="n"/>
      <c r="L823" s="442" t="inlineStr">
        <is>
          <t>Equipamentos e materiais do Sistema de Comando e Controle das Comportas Vagão</t>
        </is>
      </c>
      <c r="M823" s="443">
        <f>O823/$N$807</f>
        <v/>
      </c>
      <c r="N823" s="1357" t="n"/>
      <c r="O823" s="1346" t="n">
        <v>409453.22</v>
      </c>
      <c r="P823" s="556" t="n"/>
      <c r="Q823" s="1398" t="n"/>
    </row>
    <row r="824" outlineLevel="1" ht="27" customHeight="1">
      <c r="A824" s="477">
        <f>'01_Preço'!$A$608</f>
        <v/>
      </c>
      <c r="B824" s="469">
        <f>'01_Preço'!A627</f>
        <v/>
      </c>
      <c r="C824" s="469">
        <f>'01_Preço'!B627</f>
        <v/>
      </c>
      <c r="D824" s="442">
        <f>'01_Preço'!E627</f>
        <v/>
      </c>
      <c r="E824" s="449" t="n">
        <v>31</v>
      </c>
      <c r="F824" s="1348">
        <f>VLOOKUP(E824,'Tabela de mês'!$A$1:$B$54,2,TRUE)</f>
        <v/>
      </c>
      <c r="G824" s="510" t="inlineStr">
        <is>
          <t>475-MAT G</t>
        </is>
      </c>
      <c r="H824" s="441" t="inlineStr">
        <is>
          <t>INSIGHT</t>
        </is>
      </c>
      <c r="I824" s="441" t="inlineStr">
        <is>
          <t>INSIGHT</t>
        </is>
      </c>
      <c r="J824" s="441" t="n"/>
      <c r="K824" s="441" t="n"/>
      <c r="L824" s="442" t="inlineStr">
        <is>
          <t>Entrega em campo dos equipamentos e materiais do Sistema Iluminação e Tomadas, SPDA e Aterramento</t>
        </is>
      </c>
      <c r="M824" s="443">
        <f>O824/$N$807</f>
        <v/>
      </c>
      <c r="N824" s="1357" t="n"/>
      <c r="O824" s="1346" t="n">
        <v>240074.44</v>
      </c>
      <c r="P824" s="556" t="n"/>
      <c r="Q824" s="1398" t="n"/>
    </row>
    <row r="825" outlineLevel="1" ht="27" customHeight="1" thickBot="1">
      <c r="A825" s="477">
        <f>'01_Preço'!$A$608</f>
        <v/>
      </c>
      <c r="B825" s="469">
        <f>'01_Preço'!A629</f>
        <v/>
      </c>
      <c r="C825" s="469">
        <f>'01_Preço'!B629</f>
        <v/>
      </c>
      <c r="D825" s="442">
        <f>'01_Preço'!E629</f>
        <v/>
      </c>
      <c r="E825" s="449" t="n">
        <v>31</v>
      </c>
      <c r="F825" s="1348">
        <f>VLOOKUP(E825,'Tabela de mês'!$A$1:$B$54,2,TRUE)</f>
        <v/>
      </c>
      <c r="G825" s="510" t="inlineStr">
        <is>
          <t>475-MAT H</t>
        </is>
      </c>
      <c r="H825" s="441" t="inlineStr">
        <is>
          <t>INSIGHT</t>
        </is>
      </c>
      <c r="I825" s="441" t="inlineStr">
        <is>
          <t>INSIGHT</t>
        </is>
      </c>
      <c r="J825" s="441" t="n"/>
      <c r="K825" s="441" t="n"/>
      <c r="L825" s="442" t="inlineStr">
        <is>
          <t>Entrega em campo dos cabos de controle e de força para interligação entre os painéis dos diversos sistemas da Tomada d'Água</t>
        </is>
      </c>
      <c r="M825" s="443">
        <f>O825/$N$807</f>
        <v/>
      </c>
      <c r="N825" s="1357" t="n"/>
      <c r="O825" s="1346" t="n">
        <v>315406.86</v>
      </c>
      <c r="P825" s="556" t="n"/>
      <c r="Q825" s="1398" t="n"/>
    </row>
    <row r="826" ht="16.2" customHeight="1" thickBot="1">
      <c r="A826" s="1332" t="inlineStr">
        <is>
          <t>2.33 - Telecomunicações</t>
        </is>
      </c>
      <c r="B826" s="1139" t="n"/>
      <c r="C826" s="1139" t="n"/>
      <c r="D826" s="1139" t="n"/>
      <c r="E826" s="1139" t="n"/>
      <c r="F826" s="1139" t="n"/>
      <c r="G826" s="1139" t="n"/>
      <c r="H826" s="1139" t="n"/>
      <c r="I826" s="1139" t="n"/>
      <c r="J826" s="1139" t="n"/>
      <c r="K826" s="1139" t="n"/>
      <c r="L826" s="1139" t="n"/>
      <c r="M826" s="1140" t="n"/>
      <c r="N826" s="1360">
        <f>SUM(O827,O831:O836)</f>
        <v/>
      </c>
      <c r="O826" s="503" t="n"/>
      <c r="P826" s="1053" t="n"/>
      <c r="Q826" s="424" t="n"/>
    </row>
    <row r="827" outlineLevel="1" ht="14.4" customHeight="1">
      <c r="A827" s="477">
        <f>'01_Preço'!$A$631</f>
        <v/>
      </c>
      <c r="B827" s="469">
        <f>'01_Preço'!A632</f>
        <v/>
      </c>
      <c r="C827" s="469">
        <f>'01_Preço'!B632</f>
        <v/>
      </c>
      <c r="D827" s="442">
        <f>'01_Preço'!E632</f>
        <v/>
      </c>
      <c r="E827" s="462" t="n"/>
      <c r="F827" s="462" t="n"/>
      <c r="G827" s="441" t="n"/>
      <c r="H827" s="441" t="n"/>
      <c r="I827" s="441" t="n"/>
      <c r="J827" s="441" t="n"/>
      <c r="K827" s="441" t="n"/>
      <c r="L827" s="442">
        <f>'01_Preço'!E632</f>
        <v/>
      </c>
      <c r="M827" s="443">
        <f>O827/$N$826</f>
        <v/>
      </c>
      <c r="N827" s="1399" t="n"/>
      <c r="O827" s="1363">
        <f>SUM(O828:O830)</f>
        <v/>
      </c>
      <c r="P827" s="556" t="n"/>
      <c r="Q827" s="1398" t="n"/>
    </row>
    <row r="828" outlineLevel="1" ht="32.25" customHeight="1">
      <c r="A828" s="414">
        <f>'01_Preço'!$A$631</f>
        <v/>
      </c>
      <c r="B828" s="389">
        <f>'01_Preço'!A632</f>
        <v/>
      </c>
      <c r="C828" s="389">
        <f>'01_Preço'!B632</f>
        <v/>
      </c>
      <c r="D828" s="423">
        <f>'01_Preço'!E632</f>
        <v/>
      </c>
      <c r="E828" s="730" t="n">
        <v>16</v>
      </c>
      <c r="F828" s="1339">
        <f>VLOOKUP(E828,'Tabela de mês'!$A$1:$B$54,2,TRUE)</f>
        <v/>
      </c>
      <c r="G828" s="511" t="inlineStr">
        <is>
          <t>478-SER</t>
        </is>
      </c>
      <c r="H828" s="389" t="inlineStr">
        <is>
          <t>INSIGHT</t>
        </is>
      </c>
      <c r="I828" s="389" t="inlineStr">
        <is>
          <t>INSIGHT</t>
        </is>
      </c>
      <c r="J828" s="389" t="n"/>
      <c r="K828" s="389" t="n"/>
      <c r="L828" s="423" t="inlineStr">
        <is>
          <t>Aprovação do Plano de Emissão de Documentos do Sistema de Telecomunicações</t>
        </is>
      </c>
      <c r="M828" s="391">
        <f>O828/$O$827</f>
        <v/>
      </c>
      <c r="N828" s="1340" t="n"/>
      <c r="O828" s="1340" t="n">
        <v>3244.86</v>
      </c>
      <c r="P828" s="565" t="n"/>
      <c r="Q828" s="1338" t="n"/>
      <c r="S828" s="662" t="inlineStr">
        <is>
          <t>SIM</t>
        </is>
      </c>
    </row>
    <row r="829" outlineLevel="1" ht="27.6" customHeight="1">
      <c r="A829" s="414">
        <f>'01_Preço'!$A$631</f>
        <v/>
      </c>
      <c r="B829" s="389">
        <f>'01_Preço'!A632</f>
        <v/>
      </c>
      <c r="C829" s="389">
        <f>'01_Preço'!B632</f>
        <v/>
      </c>
      <c r="D829" s="423">
        <f>'01_Preço'!E632</f>
        <v/>
      </c>
      <c r="E829" s="730" t="n">
        <v>26</v>
      </c>
      <c r="F829" s="1339">
        <f>VLOOKUP(E829,'Tabela de mês'!$A$1:$B$54,2,TRUE)</f>
        <v/>
      </c>
      <c r="G829" s="389" t="inlineStr">
        <is>
          <t>479-SER</t>
        </is>
      </c>
      <c r="H829" s="163" t="inlineStr">
        <is>
          <t>INSIGHT</t>
        </is>
      </c>
      <c r="I829" s="163" t="inlineStr">
        <is>
          <t>INSIGHT</t>
        </is>
      </c>
      <c r="J829" s="163" t="n"/>
      <c r="K829" s="163" t="n"/>
      <c r="L829" s="423" t="inlineStr">
        <is>
          <t>Aprovação completa dos Documentos do Projeto Executivo e de Fabricação do Sistema de Telecomunicações</t>
        </is>
      </c>
      <c r="M829" s="391">
        <f>O829/$O$827</f>
        <v/>
      </c>
      <c r="N829" s="1340" t="n"/>
      <c r="O829" s="1340" t="n">
        <v>116010.15</v>
      </c>
      <c r="P829" s="565" t="n"/>
      <c r="Q829" s="1338" t="n"/>
    </row>
    <row r="830" outlineLevel="1" ht="27.6" customHeight="1">
      <c r="A830" s="414">
        <f>'01_Preço'!$A$631</f>
        <v/>
      </c>
      <c r="B830" s="163">
        <f>'01_Preço'!A632</f>
        <v/>
      </c>
      <c r="C830" s="163">
        <f>'01_Preço'!B632</f>
        <v/>
      </c>
      <c r="D830" s="167">
        <f>'01_Preço'!E632</f>
        <v/>
      </c>
      <c r="E830" s="730" t="n">
        <v>65</v>
      </c>
      <c r="F830" s="1339">
        <f>VLOOKUP(E830,'Tabela de mês'!$A$1:$B$54,2,TRUE)</f>
        <v/>
      </c>
      <c r="G830" s="510" t="inlineStr">
        <is>
          <t>480-SER</t>
        </is>
      </c>
      <c r="H830" s="163" t="inlineStr">
        <is>
          <t>INSIGHT</t>
        </is>
      </c>
      <c r="I830" s="163" t="inlineStr">
        <is>
          <t>INSIGHT</t>
        </is>
      </c>
      <c r="J830" s="163" t="n"/>
      <c r="K830" s="163" t="n"/>
      <c r="L830" s="165" t="inlineStr">
        <is>
          <t>Aprovação da versão conforme construído do Projeto do Sistema de Telecomunicações</t>
        </is>
      </c>
      <c r="M830" s="391">
        <f>O830/$O$827</f>
        <v/>
      </c>
      <c r="N830" s="1342" t="n"/>
      <c r="O830" s="1342" t="n">
        <v>10960.25</v>
      </c>
      <c r="P830" s="565" t="n"/>
      <c r="Q830" s="1338" t="n"/>
    </row>
    <row r="831" outlineLevel="1" ht="27.6" customHeight="1">
      <c r="A831" s="477" t="inlineStr">
        <is>
          <t>2.33 - Telecomunicações</t>
        </is>
      </c>
      <c r="B831" s="469">
        <f>'01_Preço'!A634</f>
        <v/>
      </c>
      <c r="C831" s="469">
        <f>'01_Preço'!B634</f>
        <v/>
      </c>
      <c r="D831" s="442" t="inlineStr">
        <is>
          <t>Desmontagem e montagem eletromecânica completa</t>
        </is>
      </c>
      <c r="E831" s="449" t="n">
        <v>30</v>
      </c>
      <c r="F831" s="1348">
        <f>VLOOKUP(E831,'Tabela de mês'!$A$1:$B$54,2,TRUE)</f>
        <v/>
      </c>
      <c r="G831" s="510" t="inlineStr">
        <is>
          <t>484-SER</t>
        </is>
      </c>
      <c r="H831" s="441" t="inlineStr">
        <is>
          <t>INSIGHT</t>
        </is>
      </c>
      <c r="I831" s="441" t="inlineStr">
        <is>
          <t>INSIGHT</t>
        </is>
      </c>
      <c r="J831" s="441" t="n"/>
      <c r="K831" s="441" t="n"/>
      <c r="L831" s="442" t="inlineStr">
        <is>
          <t>Conclusão da Desmontagem e montagem eletromecânica completa</t>
        </is>
      </c>
      <c r="M831" s="443">
        <f>O831/$N$826</f>
        <v/>
      </c>
      <c r="N831" s="1357" t="n"/>
      <c r="O831" s="1346" t="n">
        <v>165979.5</v>
      </c>
      <c r="P831" s="556" t="n"/>
      <c r="Q831" s="1398" t="n"/>
    </row>
    <row r="832" outlineLevel="1" ht="41.4" customHeight="1">
      <c r="A832" s="477">
        <f>'01_Preço'!$A$631</f>
        <v/>
      </c>
      <c r="B832" s="469">
        <f>'01_Preço'!A636</f>
        <v/>
      </c>
      <c r="C832" s="469">
        <f>'01_Preço'!B636</f>
        <v/>
      </c>
      <c r="D832" s="442">
        <f>'01_Preço'!E636</f>
        <v/>
      </c>
      <c r="E832" s="449" t="n">
        <v>30</v>
      </c>
      <c r="F832" s="1348">
        <f>VLOOKUP(E832,'Tabela de mês'!$A$1:$B$54,2,TRUE)</f>
        <v/>
      </c>
      <c r="G832" s="510" t="inlineStr">
        <is>
          <t>485-SER</t>
        </is>
      </c>
      <c r="H832" s="441" t="inlineStr">
        <is>
          <t>INSIGHT</t>
        </is>
      </c>
      <c r="I832" s="441" t="inlineStr">
        <is>
          <t>INSIGHT</t>
        </is>
      </c>
      <c r="J832" s="441" t="n"/>
      <c r="K832" s="441" t="n"/>
      <c r="L832" s="442" t="inlineStr">
        <is>
          <t>Conclusão do lançamento da rede óptica, incluíndo as adequações civis necessárias</t>
        </is>
      </c>
      <c r="M832" s="443">
        <f>O832/$N$826</f>
        <v/>
      </c>
      <c r="N832" s="1357" t="n"/>
      <c r="O832" s="1346" t="n">
        <v>86529.60000000001</v>
      </c>
      <c r="P832" s="556" t="n">
        <v>27</v>
      </c>
      <c r="Q832" s="1398" t="n">
        <v>69223.68000000001</v>
      </c>
    </row>
    <row r="833" outlineLevel="1" ht="27.6" customHeight="1">
      <c r="A833" s="477">
        <f>'01_Preço'!$A$631</f>
        <v/>
      </c>
      <c r="B833" s="469">
        <f>'01_Preço'!A638</f>
        <v/>
      </c>
      <c r="C833" s="469">
        <f>'01_Preço'!B638</f>
        <v/>
      </c>
      <c r="D833" s="442">
        <f>'01_Preço'!E638</f>
        <v/>
      </c>
      <c r="E833" s="449" t="n">
        <v>31</v>
      </c>
      <c r="F833" s="1348">
        <f>VLOOKUP(E833,'Tabela de mês'!$A$1:$B$54,2,TRUE)</f>
        <v/>
      </c>
      <c r="G833" s="510" t="inlineStr">
        <is>
          <t>486-SER</t>
        </is>
      </c>
      <c r="H833" s="469" t="inlineStr">
        <is>
          <t>INSIGHT</t>
        </is>
      </c>
      <c r="I833" s="469" t="inlineStr">
        <is>
          <t>INSIGHT</t>
        </is>
      </c>
      <c r="J833" s="469" t="n"/>
      <c r="K833" s="469" t="n"/>
      <c r="L833" s="442" t="inlineStr">
        <is>
          <t>Conclusão da supervisão, ensaios de campo e comissionamento</t>
        </is>
      </c>
      <c r="M833" s="443">
        <f>O833/$N$826</f>
        <v/>
      </c>
      <c r="N833" s="1357" t="n"/>
      <c r="O833" s="1346" t="n">
        <v>110128.57</v>
      </c>
      <c r="P833" s="556" t="n">
        <v>27</v>
      </c>
      <c r="Q833" s="1398" t="n">
        <v>88102.864</v>
      </c>
    </row>
    <row r="834" outlineLevel="1" ht="27.6" customHeight="1">
      <c r="A834" s="477">
        <f>'01_Preço'!$A$631</f>
        <v/>
      </c>
      <c r="B834" s="469">
        <f>'01_Preço'!A640</f>
        <v/>
      </c>
      <c r="C834" s="469">
        <f>'01_Preço'!B640</f>
        <v/>
      </c>
      <c r="D834" s="442" t="inlineStr">
        <is>
          <t>Equipamentos e materiais</t>
        </is>
      </c>
      <c r="E834" s="449" t="n">
        <v>29</v>
      </c>
      <c r="F834" s="1348">
        <f>VLOOKUP(E834,'Tabela de mês'!$A$1:$B$54,2,TRUE)</f>
        <v/>
      </c>
      <c r="G834" s="510" t="inlineStr">
        <is>
          <t>481-MAT</t>
        </is>
      </c>
      <c r="H834" s="441" t="inlineStr">
        <is>
          <t>INSIGHT</t>
        </is>
      </c>
      <c r="I834" s="441" t="inlineStr">
        <is>
          <t>INSIGHT</t>
        </is>
      </c>
      <c r="J834" s="441" t="n"/>
      <c r="K834" s="441" t="n"/>
      <c r="L834" s="442" t="inlineStr">
        <is>
          <t>Entrega em campo dos equipamentos e materiais de telecomunicações para vertedouros/barragem/tomada d'água</t>
        </is>
      </c>
      <c r="M834" s="443">
        <f>O834/$N$826</f>
        <v/>
      </c>
      <c r="N834" s="1357" t="n"/>
      <c r="O834" s="1346" t="n">
        <v>470396.98</v>
      </c>
      <c r="P834" s="556" t="n">
        <v>25</v>
      </c>
      <c r="Q834" s="1398" t="n">
        <v>376317.584</v>
      </c>
    </row>
    <row r="835" outlineLevel="1" ht="27.6" customHeight="1">
      <c r="A835" s="477">
        <f>'01_Preço'!$A$631</f>
        <v/>
      </c>
      <c r="B835" s="469">
        <f>'01_Preço'!A642</f>
        <v/>
      </c>
      <c r="C835" s="469">
        <f>'01_Preço'!B642</f>
        <v/>
      </c>
      <c r="D835" s="442" t="inlineStr">
        <is>
          <t>Equipamentos e materiais</t>
        </is>
      </c>
      <c r="E835" s="449" t="n">
        <v>29</v>
      </c>
      <c r="F835" s="1348">
        <f>VLOOKUP(E835,'Tabela de mês'!$A$1:$B$54,2,TRUE)</f>
        <v/>
      </c>
      <c r="G835" s="510" t="inlineStr">
        <is>
          <t>482-MAT</t>
        </is>
      </c>
      <c r="H835" s="441" t="inlineStr">
        <is>
          <t>INSIGHT</t>
        </is>
      </c>
      <c r="I835" s="441" t="inlineStr">
        <is>
          <t>INSIGHT</t>
        </is>
      </c>
      <c r="J835" s="441" t="n"/>
      <c r="K835" s="441" t="n"/>
      <c r="L835" s="442" t="inlineStr">
        <is>
          <t>Entrega em campo dos equipamentos e materiais de telecomunicações para Casa de Força</t>
        </is>
      </c>
      <c r="M835" s="443">
        <f>O835/$N$826</f>
        <v/>
      </c>
      <c r="N835" s="1357" t="n"/>
      <c r="O835" s="1346" t="n">
        <v>124878.73</v>
      </c>
      <c r="P835" s="556" t="n">
        <v>25</v>
      </c>
      <c r="Q835" s="1398" t="n">
        <v>99902.984</v>
      </c>
    </row>
    <row r="836" outlineLevel="1" ht="28.2" customHeight="1" thickBot="1">
      <c r="A836" s="477">
        <f>'01_Preço'!$A$631</f>
        <v/>
      </c>
      <c r="B836" s="469">
        <f>'01_Preço'!A644</f>
        <v/>
      </c>
      <c r="C836" s="469">
        <f>'01_Preço'!B644</f>
        <v/>
      </c>
      <c r="D836" s="442" t="inlineStr">
        <is>
          <t>Equipamentos e materiais</t>
        </is>
      </c>
      <c r="E836" s="449" t="n">
        <v>29</v>
      </c>
      <c r="F836" s="1348">
        <f>VLOOKUP(E836,'Tabela de mês'!$A$1:$B$54,2,TRUE)</f>
        <v/>
      </c>
      <c r="G836" s="510" t="inlineStr">
        <is>
          <t>483-MAT</t>
        </is>
      </c>
      <c r="H836" s="441" t="inlineStr">
        <is>
          <t>INSIGHT</t>
        </is>
      </c>
      <c r="I836" s="441" t="inlineStr">
        <is>
          <t>INSIGHT</t>
        </is>
      </c>
      <c r="J836" s="441" t="n"/>
      <c r="K836" s="441" t="n"/>
      <c r="L836" s="442" t="inlineStr">
        <is>
          <t>Entrega em campo dos equipamentos e materiais para rede óptica entre Casa de Força, Barragem Guanhães, Barragem Santo Antônio e Tomada d'água</t>
        </is>
      </c>
      <c r="M836" s="443">
        <f>O836/$N$826</f>
        <v/>
      </c>
      <c r="N836" s="1357" t="n"/>
      <c r="O836" s="1381" t="n">
        <v>480342.81</v>
      </c>
      <c r="P836" s="556" t="n">
        <v>25</v>
      </c>
      <c r="Q836" s="1398" t="n">
        <v>384274.248</v>
      </c>
    </row>
    <row r="837" ht="16.2" customHeight="1" thickBot="1">
      <c r="A837" s="241" t="n"/>
      <c r="B837" s="189" t="n"/>
      <c r="C837" s="189" t="n"/>
      <c r="D837" s="242" t="n"/>
      <c r="E837" s="455" t="n"/>
      <c r="F837" s="455" t="n"/>
      <c r="G837" s="183" t="n"/>
      <c r="H837" s="183" t="n"/>
      <c r="I837" s="183" t="n"/>
      <c r="J837" s="183" t="n"/>
      <c r="K837" s="183" t="n"/>
      <c r="L837" s="244" t="n"/>
      <c r="M837" s="430" t="inlineStr">
        <is>
          <t>TOTAL</t>
        </is>
      </c>
      <c r="N837" s="1400">
        <f>SUM(N9:N836)</f>
        <v/>
      </c>
      <c r="O837" s="1401" t="n"/>
      <c r="P837" s="455" t="n"/>
      <c r="Q837" s="1401" t="n"/>
      <c r="R837" s="1327" t="n"/>
      <c r="S837" s="1327" t="n"/>
      <c r="T837" s="1327" t="n"/>
    </row>
    <row r="838" ht="19.5" customFormat="1" customHeight="1" s="191" thickBot="1">
      <c r="A838" s="185" t="n"/>
      <c r="B838" s="186" t="n"/>
      <c r="C838" s="186" t="n"/>
      <c r="D838" s="187" t="n"/>
      <c r="E838" s="456" t="n"/>
      <c r="F838" s="456" t="n"/>
      <c r="G838" s="188" t="n"/>
      <c r="H838" s="188" t="n"/>
      <c r="I838" s="188" t="n"/>
      <c r="J838" s="188" t="n"/>
      <c r="K838" s="188" t="n"/>
      <c r="L838" s="189" t="n"/>
      <c r="M838" s="190" t="n"/>
      <c r="N838" s="190" t="n"/>
      <c r="O838" s="1402" t="n"/>
    </row>
    <row r="839" ht="116.25" customHeight="1" thickBot="1">
      <c r="A839" s="1403" t="inlineStr">
        <is>
          <t>NOTA:
1.	Não serão permitidas alterações ou modificações em nenhum dado informado ou estrutura desta planilha, ficando a empresa PROPONENTE responsável pelo preenchimento dos campos destacados em amarelo, conforme regras do edital.
2.	Os itens relacionados são meramente indicativos do escopo, cabendo a empresa PROPONENTE realizar todo o fornecimento de materiais e/ou serviços, ainda que não listados, mas que sejam usuais ou necessários à eficiente execução do escopo contratado, sem ônus adicional para a CONTRATANTE, para o completo atendimento ao CONTRATO.
3.	A PROPONENTE fornecerá os sobressalentes listados nas Especificações Técnicas, conforme itens da Minuta do Contrato, no mais tardar até a Data de Disponibilidade para Reinício de Operação da respectiva unidade Funcional e
para os sobressalentes da MODERNIZAÇÃO E DIGITALIZAÇÃO DA SE UHE SALTO GRANDE - ATIVOS CEMIG-D, até o final de seu comissionamento.</t>
        </is>
      </c>
      <c r="B839" s="1139" t="n"/>
      <c r="C839" s="1139" t="n"/>
      <c r="D839" s="1139" t="n"/>
      <c r="E839" s="1139" t="n"/>
      <c r="F839" s="1139" t="n"/>
      <c r="G839" s="1139" t="n"/>
      <c r="H839" s="1139" t="n"/>
      <c r="I839" s="1139" t="n"/>
      <c r="J839" s="1139" t="n"/>
      <c r="K839" s="1139" t="n"/>
      <c r="L839" s="1139" t="n"/>
      <c r="M839" s="1139" t="n"/>
      <c r="N839" s="1139" t="n"/>
      <c r="O839" s="1140" t="n"/>
    </row>
    <row r="840" ht="9" customHeight="1" thickBot="1">
      <c r="A840" s="241" t="n"/>
      <c r="B840" s="189" t="n"/>
      <c r="C840" s="189" t="n"/>
      <c r="D840" s="242" t="n"/>
      <c r="E840" s="455" t="n"/>
      <c r="F840" s="455" t="n"/>
      <c r="G840" s="183" t="n"/>
      <c r="H840" s="183" t="n"/>
      <c r="I840" s="183" t="n"/>
      <c r="J840" s="183" t="n"/>
      <c r="K840" s="183" t="n"/>
      <c r="L840" s="189" t="n"/>
      <c r="M840" s="189" t="n"/>
      <c r="N840" s="189" t="n"/>
      <c r="O840" s="1404" t="n"/>
    </row>
    <row r="841" ht="9" customHeight="1">
      <c r="A841" s="100" t="n"/>
      <c r="B841" s="100" t="n"/>
      <c r="C841" s="100" t="n"/>
      <c r="D841" s="182" t="n"/>
      <c r="E841" s="457" t="n"/>
      <c r="F841" s="457" t="n"/>
      <c r="G841" s="184" t="n"/>
      <c r="H841" s="184" t="n"/>
      <c r="I841" s="184" t="n"/>
      <c r="J841" s="184" t="n"/>
      <c r="K841" s="184" t="n"/>
      <c r="L841" s="100" t="n"/>
      <c r="M841" s="100" t="n"/>
      <c r="N841" s="100" t="n"/>
      <c r="O841" s="1405" t="n"/>
    </row>
    <row r="842" ht="27" customHeight="1">
      <c r="L842" s="184" t="n"/>
    </row>
    <row r="843" ht="27" customHeight="1">
      <c r="L843" s="1406" t="n"/>
    </row>
    <row r="844" ht="27" customHeight="1">
      <c r="J844" s="1407" t="n"/>
      <c r="L844" s="184" t="n"/>
    </row>
    <row r="845" ht="27" customHeight="1">
      <c r="L845" s="1406" t="n"/>
      <c r="M845" s="1327" t="n"/>
      <c r="P845" s="745" t="n"/>
    </row>
    <row r="846" ht="27" customHeight="1">
      <c r="L846" s="184" t="n"/>
      <c r="P846" s="457" t="n"/>
      <c r="Q846" s="1405" t="n"/>
    </row>
    <row r="847" ht="27" customHeight="1">
      <c r="L847" s="184" t="n"/>
      <c r="Q847" s="1318" t="n"/>
    </row>
    <row r="848" ht="27" customHeight="1">
      <c r="L848" s="184" t="n"/>
      <c r="P848" s="457" t="n"/>
      <c r="Q848" s="1405" t="n"/>
    </row>
    <row r="849" ht="27" customHeight="1">
      <c r="L849" s="184" t="n"/>
    </row>
    <row r="850" ht="27" customHeight="1">
      <c r="L850" s="184" t="n"/>
    </row>
    <row r="851" ht="27" customHeight="1">
      <c r="C851" s="194" t="n"/>
      <c r="L851" s="184" t="n"/>
      <c r="M851" s="195" t="n"/>
      <c r="N851" s="195" t="n"/>
      <c r="O851" s="1405" t="n"/>
    </row>
    <row r="852" ht="27" customHeight="1">
      <c r="C852" s="194" t="n"/>
      <c r="D852" s="196" t="n"/>
      <c r="E852" s="459" t="n"/>
      <c r="F852" s="459" t="n"/>
      <c r="G852" s="184" t="n"/>
      <c r="H852" s="184" t="n"/>
      <c r="I852" s="184" t="n"/>
      <c r="J852" s="184" t="n"/>
      <c r="K852" s="184" t="n"/>
      <c r="L852" s="184" t="n"/>
      <c r="M852" s="100" t="n"/>
      <c r="N852" s="100" t="n"/>
      <c r="O852" s="1405" t="n"/>
    </row>
    <row r="858" ht="27" customHeight="1">
      <c r="Q858" s="1405" t="n"/>
    </row>
    <row r="859" ht="27" customHeight="1">
      <c r="P859" s="459" t="n"/>
      <c r="Q859" s="1405" t="n"/>
    </row>
  </sheetData>
  <autoFilter ref="A9:O839"/>
  <mergeCells count="38">
    <mergeCell ref="A793:M793"/>
    <mergeCell ref="A607:M607"/>
    <mergeCell ref="A483:M483"/>
    <mergeCell ref="U6:V6"/>
    <mergeCell ref="M7:O7"/>
    <mergeCell ref="A180:M180"/>
    <mergeCell ref="A780:M780"/>
    <mergeCell ref="A700:M700"/>
    <mergeCell ref="E6:G6"/>
    <mergeCell ref="A10:M10"/>
    <mergeCell ref="A621:M621"/>
    <mergeCell ref="A274:M274"/>
    <mergeCell ref="A392:M392"/>
    <mergeCell ref="A2:O2"/>
    <mergeCell ref="A764:M764"/>
    <mergeCell ref="U11:V11"/>
    <mergeCell ref="A500:M500"/>
    <mergeCell ref="B6:D6"/>
    <mergeCell ref="B5:D5"/>
    <mergeCell ref="A669:M669"/>
    <mergeCell ref="A694:M694"/>
    <mergeCell ref="A241:M241"/>
    <mergeCell ref="M4:O4"/>
    <mergeCell ref="A492:M492"/>
    <mergeCell ref="B4:G4"/>
    <mergeCell ref="A548:M548"/>
    <mergeCell ref="A839:O839"/>
    <mergeCell ref="A212:M212"/>
    <mergeCell ref="A581:M581"/>
    <mergeCell ref="A66:M66"/>
    <mergeCell ref="A826:M826"/>
    <mergeCell ref="E5:G5"/>
    <mergeCell ref="A807:M807"/>
    <mergeCell ref="A1:O1"/>
    <mergeCell ref="A645:M645"/>
    <mergeCell ref="D7:G7"/>
    <mergeCell ref="A7:C7"/>
    <mergeCell ref="A113:M113"/>
  </mergeCells>
  <conditionalFormatting sqref="A695:D695">
    <cfRule type="containsBlanks" priority="3" dxfId="1">
      <formula>LEN(TRIM(A695))=0</formula>
    </cfRule>
  </conditionalFormatting>
  <conditionalFormatting sqref="E12:E25 E27:E30 E32:E38 E40:E50 E52:E65 E68:E75 E77:E80 E82:E85 E87:E94 E96:E100 E102:E107 E109:E112 E115:E126 E128:E131 E133:E136 E138:E141 E143:E148 E150:E153 E155:E159 E161:E164 E166:E169 E171:E174 E176:E179 E238:F240 E702:F763 E815:F825 P68:P75">
    <cfRule type="containsBlanks" priority="317" dxfId="1">
      <formula>LEN(TRIM(E12))=0</formula>
    </cfRule>
  </conditionalFormatting>
  <conditionalFormatting sqref="E182:E186 E188:E191 E193:E196 E198:E204 E206:E211">
    <cfRule type="containsBlanks" priority="109" dxfId="1">
      <formula>LEN(TRIM(E182))=0</formula>
    </cfRule>
  </conditionalFormatting>
  <conditionalFormatting sqref="E214:E218">
    <cfRule type="containsBlanks" priority="78" dxfId="1">
      <formula>LEN(TRIM(E214))=0</formula>
    </cfRule>
  </conditionalFormatting>
  <conditionalFormatting sqref="E220:E223">
    <cfRule type="containsBlanks" priority="77" dxfId="1">
      <formula>LEN(TRIM(E220))=0</formula>
    </cfRule>
  </conditionalFormatting>
  <conditionalFormatting sqref="E225:E228">
    <cfRule type="containsBlanks" priority="76" dxfId="1">
      <formula>LEN(TRIM(E225))=0</formula>
    </cfRule>
  </conditionalFormatting>
  <conditionalFormatting sqref="E230:E234">
    <cfRule type="containsBlanks" priority="74" dxfId="1">
      <formula>LEN(TRIM(E230))=0</formula>
    </cfRule>
  </conditionalFormatting>
  <conditionalFormatting sqref="E236:E237">
    <cfRule type="containsBlanks" priority="73" dxfId="1">
      <formula>LEN(TRIM(E236))=0</formula>
    </cfRule>
  </conditionalFormatting>
  <conditionalFormatting sqref="E243:E249 E251:E255 E257:E261 E263:E267 E269:E273">
    <cfRule type="containsBlanks" priority="107" dxfId="1">
      <formula>LEN(TRIM(E243))=0</formula>
    </cfRule>
  </conditionalFormatting>
  <conditionalFormatting sqref="E276:E286 E288:E291 E293:E294 E296:E297 E299:E300 E302:F303 E305:E306 E308:E309 E311:E312 E314:E315 E317:E318 E320:E321 E323:E324 E326:E327 E329:E330 E332:E333 E335:E338 E340:E341 E343:E344 E346:E349 E351:E354 E356:E359 E361:E362 E364:E365 E367:E368 E370:E373 E375:E378 E380:E383 E385:E388 E390:F391">
    <cfRule type="containsBlanks" priority="106" dxfId="1">
      <formula>LEN(TRIM(E276))=0</formula>
    </cfRule>
  </conditionalFormatting>
  <conditionalFormatting sqref="E394:E402 E404:E407 E414:E417 E419:E422 E424:E427 E429:E432 E434:E437 E439:E442 E444:E447 E449:E452 E454:E457 E459:E462 E464:E467 E469:E472 E474:E477 E479:E482">
    <cfRule type="containsBlanks" priority="105" dxfId="1">
      <formula>LEN(TRIM(E394))=0</formula>
    </cfRule>
  </conditionalFormatting>
  <conditionalFormatting sqref="E409:E412">
    <cfRule type="containsBlanks" priority="72" dxfId="1">
      <formula>LEN(TRIM(E409))=0</formula>
    </cfRule>
  </conditionalFormatting>
  <conditionalFormatting sqref="E485:E491">
    <cfRule type="containsBlanks" priority="104" dxfId="1">
      <formula>LEN(TRIM(E485))=0</formula>
    </cfRule>
  </conditionalFormatting>
  <conditionalFormatting sqref="E494:E499">
    <cfRule type="containsBlanks" priority="103" dxfId="1">
      <formula>LEN(TRIM(E494))=0</formula>
    </cfRule>
  </conditionalFormatting>
  <conditionalFormatting sqref="E502:E510 E512:E515 E517:E520 E522:E523 E525:E526 E528:E532 E543:E546 E547:F547">
    <cfRule type="containsBlanks" priority="102" dxfId="1">
      <formula>LEN(TRIM(E502))=0</formula>
    </cfRule>
  </conditionalFormatting>
  <conditionalFormatting sqref="E534:E541 G534:G541">
    <cfRule type="containsBlanks" priority="79" dxfId="1">
      <formula>LEN(TRIM(E534))=0</formula>
    </cfRule>
  </conditionalFormatting>
  <conditionalFormatting sqref="E550:E554 E567:E571 E573:E574 E576:E577 E579:E580">
    <cfRule type="containsBlanks" priority="101" dxfId="1">
      <formula>LEN(TRIM(E550))=0</formula>
    </cfRule>
  </conditionalFormatting>
  <conditionalFormatting sqref="E556:E559">
    <cfRule type="containsBlanks" priority="68" dxfId="1">
      <formula>LEN(TRIM(E556))=0</formula>
    </cfRule>
  </conditionalFormatting>
  <conditionalFormatting sqref="E561:E565">
    <cfRule type="containsBlanks" priority="67" dxfId="1">
      <formula>LEN(TRIM(E561))=0</formula>
    </cfRule>
  </conditionalFormatting>
  <conditionalFormatting sqref="E583:E588 E603:E606">
    <cfRule type="containsBlanks" priority="100" dxfId="1">
      <formula>LEN(TRIM(E583))=0</formula>
    </cfRule>
  </conditionalFormatting>
  <conditionalFormatting sqref="E590:E591">
    <cfRule type="containsBlanks" priority="66" dxfId="1">
      <formula>LEN(TRIM(E590))=0</formula>
    </cfRule>
  </conditionalFormatting>
  <conditionalFormatting sqref="E593:E596">
    <cfRule type="containsBlanks" priority="65" dxfId="1">
      <formula>LEN(TRIM(E593))=0</formula>
    </cfRule>
  </conditionalFormatting>
  <conditionalFormatting sqref="E598:E601">
    <cfRule type="containsBlanks" priority="64" dxfId="1">
      <formula>LEN(TRIM(E598))=0</formula>
    </cfRule>
  </conditionalFormatting>
  <conditionalFormatting sqref="E609:E612 E613:F620">
    <cfRule type="containsBlanks" priority="99" dxfId="1">
      <formula>LEN(TRIM(E609))=0</formula>
    </cfRule>
  </conditionalFormatting>
  <conditionalFormatting sqref="E623:F629 E631:F644">
    <cfRule type="containsBlanks" priority="98" dxfId="1">
      <formula>LEN(TRIM(E623))=0</formula>
    </cfRule>
  </conditionalFormatting>
  <conditionalFormatting sqref="E647:F650 E652:F659 E666:F666 E668:F668">
    <cfRule type="containsBlanks" priority="97" dxfId="1">
      <formula>LEN(TRIM(E647))=0</formula>
    </cfRule>
  </conditionalFormatting>
  <conditionalFormatting sqref="E661:F664">
    <cfRule type="containsBlanks" priority="61" dxfId="1">
      <formula>LEN(TRIM(E661))=0</formula>
    </cfRule>
  </conditionalFormatting>
  <conditionalFormatting sqref="E671:F674">
    <cfRule type="containsBlanks" priority="59" dxfId="1">
      <formula>LEN(TRIM(E671))=0</formula>
    </cfRule>
  </conditionalFormatting>
  <conditionalFormatting sqref="E676:F683">
    <cfRule type="containsBlanks" priority="60" dxfId="1">
      <formula>LEN(TRIM(E676))=0</formula>
    </cfRule>
  </conditionalFormatting>
  <conditionalFormatting sqref="E685:F688">
    <cfRule type="containsBlanks" priority="57" dxfId="1">
      <formula>LEN(TRIM(E685))=0</formula>
    </cfRule>
  </conditionalFormatting>
  <conditionalFormatting sqref="E690:F693">
    <cfRule type="containsBlanks" priority="96" dxfId="1">
      <formula>LEN(TRIM(E690))=0</formula>
    </cfRule>
  </conditionalFormatting>
  <conditionalFormatting sqref="E695:F696 E698:F699">
    <cfRule type="containsBlanks" priority="95" dxfId="1">
      <formula>LEN(TRIM(E695))=0</formula>
    </cfRule>
  </conditionalFormatting>
  <conditionalFormatting sqref="E766:F768">
    <cfRule type="containsBlanks" priority="56" dxfId="1">
      <formula>LEN(TRIM(E766))=0</formula>
    </cfRule>
  </conditionalFormatting>
  <conditionalFormatting sqref="E770:F772">
    <cfRule type="containsBlanks" priority="55" dxfId="1">
      <formula>LEN(TRIM(E770))=0</formula>
    </cfRule>
  </conditionalFormatting>
  <conditionalFormatting sqref="E774:F776 E778:F779">
    <cfRule type="containsBlanks" priority="93" dxfId="1">
      <formula>LEN(TRIM(E774))=0</formula>
    </cfRule>
  </conditionalFormatting>
  <conditionalFormatting sqref="E782:F786">
    <cfRule type="containsBlanks" priority="92" dxfId="1">
      <formula>LEN(TRIM(E782))=0</formula>
    </cfRule>
  </conditionalFormatting>
  <conditionalFormatting sqref="E788:F792">
    <cfRule type="containsBlanks" priority="51" dxfId="1">
      <formula>LEN(TRIM(E788))=0</formula>
    </cfRule>
  </conditionalFormatting>
  <conditionalFormatting sqref="E795:F799">
    <cfRule type="containsBlanks" priority="44" dxfId="1">
      <formula>LEN(TRIM(E795))=0</formula>
    </cfRule>
  </conditionalFormatting>
  <conditionalFormatting sqref="E801:F806">
    <cfRule type="containsBlanks" priority="40" dxfId="1">
      <formula>LEN(TRIM(E801))=0</formula>
    </cfRule>
  </conditionalFormatting>
  <conditionalFormatting sqref="E809:F813">
    <cfRule type="containsBlanks" priority="90" dxfId="1">
      <formula>LEN(TRIM(E809))=0</formula>
    </cfRule>
  </conditionalFormatting>
  <conditionalFormatting sqref="E828:F836">
    <cfRule type="containsBlanks" priority="89" dxfId="1">
      <formula>LEN(TRIM(E828))=0</formula>
    </cfRule>
  </conditionalFormatting>
  <conditionalFormatting sqref="F488:F491">
    <cfRule type="containsBlanks" priority="71" dxfId="1">
      <formula>LEN(TRIM(F488))=0</formula>
    </cfRule>
  </conditionalFormatting>
  <conditionalFormatting sqref="F497:F499">
    <cfRule type="containsBlanks" priority="70" dxfId="1">
      <formula>LEN(TRIM(F497))=0</formula>
    </cfRule>
  </conditionalFormatting>
  <conditionalFormatting sqref="G182:G186">
    <cfRule type="containsBlanks" priority="289" dxfId="1">
      <formula>LEN(TRIM(G182))=0</formula>
    </cfRule>
  </conditionalFormatting>
  <conditionalFormatting sqref="G188:G191">
    <cfRule type="containsBlanks" priority="287" dxfId="1">
      <formula>LEN(TRIM(G188))=0</formula>
    </cfRule>
  </conditionalFormatting>
  <conditionalFormatting sqref="G193:G196">
    <cfRule type="containsBlanks" priority="84" dxfId="1">
      <formula>LEN(TRIM(G193))=0</formula>
    </cfRule>
  </conditionalFormatting>
  <conditionalFormatting sqref="G198:G204">
    <cfRule type="containsBlanks" priority="285" dxfId="1">
      <formula>LEN(TRIM(G198))=0</formula>
    </cfRule>
  </conditionalFormatting>
  <conditionalFormatting sqref="G206:G211">
    <cfRule type="containsBlanks" priority="81" dxfId="1">
      <formula>LEN(TRIM(G206))=0</formula>
    </cfRule>
  </conditionalFormatting>
  <conditionalFormatting sqref="G543:G546">
    <cfRule type="containsBlanks" priority="80" dxfId="1">
      <formula>LEN(TRIM(G543))=0</formula>
    </cfRule>
  </conditionalFormatting>
  <conditionalFormatting sqref="G695">
    <cfRule type="containsBlanks" priority="8" dxfId="1">
      <formula>LEN(TRIM(G695))=0</formula>
    </cfRule>
  </conditionalFormatting>
  <conditionalFormatting sqref="L695">
    <cfRule type="containsBlanks" priority="7" dxfId="1">
      <formula>LEN(TRIM(L695))=0</formula>
    </cfRule>
  </conditionalFormatting>
  <conditionalFormatting sqref="P12:P25 P206:P207 P211 P236:P240 P369:P373 P543:P547 P590:P591 P603:P606 P623:P628 P644 P652:P659 P668 P690:P693">
    <cfRule type="containsBlanks" priority="39" dxfId="1">
      <formula>LEN(TRIM(P12))=0</formula>
    </cfRule>
  </conditionalFormatting>
  <conditionalFormatting sqref="P27:P30 P32:P38 P40:P50 P52:P56 P77:P80 P82:P85 P87:P94 P96:P100 P214:P218 P220:P223 P225:P228 P230:P233 P243:P249 P251:P255 P257:P261 P263:P267 P269:P273 P276:P286 P288:P291 P293:P294 P296:P297 P299:P300 P302:P303 P305:P306 P308:P309 P311:P312 P314:P315 P317:P318 P320:P321 P323:P324 P326:P327 P329:P330 P332:P333 P335:P338 P340:P341 P343:P344 P346:P349 P351:P354 P356:P359 P361:P364 P366:P367 P375:P378 P380:P383 P385:P388 P390:P391 P394:P402 P404:P407 P409:P412 P414:P417 P419:P422 P424:P427 P429:P432 P434:P437 P439:P442 P444:P447 P449:P452 P454:P457 P459:P462 P464:P467 P469:P472 P474:P477 P479:P482 P485:P487 P490:P491 P494:P499 P502:P510 P512:P515 P517:P520 P522:P523 P525:P541 P550:P554 P556:P559 P561:P565 P567:P571 P573:P574 P576:P577 P579:P580 P593:P596 P598:P601 P609:P620 P647:P650 P661:P664 P671:P674 P676:P683 P685:P688 P695:P696 P702:P763 P794:P799 P808:P813 P815:P816">
    <cfRule type="containsBlanks" priority="38" dxfId="1">
      <formula>LEN(TRIM(P27))=0</formula>
    </cfRule>
  </conditionalFormatting>
  <conditionalFormatting sqref="P102:P107 P193:P196">
    <cfRule type="containsBlanks" priority="35" dxfId="1">
      <formula>LEN(TRIM(P102))=0</formula>
    </cfRule>
  </conditionalFormatting>
  <conditionalFormatting sqref="P109:P112 P198:P201">
    <cfRule type="containsBlanks" priority="34" dxfId="1">
      <formula>LEN(TRIM(P109))=0</formula>
    </cfRule>
  </conditionalFormatting>
  <conditionalFormatting sqref="P115:P158">
    <cfRule type="containsBlanks" priority="21" dxfId="1">
      <formula>LEN(TRIM(P115))=0</formula>
    </cfRule>
  </conditionalFormatting>
  <conditionalFormatting sqref="P161:P164">
    <cfRule type="containsBlanks" priority="20" dxfId="1">
      <formula>LEN(TRIM(P161))=0</formula>
    </cfRule>
  </conditionalFormatting>
  <conditionalFormatting sqref="P166:P169">
    <cfRule type="containsBlanks" priority="19" dxfId="1">
      <formula>LEN(TRIM(P166))=0</formula>
    </cfRule>
  </conditionalFormatting>
  <conditionalFormatting sqref="P171:P174">
    <cfRule type="containsBlanks" priority="18" dxfId="1">
      <formula>LEN(TRIM(P171))=0</formula>
    </cfRule>
  </conditionalFormatting>
  <conditionalFormatting sqref="P176:P179">
    <cfRule type="containsBlanks" priority="17" dxfId="1">
      <formula>LEN(TRIM(P176))=0</formula>
    </cfRule>
  </conditionalFormatting>
  <conditionalFormatting sqref="P182:P186">
    <cfRule type="containsBlanks" priority="16" dxfId="1">
      <formula>LEN(TRIM(P182))=0</formula>
    </cfRule>
  </conditionalFormatting>
  <conditionalFormatting sqref="P188:P191">
    <cfRule type="containsBlanks" priority="36" dxfId="1">
      <formula>LEN(TRIM(P188))=0</formula>
    </cfRule>
  </conditionalFormatting>
  <conditionalFormatting sqref="P583:P588">
    <cfRule type="containsBlanks" priority="1" dxfId="1">
      <formula>LEN(TRIM(P583))=0</formula>
    </cfRule>
  </conditionalFormatting>
  <conditionalFormatting sqref="P666">
    <cfRule type="containsBlanks" priority="29" dxfId="1">
      <formula>LEN(TRIM(P666))=0</formula>
    </cfRule>
  </conditionalFormatting>
  <conditionalFormatting sqref="P765:P776 P778:P779">
    <cfRule type="containsBlanks" priority="9" dxfId="1">
      <formula>LEN(TRIM(P765))=0</formula>
    </cfRule>
  </conditionalFormatting>
  <conditionalFormatting sqref="P781:P792">
    <cfRule type="containsBlanks" priority="10" dxfId="1">
      <formula>LEN(TRIM(P781))=0</formula>
    </cfRule>
  </conditionalFormatting>
  <conditionalFormatting sqref="P801:P806">
    <cfRule type="containsBlanks" priority="11" dxfId="1">
      <formula>LEN(TRIM(P801))=0</formula>
    </cfRule>
  </conditionalFormatting>
  <conditionalFormatting sqref="P828:P830">
    <cfRule type="containsBlanks" priority="13" dxfId="1">
      <formula>LEN(TRIM(P828))=0</formula>
    </cfRule>
  </conditionalFormatting>
  <conditionalFormatting sqref="P832:P836">
    <cfRule type="containsBlanks" priority="12" dxfId="1">
      <formula>LEN(TRIM(P832))=0</formula>
    </cfRule>
  </conditionalFormatting>
  <dataValidations count="4">
    <dataValidation sqref="G3:K3 G8:K8 O607 Q607" showDropDown="0" showInputMessage="0" showErrorMessage="1" allowBlank="1" errorTitle="Atenção" error="Digite um valor maior que zero!" promptTitle="Entrada dos Preços" prompt="Digite o preço correspondente de sua proposta." type="decimal" operator="greaterThan">
      <formula1>0</formula1>
    </dataValidation>
    <dataValidation sqref="E11:E25 E26:F26 E27:E30 E31:F31 E32:E37 E39:E48 E51:E65 E67:E84 E86:E89 E91:E93 E95:E112 E114:E179 E181:E200 E202:E210 E213:E232 E234:E240 E242:E266 E268:E273 E275:E391 E393:E398 E403:E482 E484:E491 E493:E499 E501:E547 E549:E569 E572:E580 E582:E595 E597:E600 E602:E606 E608:E620 E622:E643 E646:E663 E665:E666 E667:F667 E668 E670:E687 E689:E693 E695:E696 E698:E699 E701:E746 E748:E749 E751:E753 E756:E757 E759:E760 E762:E763 E765:E769 E773:E779 E781:F781 E782:E792 E794:F794 E795:E806 E808:E813 E815:E825 E827:E836 F11 F39 F51 F67 F76 F81 F86 F95 F101 F108 F114 F127 F132 F137 F142 F149 F154 F160 F165 F170 F175 F181 F187 F192 F197 F205 F213 F219 F224 F229 F235 F242 F250 F256 F262 F268 F275 F287 F292 F295 F298 F301 F304 F307 F310 F313 F316 F319 F322 F325 F328 F331 F334 F339 F342 F345 F350 F355 F360 F363 F369 F374 F379 F384 F393 F403 F408 F413 F418 F423 F428 F433 F438 F443 F448 F453 F458 F463 F468 F473 F478 F484 F493 F501 F511 F516 F521 F524 F527 F533 F542 F549 F555 F560 F566 F572 F575 F578 F582 F589 F592 F597 F602 F608 F622 F630 F646 F651 F660 F670 F675 F684 F689 F701 F765 F769 F787 F800 F808 F827 P11:P23 P26:P65 P67:P74 P76:P112 P114:P179 P181:P211 P213:P240 P242:P273 P275:P391 P393:P482 P484:P491 P493:P499 P501:P547 P549:P580 P582:P585 P587:P606 P608:P620 P622:P644 P646:P649 P651:P668 P670:P693 P695:P699 P701:P763 P765:P776 P778:P779 P781:P792 P794:P806 P808:P825 P827:P836" showDropDown="0" showInputMessage="1" showErrorMessage="1" allowBlank="1" errorTitle="MÊS FORA DO PLANEJAMENTO" error="Entre com um valor de 1 a 41, conforme planejamento e cronograma de referência." type="whole">
      <formula1>1</formula1>
      <formula2>65</formula2>
    </dataValidation>
    <dataValidation sqref="E38 E49:E50 E85 E90 E94 E201 E211 E233 E267 E399:E402 E570:E571 E596 E601 E644 E664 E688 E747 E750 E754:E755 E758 E761 E770:E772 P586 P650" showDropDown="0" showInputMessage="1" showErrorMessage="1" allowBlank="1" errorTitle="MÊS FORA DO PLANEJAMENTO" error="Entre com um valor de 1 a 41, conforme planejamento e cronograma de referência." type="whole">
      <formula1>1</formula1>
      <formula2>70</formula2>
    </dataValidation>
    <dataValidation sqref="P24:P25 P75" showDropDown="0" showInputMessage="1" showErrorMessage="1" allowBlank="1" errorTitle="MÊS FORA DO PLANEJAMENTO" error="Entre com um valor de 1 a 41, conforme planejamento e cronograma de referência." type="whole">
      <formula1>1</formula1>
      <formula2>50</formula2>
    </dataValidation>
  </dataValidations>
  <printOptions horizontalCentered="1"/>
  <pageMargins left="0.3149606299212598" right="0.1574803149606299" top="0.1968503937007874" bottom="0.2755905511811024" header="0.1181102362204725" footer="0.07874015748031496"/>
  <pageSetup orientation="landscape" paperSize="9" scale="45"/>
  <headerFooter>
    <oddHeader/>
    <oddFooter>&amp;C&amp;P de &amp;N&amp;R&amp;"Calibri"&amp;10 &amp;K000000_x000d_# Classificação: Público</oddFooter>
    <evenHeader/>
    <evenFooter/>
    <firstHeader/>
    <firstFooter/>
  </headerFooter>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fitToPage="1"/>
  </sheetPr>
  <dimension ref="A1:V87"/>
  <sheetViews>
    <sheetView showGridLines="0" topLeftCell="A11" zoomScale="55" zoomScaleNormal="55" workbookViewId="0">
      <selection activeCell="K67" sqref="K67"/>
    </sheetView>
  </sheetViews>
  <sheetFormatPr baseColWidth="8" defaultRowHeight="14.4"/>
  <cols>
    <col width="11" bestFit="1" customWidth="1" min="1" max="1"/>
    <col width="15.6640625" customWidth="1" min="2" max="2"/>
    <col width="32.44140625" bestFit="1" customWidth="1" min="3" max="3"/>
    <col width="16.5546875" customWidth="1" min="4" max="4"/>
    <col width="30.109375" bestFit="1" customWidth="1" min="5" max="5"/>
    <col width="32.44140625" bestFit="1" customWidth="1" min="6" max="6"/>
    <col width="25.5546875" customWidth="1" min="7" max="7"/>
    <col width="31.88671875" bestFit="1" customWidth="1" min="8" max="8"/>
    <col width="25.5546875" customWidth="1" min="9" max="9"/>
    <col width="35" bestFit="1" customWidth="1" min="10" max="10"/>
    <col width="33.33203125" bestFit="1" customWidth="1" min="11" max="11"/>
    <col width="33.33203125" customWidth="1" min="12" max="12"/>
    <col width="15.6640625" bestFit="1" customWidth="1" min="13" max="13"/>
    <col width="25.44140625" customWidth="1" min="14" max="14"/>
    <col width="32.88671875" customWidth="1" min="15" max="15"/>
    <col width="27.109375" customWidth="1" min="16" max="16"/>
    <col width="36.88671875" bestFit="1" customWidth="1" min="17" max="17"/>
    <col width="41.109375" customWidth="1" min="18" max="18"/>
    <col width="2.44140625" customWidth="1" min="19" max="19"/>
    <col width="11.6640625" bestFit="1" customWidth="1" min="22" max="22"/>
  </cols>
  <sheetData>
    <row r="1" ht="36" customHeight="1">
      <c r="A1" s="1319">
        <f>'01_Preço'!A1</f>
        <v/>
      </c>
      <c r="B1" s="1142" t="n"/>
      <c r="C1" s="1142" t="n"/>
      <c r="D1" s="1142" t="n"/>
      <c r="E1" s="1142" t="n"/>
      <c r="F1" s="1142" t="n"/>
      <c r="G1" s="1142" t="n"/>
      <c r="H1" s="1142" t="n"/>
      <c r="I1" s="1142" t="n"/>
      <c r="J1" s="1142" t="n"/>
      <c r="K1" s="1142" t="n"/>
      <c r="L1" s="1142" t="n"/>
      <c r="M1" s="1142" t="n"/>
      <c r="N1" s="1142" t="n"/>
      <c r="O1" s="1142" t="n"/>
      <c r="P1" s="1142" t="n"/>
      <c r="Q1" s="1142" t="n"/>
      <c r="R1" s="1320" t="n"/>
    </row>
    <row r="2" ht="21" customHeight="1" thickBot="1">
      <c r="A2" s="1321" t="inlineStr">
        <is>
          <t>TABELA TOTALIZADORA DOS PREÇOS DOS MATERIAIS E SERVIÇOS DA REFORMA E MODERNIZAÇÃO DA UHE SALTO GRANDE E MODERNIZAÇÃO E DIGITALIZAÇÃO DA SE UHE SALTO GRANDE – ATIVOS CEMIG D</t>
        </is>
      </c>
      <c r="B2" s="1210" t="n"/>
      <c r="C2" s="1210" t="n"/>
      <c r="D2" s="1210" t="n"/>
      <c r="E2" s="1210" t="n"/>
      <c r="F2" s="1210" t="n"/>
      <c r="G2" s="1210" t="n"/>
      <c r="H2" s="1210" t="n"/>
      <c r="I2" s="1210" t="n"/>
      <c r="J2" s="1210" t="n"/>
      <c r="K2" s="1210" t="n"/>
      <c r="L2" s="1210" t="n"/>
      <c r="M2" s="1210" t="n"/>
      <c r="N2" s="1210" t="n"/>
      <c r="O2" s="1210" t="n"/>
      <c r="P2" s="1210" t="n"/>
      <c r="Q2" s="1210" t="n"/>
      <c r="R2" s="1250" t="n"/>
    </row>
    <row r="3" ht="9" customHeight="1" thickBot="1">
      <c r="A3" s="30" t="n"/>
      <c r="B3" s="31" t="n"/>
      <c r="C3" s="31" t="n"/>
      <c r="D3" s="31" t="n"/>
      <c r="E3" s="31" t="n"/>
      <c r="F3" s="31" t="n"/>
      <c r="G3" s="31" t="n"/>
      <c r="H3" s="31" t="n"/>
      <c r="I3" s="31" t="n"/>
      <c r="J3" s="31" t="n"/>
      <c r="K3" s="31" t="n"/>
      <c r="L3" s="31" t="n"/>
      <c r="M3" s="31" t="n"/>
      <c r="N3" s="31" t="n"/>
      <c r="O3" s="31" t="n"/>
      <c r="P3" s="31" t="n"/>
      <c r="Q3" s="31" t="n"/>
      <c r="R3" s="32" t="n"/>
    </row>
    <row r="4" ht="21" customHeight="1">
      <c r="A4" s="801" t="inlineStr">
        <is>
          <t>OBJETO: CONTRATAÇÃO DE SERVIÇOS PARA EXECUÇÃO DA MODERNIZAÇÃO DA UHE SALTO GRANDE</t>
        </is>
      </c>
      <c r="B4" s="1142" t="n"/>
      <c r="C4" s="1142" t="n"/>
      <c r="D4" s="1142" t="n"/>
      <c r="E4" s="1142" t="n"/>
      <c r="F4" s="1142" t="n"/>
      <c r="G4" s="1142" t="n"/>
      <c r="H4" s="1142" t="n"/>
      <c r="I4" s="1142" t="n"/>
      <c r="J4" s="1142" t="n"/>
      <c r="K4" s="1142" t="n"/>
      <c r="L4" s="1142" t="n"/>
      <c r="M4" s="1142" t="n"/>
      <c r="N4" s="1142" t="n"/>
      <c r="O4" s="803">
        <f>_xlfn.CONCAT('01_Preço'!M4,"  ",'01_Preço'!O4)</f>
        <v/>
      </c>
      <c r="P4" s="1142" t="n"/>
      <c r="Q4" s="33" t="inlineStr">
        <is>
          <t>BASE ECONÔMICA TRIBUTÁRIA:</t>
        </is>
      </c>
      <c r="R4" s="1323">
        <f>'01_Preço'!V4</f>
        <v/>
      </c>
    </row>
    <row r="5" ht="21" customHeight="1">
      <c r="A5" s="804" t="inlineStr">
        <is>
          <t>NOME EMPRESA PROPONENTE:</t>
        </is>
      </c>
      <c r="B5" s="1201" t="n"/>
      <c r="C5" s="1144" t="n"/>
      <c r="D5" s="807">
        <f>'01_Preço'!C5</f>
        <v/>
      </c>
      <c r="E5" s="1201" t="n"/>
      <c r="F5" s="1201" t="n"/>
      <c r="G5" s="1201" t="n"/>
      <c r="H5" s="1201" t="n"/>
      <c r="I5" s="1201" t="n"/>
      <c r="J5" s="1201" t="n"/>
      <c r="K5" s="1201" t="n"/>
      <c r="L5" s="1201" t="n"/>
      <c r="M5" s="1201" t="n"/>
      <c r="N5" s="1144" t="n"/>
      <c r="O5" s="810" t="inlineStr">
        <is>
          <t>Nº CNPJ:</t>
        </is>
      </c>
      <c r="P5" s="807">
        <f>'01_Preço'!L5</f>
        <v/>
      </c>
      <c r="Q5" s="810" t="inlineStr">
        <is>
          <t>Nº INSC ESTADUAL:</t>
        </is>
      </c>
      <c r="R5" s="37">
        <f>'01_Preço'!Q5</f>
        <v/>
      </c>
    </row>
    <row r="6" ht="21" customHeight="1">
      <c r="A6" s="808" t="inlineStr">
        <is>
          <t>NOME REPRESENTANTE LEGAL:</t>
        </is>
      </c>
      <c r="B6" s="1201" t="n"/>
      <c r="C6" s="1144" t="n"/>
      <c r="D6" s="807">
        <f>'01_Preço'!C6</f>
        <v/>
      </c>
      <c r="E6" s="1201" t="n"/>
      <c r="F6" s="1201" t="n"/>
      <c r="G6" s="1201" t="n"/>
      <c r="H6" s="1201" t="n"/>
      <c r="I6" s="1201" t="n"/>
      <c r="J6" s="1201" t="n"/>
      <c r="K6" s="1201" t="n"/>
      <c r="L6" s="1201" t="n"/>
      <c r="M6" s="1201" t="n"/>
      <c r="N6" s="1144" t="n"/>
      <c r="O6" s="810" t="inlineStr">
        <is>
          <t>Nº CPF:</t>
        </is>
      </c>
      <c r="P6" s="807">
        <f>'01_Preço'!L6</f>
        <v/>
      </c>
      <c r="Q6" s="810" t="inlineStr">
        <is>
          <t>Nº IDENTIDADE:</t>
        </is>
      </c>
      <c r="R6" s="37">
        <f>'01_Preço'!Q6</f>
        <v/>
      </c>
    </row>
    <row r="7" ht="40.5" customHeight="1" thickBot="1">
      <c r="A7" s="1135" t="inlineStr">
        <is>
          <t>ASSINATURA DO REPRESENTANTE LEGAL DA EMPRESA:</t>
        </is>
      </c>
      <c r="B7" s="1210" t="n"/>
      <c r="C7" s="1210" t="n"/>
      <c r="D7" s="1151" t="n"/>
      <c r="E7" s="1326">
        <f>'01_Preço'!E7</f>
        <v/>
      </c>
      <c r="F7" s="1210" t="n"/>
      <c r="G7" s="1210" t="n"/>
      <c r="H7" s="1210" t="n"/>
      <c r="I7" s="1210" t="n"/>
      <c r="J7" s="1210" t="n"/>
      <c r="K7" s="1210" t="n"/>
      <c r="L7" s="1210" t="n"/>
      <c r="M7" s="1210" t="n"/>
      <c r="N7" s="1210" t="n"/>
      <c r="O7" s="1210" t="n"/>
      <c r="P7" s="1151" t="n"/>
      <c r="Q7" s="1136" t="inlineStr">
        <is>
          <t>DATA DE EMISSÃO:</t>
        </is>
      </c>
      <c r="R7" s="40">
        <f>'01_Preço'!V5</f>
        <v/>
      </c>
    </row>
    <row r="8" ht="9" customHeight="1" thickBot="1">
      <c r="A8" s="41" t="n"/>
      <c r="B8" s="42" t="n"/>
      <c r="C8" s="42" t="n"/>
      <c r="D8" s="42" t="n"/>
      <c r="E8" s="42" t="n"/>
      <c r="F8" s="42" t="n"/>
      <c r="G8" s="42" t="n"/>
      <c r="H8" s="42" t="n"/>
      <c r="I8" s="42" t="n"/>
      <c r="J8" s="42" t="n"/>
      <c r="K8" s="42" t="n"/>
      <c r="L8" s="42" t="n"/>
      <c r="M8" s="42" t="n"/>
      <c r="N8" s="42" t="n"/>
      <c r="O8" s="42" t="n"/>
      <c r="P8" s="42" t="n"/>
      <c r="Q8" s="42" t="n"/>
      <c r="R8" s="43" t="n"/>
    </row>
    <row r="9" ht="33.9" customHeight="1">
      <c r="A9" s="817" t="inlineStr">
        <is>
          <t>% DA ANTECIPAÇÃO SOLICITADA</t>
        </is>
      </c>
      <c r="B9" s="181" t="n"/>
      <c r="C9" s="1408" t="n"/>
      <c r="D9" s="823" t="n">
        <v>0.05</v>
      </c>
      <c r="E9" s="819" t="inlineStr">
        <is>
          <t>VALOR ANTECIPAÇÃO SOLICITADA</t>
        </is>
      </c>
      <c r="F9" s="1408" t="n"/>
      <c r="G9" s="494" t="n"/>
      <c r="H9" s="494" t="n"/>
      <c r="I9" s="494" t="n"/>
      <c r="J9" s="494" t="n"/>
      <c r="K9" s="494" t="n"/>
      <c r="L9" s="494" t="n"/>
      <c r="M9" s="1409">
        <f>D9*Q9</f>
        <v/>
      </c>
      <c r="N9" s="1408" t="n"/>
      <c r="O9" s="827" t="inlineStr">
        <is>
          <t>PREÇO GLOBAL</t>
        </is>
      </c>
      <c r="P9" s="1408" t="n"/>
      <c r="Q9" s="1410">
        <f>O83</f>
        <v/>
      </c>
      <c r="R9" s="1408" t="n"/>
    </row>
    <row r="10" ht="33.9" customHeight="1" thickBot="1">
      <c r="A10" s="1411" t="n"/>
      <c r="B10" s="1191" t="n"/>
      <c r="C10" s="1412" t="n"/>
      <c r="D10" s="1413" t="n"/>
      <c r="E10" s="1414" t="n"/>
      <c r="F10" s="1412" t="n"/>
      <c r="G10" s="495" t="n"/>
      <c r="H10" s="495" t="n"/>
      <c r="I10" s="495" t="n"/>
      <c r="J10" s="495" t="n"/>
      <c r="K10" s="495" t="n"/>
      <c r="L10" s="495" t="n"/>
      <c r="M10" s="1414" t="n"/>
      <c r="N10" s="1412" t="n"/>
      <c r="O10" s="1414" t="n"/>
      <c r="P10" s="1412" t="n"/>
      <c r="Q10" s="1414" t="n"/>
      <c r="R10" s="1412" t="n"/>
    </row>
    <row r="11" ht="9" customHeight="1" thickBot="1">
      <c r="A11" s="44" t="n"/>
      <c r="B11" s="45" t="n"/>
      <c r="C11" s="45" t="n"/>
      <c r="D11" s="45" t="n"/>
      <c r="E11" s="45" t="n"/>
      <c r="F11" s="45" t="n"/>
      <c r="G11" s="45" t="n"/>
      <c r="H11" s="45" t="n"/>
      <c r="I11" s="45" t="n"/>
      <c r="J11" s="45" t="n"/>
      <c r="K11" s="45" t="n"/>
      <c r="L11" s="45" t="n"/>
      <c r="M11" s="45" t="n"/>
      <c r="N11" s="45" t="n"/>
      <c r="O11" s="45" t="n"/>
      <c r="P11" s="45" t="n"/>
      <c r="Q11" s="45" t="n"/>
      <c r="R11" s="46" t="n"/>
    </row>
    <row r="12" ht="53.25" customHeight="1">
      <c r="A12" s="1083" t="inlineStr">
        <is>
          <t>MÊS</t>
        </is>
      </c>
      <c r="B12" s="838" t="inlineStr">
        <is>
          <t>ESCOPO CEMIG GT</t>
        </is>
      </c>
      <c r="C12" s="1143" t="n"/>
      <c r="D12" s="838" t="inlineStr">
        <is>
          <t>ESCOPO CEMIG D</t>
        </is>
      </c>
      <c r="E12" s="1143" t="n"/>
      <c r="F12" s="1415" t="inlineStr">
        <is>
          <t>VALOR ACUMULADO (com todos os impostos) (R$)</t>
        </is>
      </c>
      <c r="G12" s="842" t="inlineStr">
        <is>
          <t>INSIGHT</t>
        </is>
      </c>
      <c r="H12" s="846" t="inlineStr">
        <is>
          <t xml:space="preserve">DESEMBOLSO ACUMULADO VALOR ACUMULADO </t>
        </is>
      </c>
      <c r="I12" s="846" t="inlineStr">
        <is>
          <t>FAT. DIRETO</t>
        </is>
      </c>
      <c r="J12" s="846" t="inlineStr">
        <is>
          <t xml:space="preserve">DESEMBOLSO TOTAL ACUMULADO VALOR ACUMULADO </t>
        </is>
      </c>
      <c r="K12" s="846" t="inlineStr">
        <is>
          <t>FATURAMENTO REALIZADO</t>
        </is>
      </c>
      <c r="L12" s="1416" t="inlineStr">
        <is>
          <t>FATURAMENTO ACUMULADO</t>
        </is>
      </c>
      <c r="M12" s="871" t="inlineStr">
        <is>
          <t>PREÇO DA REFORMA E MODERNIZAÇÃO DA UHE SALTO GRANDE</t>
        </is>
      </c>
      <c r="N12" s="1142" t="n"/>
      <c r="O12" s="1142" t="n"/>
      <c r="P12" s="1143" t="n"/>
      <c r="Q12" s="1417">
        <f>C84</f>
        <v/>
      </c>
      <c r="R12" s="1143" t="n"/>
    </row>
    <row r="13" ht="53.25" customHeight="1" thickBot="1">
      <c r="A13" s="1418" t="n"/>
      <c r="B13" s="47" t="inlineStr">
        <is>
          <t>EVENTOS NO MÊS</t>
        </is>
      </c>
      <c r="C13" s="47" t="inlineStr">
        <is>
          <t>VALOR TOTAL MENSAL  (com todos os impostos) (R$)</t>
        </is>
      </c>
      <c r="D13" s="47" t="inlineStr">
        <is>
          <t>EVENTOS NO MÊS</t>
        </is>
      </c>
      <c r="E13" s="47" t="inlineStr">
        <is>
          <t>VALOR TOTAL MENSAL  (com todos os impostos) (R$)</t>
        </is>
      </c>
      <c r="F13" s="1419" t="n"/>
      <c r="G13" s="843" t="inlineStr">
        <is>
          <t>DESEMBOLSO MENSAL</t>
        </is>
      </c>
      <c r="H13" s="1420" t="n"/>
      <c r="I13" s="847" t="inlineStr">
        <is>
          <t>DESEMBOLSO MENSAL</t>
        </is>
      </c>
      <c r="J13" s="1420" t="n"/>
      <c r="K13" s="1420" t="n"/>
      <c r="L13" s="1187" t="n"/>
      <c r="M13" s="875" t="inlineStr">
        <is>
          <t>PREÇO DA MODERNIZAÇÃO E DIGITALIZAÇÃO DA SE UHE SALTO GRANDE - ATIVO CEMIG D</t>
        </is>
      </c>
      <c r="N13" s="1210" t="n"/>
      <c r="O13" s="1210" t="n"/>
      <c r="P13" s="1151" t="n"/>
      <c r="Q13" s="1421">
        <f>E84</f>
        <v/>
      </c>
      <c r="R13" s="1151" t="n"/>
    </row>
    <row r="14" ht="15" customHeight="1">
      <c r="A14" s="251" t="n">
        <v>1</v>
      </c>
      <c r="B14" s="252">
        <f>SUM(COUNTIF('03_Eventos_pagamentos'!$E$11:$E$697,'04_TOTALIZADORA (2)'!A14)+COUNTIF('03_Eventos_pagamentos'!$E$766:$E$836,'04_TOTALIZADORA (2)'!A14))</f>
        <v/>
      </c>
      <c r="C14" s="1422">
        <f>SUMIF('03_Eventos_pagamentos'!$E$11:$E$699,A14,'03_Eventos_pagamentos'!$O$11:$O$697)+SUMIF('03_Eventos_pagamentos'!$E$766:$E$836,A14,'03_Eventos_pagamentos'!$O$766:$O$836)</f>
        <v/>
      </c>
      <c r="D14" s="252">
        <f>COUNTIF('03_Eventos_pagamentos'!$E$702:$E$763,'04_TOTALIZADORA (2)'!A14)</f>
        <v/>
      </c>
      <c r="E14" s="1423">
        <f>SUMIF('03_Eventos_pagamentos'!$E$702:$E$763,A14,'03_Eventos_pagamentos'!$O$702:$O$763)</f>
        <v/>
      </c>
      <c r="F14" s="1424">
        <f>C14+E14</f>
        <v/>
      </c>
      <c r="G14" s="1425">
        <f>SUMIF('03_Eventos_pagamentos'!$P$11:$P$843,A15,'03_Eventos_pagamentos'!$Q$11:$Q$843)</f>
        <v/>
      </c>
      <c r="H14" s="1426" t="n"/>
      <c r="I14" s="1427">
        <f>SUMIFS( '03_Eventos_pagamentos'!$O$11:$O$843,'03_Eventos_pagamentos'!$E$11:$E$843,A14,'03_Eventos_pagamentos'!$I$11:$I$843,"FAT. DIRETO")</f>
        <v/>
      </c>
      <c r="J14" s="1426">
        <f>H14+I14</f>
        <v/>
      </c>
      <c r="K14" s="1424" t="n">
        <v>0</v>
      </c>
      <c r="L14" s="1424">
        <f>K14</f>
        <v/>
      </c>
      <c r="M14" s="1428" t="n"/>
      <c r="N14" s="1429" t="n"/>
      <c r="O14" s="1429" t="n"/>
      <c r="P14" s="1429" t="n"/>
      <c r="Q14" s="1429" t="n"/>
      <c r="R14" s="1430" t="n"/>
    </row>
    <row r="15">
      <c r="A15" s="523" t="inlineStr">
        <is>
          <t>2 à 15</t>
        </is>
      </c>
      <c r="B15" s="48">
        <f>SUM(COUNTIF('03_Eventos_pagamentos'!$E$11:$E$697,'04_TOTALIZADORA (2)'!A15)+COUNTIF('03_Eventos_pagamentos'!$E$766:$E$836,'04_TOTALIZADORA (2)'!A15))</f>
        <v/>
      </c>
      <c r="C15" s="1422">
        <f>SUMIF('03_Eventos_pagamentos'!$E$11:$E$699,A15,'03_Eventos_pagamentos'!$O$11:$O$697)+SUMIF('03_Eventos_pagamentos'!$E$766:$E$836,A15,'03_Eventos_pagamentos'!$O$766:$O$836)</f>
        <v/>
      </c>
      <c r="D15" s="48">
        <f>COUNTIF('03_Eventos_pagamentos'!$E$702:$E$763,'04_TOTALIZADORA (2)'!A15)</f>
        <v/>
      </c>
      <c r="E15" s="1427">
        <f>SUMIF('03_Eventos_pagamentos'!$E$702:$E$763,A15,'03_Eventos_pagamentos'!$O$702:$O$763)</f>
        <v/>
      </c>
      <c r="F15" s="1431">
        <f>C15+E15+F14</f>
        <v/>
      </c>
      <c r="G15" s="1425">
        <f>SUMIF('03_Eventos_pagamentos'!$P$11:$P$843,A16,'03_Eventos_pagamentos'!$Q$11:$Q$843)</f>
        <v/>
      </c>
      <c r="H15" s="1432">
        <f>G15+H14</f>
        <v/>
      </c>
      <c r="I15" s="1427">
        <f>SUMIFS( '03_Eventos_pagamentos'!$O$11:$O$843,'03_Eventos_pagamentos'!$E$11:$E$843,A15,'03_Eventos_pagamentos'!$I$11:$I$843,"FAT. DIRETO")</f>
        <v/>
      </c>
      <c r="J15" s="1432">
        <f>G15+I15+J14</f>
        <v/>
      </c>
      <c r="K15" s="1431">
        <f>R83</f>
        <v/>
      </c>
      <c r="L15" s="1431">
        <f>K15+L14</f>
        <v/>
      </c>
      <c r="M15" s="1433" t="n"/>
      <c r="N15" s="1434" t="n"/>
      <c r="O15" s="1434" t="n"/>
      <c r="P15" s="1434" t="n"/>
      <c r="Q15" s="1434" t="n"/>
      <c r="R15" s="1435" t="n"/>
    </row>
    <row r="16" hidden="1">
      <c r="A16" s="523" t="n">
        <v>3</v>
      </c>
      <c r="B16" s="48">
        <f>SUM(COUNTIF('03_Eventos_pagamentos'!$E$11:$E$697,'04_TOTALIZADORA (2)'!A16)+COUNTIF('03_Eventos_pagamentos'!$E$766:$E$836,'04_TOTALIZADORA (2)'!A16))</f>
        <v/>
      </c>
      <c r="C16" s="1422">
        <f>SUMIF('03_Eventos_pagamentos'!$E$11:$E$699,A16,'03_Eventos_pagamentos'!$O$11:$O$697)+SUMIF('03_Eventos_pagamentos'!$E$766:$E$836,A16,'03_Eventos_pagamentos'!$O$766:$O$836)</f>
        <v/>
      </c>
      <c r="D16" s="48">
        <f>COUNTIF('03_Eventos_pagamentos'!$E$702:$E$763,'04_TOTALIZADORA (2)'!A16)</f>
        <v/>
      </c>
      <c r="E16" s="1427">
        <f>SUMIF('03_Eventos_pagamentos'!$E$702:$E$763,A16,'03_Eventos_pagamentos'!$O$702:$O$763)</f>
        <v/>
      </c>
      <c r="F16" s="1431">
        <f>C16+E16+F15</f>
        <v/>
      </c>
      <c r="G16" s="1425">
        <f>SUMIF('03_Eventos_pagamentos'!$P$11:$P$843,A17,'03_Eventos_pagamentos'!$Q$11:$Q$843)</f>
        <v/>
      </c>
      <c r="H16" s="1432">
        <f>G16+H15</f>
        <v/>
      </c>
      <c r="I16" s="1427">
        <f>SUMIFS( '03_Eventos_pagamentos'!$O$11:$O$843,'03_Eventos_pagamentos'!$E$11:$E$843,A16,'03_Eventos_pagamentos'!$I$11:$I$843,"FAT. DIRETO")</f>
        <v/>
      </c>
      <c r="J16" s="1432">
        <f>G16+I16+J15</f>
        <v/>
      </c>
      <c r="K16" s="1431" t="n"/>
      <c r="L16" s="1431">
        <f>K16+L15</f>
        <v/>
      </c>
      <c r="M16" s="1433" t="n"/>
      <c r="N16" s="1434" t="n"/>
      <c r="O16" s="1434" t="n"/>
      <c r="P16" s="1434" t="n"/>
      <c r="Q16" s="1434" t="n"/>
      <c r="R16" s="1435" t="n"/>
    </row>
    <row r="17" hidden="1">
      <c r="A17" s="523" t="n">
        <v>4</v>
      </c>
      <c r="B17" s="48">
        <f>SUM(COUNTIF('03_Eventos_pagamentos'!$E$11:$E$697,'04_TOTALIZADORA (2)'!A17)+COUNTIF('03_Eventos_pagamentos'!$E$766:$E$836,'04_TOTALIZADORA (2)'!A17))</f>
        <v/>
      </c>
      <c r="C17" s="1422">
        <f>SUMIF('03_Eventos_pagamentos'!$E$11:$E$699,A17,'03_Eventos_pagamentos'!$O$11:$O$697)+SUMIF('03_Eventos_pagamentos'!$E$766:$E$836,A17,'03_Eventos_pagamentos'!$O$766:$O$836)</f>
        <v/>
      </c>
      <c r="D17" s="48">
        <f>COUNTIF('03_Eventos_pagamentos'!$E$702:$E$763,'04_TOTALIZADORA (2)'!A17)</f>
        <v/>
      </c>
      <c r="E17" s="1427">
        <f>SUMIF('03_Eventos_pagamentos'!$E$702:$E$763,A17,'03_Eventos_pagamentos'!$O$702:$O$763)</f>
        <v/>
      </c>
      <c r="F17" s="1431">
        <f>C17+E17+F16</f>
        <v/>
      </c>
      <c r="G17" s="1425">
        <f>SUMIF('03_Eventos_pagamentos'!$P$11:$P$843,A18,'03_Eventos_pagamentos'!$Q$11:$Q$843)</f>
        <v/>
      </c>
      <c r="H17" s="1432">
        <f>G17+H16</f>
        <v/>
      </c>
      <c r="I17" s="1427">
        <f>SUMIFS( '03_Eventos_pagamentos'!$O$11:$O$843,'03_Eventos_pagamentos'!$E$11:$E$843,A17,'03_Eventos_pagamentos'!$I$11:$I$843,"FAT. DIRETO")</f>
        <v/>
      </c>
      <c r="J17" s="1432">
        <f>G17+I17+J16</f>
        <v/>
      </c>
      <c r="K17" s="1431" t="n"/>
      <c r="L17" s="1431">
        <f>K17+L16</f>
        <v/>
      </c>
      <c r="M17" s="1433" t="n"/>
      <c r="N17" s="1434" t="n"/>
      <c r="O17" s="1434" t="n"/>
      <c r="P17" s="1434" t="n"/>
      <c r="Q17" s="1434" t="n"/>
      <c r="R17" s="1435" t="n"/>
    </row>
    <row r="18" hidden="1">
      <c r="A18" s="523" t="n">
        <v>5</v>
      </c>
      <c r="B18" s="48">
        <f>SUM(COUNTIF('03_Eventos_pagamentos'!$E$11:$E$697,'04_TOTALIZADORA (2)'!A18)+COUNTIF('03_Eventos_pagamentos'!$E$766:$E$836,'04_TOTALIZADORA (2)'!A18))</f>
        <v/>
      </c>
      <c r="C18" s="1422">
        <f>SUMIF('03_Eventos_pagamentos'!$E$11:$E$699,A18,'03_Eventos_pagamentos'!$O$11:$O$697)+SUMIF('03_Eventos_pagamentos'!$E$766:$E$836,A18,'03_Eventos_pagamentos'!$O$766:$O$836)</f>
        <v/>
      </c>
      <c r="D18" s="48">
        <f>COUNTIF('03_Eventos_pagamentos'!$E$702:$E$763,'04_TOTALIZADORA (2)'!A18)</f>
        <v/>
      </c>
      <c r="E18" s="1427">
        <f>SUMIF('03_Eventos_pagamentos'!$E$702:$E$763,A18,'03_Eventos_pagamentos'!$O$702:$O$763)</f>
        <v/>
      </c>
      <c r="F18" s="1431">
        <f>C18+E18+F17</f>
        <v/>
      </c>
      <c r="G18" s="1425">
        <f>SUMIF('03_Eventos_pagamentos'!$P$11:$P$843,A19,'03_Eventos_pagamentos'!$Q$11:$Q$843)</f>
        <v/>
      </c>
      <c r="H18" s="1432">
        <f>G18+H17</f>
        <v/>
      </c>
      <c r="I18" s="1427">
        <f>SUMIFS( '03_Eventos_pagamentos'!$O$11:$O$843,'03_Eventos_pagamentos'!$E$11:$E$843,A18,'03_Eventos_pagamentos'!$I$11:$I$843,"FAT. DIRETO")</f>
        <v/>
      </c>
      <c r="J18" s="1432">
        <f>G18+I18+J17</f>
        <v/>
      </c>
      <c r="K18" s="1431" t="n"/>
      <c r="L18" s="1431">
        <f>K18+L17</f>
        <v/>
      </c>
      <c r="M18" s="1433" t="n"/>
      <c r="N18" s="1434" t="n"/>
      <c r="O18" s="1434" t="n"/>
      <c r="P18" s="1434" t="n"/>
      <c r="Q18" s="1434" t="n"/>
      <c r="R18" s="1435" t="n"/>
    </row>
    <row r="19" hidden="1">
      <c r="A19" s="523" t="n">
        <v>6</v>
      </c>
      <c r="B19" s="48">
        <f>SUM(COUNTIF('03_Eventos_pagamentos'!$E$11:$E$697,'04_TOTALIZADORA (2)'!A19)+COUNTIF('03_Eventos_pagamentos'!$E$766:$E$836,'04_TOTALIZADORA (2)'!A19))</f>
        <v/>
      </c>
      <c r="C19" s="1422">
        <f>SUMIF('03_Eventos_pagamentos'!$E$11:$E$699,A19,'03_Eventos_pagamentos'!$O$11:$O$697)+SUMIF('03_Eventos_pagamentos'!$E$766:$E$836,A19,'03_Eventos_pagamentos'!$O$766:$O$836)</f>
        <v/>
      </c>
      <c r="D19" s="48">
        <f>COUNTIF('03_Eventos_pagamentos'!$E$702:$E$763,'04_TOTALIZADORA (2)'!A19)</f>
        <v/>
      </c>
      <c r="E19" s="1427">
        <f>SUMIF('03_Eventos_pagamentos'!$E$702:$E$763,A19,'03_Eventos_pagamentos'!$O$702:$O$763)</f>
        <v/>
      </c>
      <c r="F19" s="1431">
        <f>C19+E19+F18</f>
        <v/>
      </c>
      <c r="G19" s="1425">
        <f>SUMIF('03_Eventos_pagamentos'!$P$11:$P$843,A20,'03_Eventos_pagamentos'!$Q$11:$Q$843)</f>
        <v/>
      </c>
      <c r="H19" s="1432">
        <f>G19+H18</f>
        <v/>
      </c>
      <c r="I19" s="1427">
        <f>SUMIFS( '03_Eventos_pagamentos'!$O$11:$O$843,'03_Eventos_pagamentos'!$E$11:$E$843,A19,'03_Eventos_pagamentos'!$I$11:$I$843,"FAT. DIRETO")</f>
        <v/>
      </c>
      <c r="J19" s="1432">
        <f>G19+I19+J18</f>
        <v/>
      </c>
      <c r="K19" s="1431" t="n"/>
      <c r="L19" s="1431">
        <f>K19+L18</f>
        <v/>
      </c>
      <c r="M19" s="1433" t="n"/>
      <c r="N19" s="1434" t="n"/>
      <c r="O19" s="1434" t="n"/>
      <c r="P19" s="1434" t="n"/>
      <c r="Q19" s="1434" t="n"/>
      <c r="R19" s="1435" t="n"/>
    </row>
    <row r="20" hidden="1">
      <c r="A20" s="523" t="n">
        <v>7</v>
      </c>
      <c r="B20" s="48">
        <f>SUM(COUNTIF('03_Eventos_pagamentos'!$E$11:$E$697,'04_TOTALIZADORA (2)'!A20)+COUNTIF('03_Eventos_pagamentos'!$E$766:$E$836,'04_TOTALIZADORA (2)'!A20))</f>
        <v/>
      </c>
      <c r="C20" s="1422">
        <f>SUMIF('03_Eventos_pagamentos'!$E$11:$E$699,A20,'03_Eventos_pagamentos'!$O$11:$O$697)+SUMIF('03_Eventos_pagamentos'!$E$766:$E$836,A20,'03_Eventos_pagamentos'!$O$766:$O$836)</f>
        <v/>
      </c>
      <c r="D20" s="48">
        <f>COUNTIF('03_Eventos_pagamentos'!$E$702:$E$763,'04_TOTALIZADORA (2)'!A20)</f>
        <v/>
      </c>
      <c r="E20" s="1427">
        <f>SUMIF('03_Eventos_pagamentos'!$E$702:$E$763,A20,'03_Eventos_pagamentos'!$O$702:$O$763)</f>
        <v/>
      </c>
      <c r="F20" s="1431">
        <f>C20+E20+F19</f>
        <v/>
      </c>
      <c r="G20" s="1425">
        <f>SUMIF('03_Eventos_pagamentos'!$P$11:$P$843,A21,'03_Eventos_pagamentos'!$Q$11:$Q$843)</f>
        <v/>
      </c>
      <c r="H20" s="1432">
        <f>G20+H19</f>
        <v/>
      </c>
      <c r="I20" s="1427">
        <f>SUMIFS( '03_Eventos_pagamentos'!$O$11:$O$843,'03_Eventos_pagamentos'!$E$11:$E$843,A20,'03_Eventos_pagamentos'!$I$11:$I$843,"FAT. DIRETO")</f>
        <v/>
      </c>
      <c r="J20" s="1432">
        <f>G20+I20+J19</f>
        <v/>
      </c>
      <c r="K20" s="1431" t="n"/>
      <c r="L20" s="1431">
        <f>K20+L19</f>
        <v/>
      </c>
      <c r="M20" s="1433" t="n"/>
      <c r="N20" s="1434" t="n"/>
      <c r="O20" s="1434" t="n"/>
      <c r="P20" s="1434" t="n"/>
      <c r="Q20" s="1434" t="n"/>
      <c r="R20" s="1435" t="n"/>
    </row>
    <row r="21" hidden="1">
      <c r="A21" s="523" t="n">
        <v>8</v>
      </c>
      <c r="B21" s="48">
        <f>SUM(COUNTIF('03_Eventos_pagamentos'!$E$11:$E$697,'04_TOTALIZADORA (2)'!A21)+COUNTIF('03_Eventos_pagamentos'!$E$766:$E$836,'04_TOTALIZADORA (2)'!A21))</f>
        <v/>
      </c>
      <c r="C21" s="1422">
        <f>SUMIF('03_Eventos_pagamentos'!$E$11:$E$699,A21,'03_Eventos_pagamentos'!$O$11:$O$697)+SUMIF('03_Eventos_pagamentos'!$E$766:$E$836,A21,'03_Eventos_pagamentos'!$O$766:$O$836)</f>
        <v/>
      </c>
      <c r="D21" s="48">
        <f>COUNTIF('03_Eventos_pagamentos'!$E$702:$E$763,'04_TOTALIZADORA (2)'!A21)</f>
        <v/>
      </c>
      <c r="E21" s="1427">
        <f>SUMIF('03_Eventos_pagamentos'!$E$702:$E$763,A21,'03_Eventos_pagamentos'!$O$702:$O$763)</f>
        <v/>
      </c>
      <c r="F21" s="1431">
        <f>C21+E21+F20</f>
        <v/>
      </c>
      <c r="G21" s="1425">
        <f>SUMIF('03_Eventos_pagamentos'!$P$11:$P$843,A22,'03_Eventos_pagamentos'!$Q$11:$Q$843)</f>
        <v/>
      </c>
      <c r="H21" s="1432">
        <f>G21+H20</f>
        <v/>
      </c>
      <c r="I21" s="1427">
        <f>SUMIFS( '03_Eventos_pagamentos'!$O$11:$O$843,'03_Eventos_pagamentos'!$E$11:$E$843,A21,'03_Eventos_pagamentos'!$I$11:$I$843,"FAT. DIRETO")</f>
        <v/>
      </c>
      <c r="J21" s="1432">
        <f>G21+I21+J20</f>
        <v/>
      </c>
      <c r="K21" s="1431" t="n"/>
      <c r="L21" s="1431">
        <f>K21+L20</f>
        <v/>
      </c>
      <c r="M21" s="1433" t="n"/>
      <c r="N21" s="1434" t="n"/>
      <c r="O21" s="1434" t="n"/>
      <c r="P21" s="1434" t="n"/>
      <c r="Q21" s="1434" t="n"/>
      <c r="R21" s="1435" t="n"/>
    </row>
    <row r="22" hidden="1">
      <c r="A22" s="523" t="n">
        <v>9</v>
      </c>
      <c r="B22" s="48">
        <f>SUM(COUNTIF('03_Eventos_pagamentos'!$E$11:$E$697,'04_TOTALIZADORA (2)'!A22)+COUNTIF('03_Eventos_pagamentos'!$E$766:$E$836,'04_TOTALIZADORA (2)'!A22))</f>
        <v/>
      </c>
      <c r="C22" s="1422">
        <f>SUMIF('03_Eventos_pagamentos'!$E$11:$E$699,A22,'03_Eventos_pagamentos'!$O$11:$O$697)+SUMIF('03_Eventos_pagamentos'!$E$766:$E$836,A22,'03_Eventos_pagamentos'!$O$766:$O$836)</f>
        <v/>
      </c>
      <c r="D22" s="48">
        <f>COUNTIF('03_Eventos_pagamentos'!$E$702:$E$763,'04_TOTALIZADORA (2)'!A22)</f>
        <v/>
      </c>
      <c r="E22" s="1427">
        <f>SUMIF('03_Eventos_pagamentos'!$E$702:$E$763,A22,'03_Eventos_pagamentos'!$O$702:$O$763)</f>
        <v/>
      </c>
      <c r="F22" s="1431">
        <f>C22+E22+F21</f>
        <v/>
      </c>
      <c r="G22" s="1425">
        <f>SUMIF('03_Eventos_pagamentos'!$P$11:$P$843,A23,'03_Eventos_pagamentos'!$Q$11:$Q$843)</f>
        <v/>
      </c>
      <c r="H22" s="1432">
        <f>G22+H21</f>
        <v/>
      </c>
      <c r="I22" s="1427">
        <f>SUMIFS( '03_Eventos_pagamentos'!$O$11:$O$843,'03_Eventos_pagamentos'!$E$11:$E$843,A22,'03_Eventos_pagamentos'!$I$11:$I$843,"FAT. DIRETO")</f>
        <v/>
      </c>
      <c r="J22" s="1432">
        <f>G22+I22+J21</f>
        <v/>
      </c>
      <c r="K22" s="1431" t="n"/>
      <c r="L22" s="1431">
        <f>K22+L21</f>
        <v/>
      </c>
      <c r="M22" s="1433" t="n"/>
      <c r="N22" s="1434" t="n"/>
      <c r="O22" s="1434" t="n"/>
      <c r="P22" s="1434" t="n"/>
      <c r="Q22" s="1434" t="n"/>
      <c r="R22" s="1435" t="n"/>
    </row>
    <row r="23" hidden="1">
      <c r="A23" s="523" t="n">
        <v>10</v>
      </c>
      <c r="B23" s="48">
        <f>SUM(COUNTIF('03_Eventos_pagamentos'!$E$11:$E$697,'04_TOTALIZADORA (2)'!A23)+COUNTIF('03_Eventos_pagamentos'!$E$766:$E$836,'04_TOTALIZADORA (2)'!A23))</f>
        <v/>
      </c>
      <c r="C23" s="1422">
        <f>SUMIF('03_Eventos_pagamentos'!$E$11:$E$699,A23,'03_Eventos_pagamentos'!$O$11:$O$697)+SUMIF('03_Eventos_pagamentos'!$E$766:$E$836,A23,'03_Eventos_pagamentos'!$O$766:$O$836)</f>
        <v/>
      </c>
      <c r="D23" s="48">
        <f>COUNTIF('03_Eventos_pagamentos'!$E$702:$E$763,'04_TOTALIZADORA (2)'!A23)</f>
        <v/>
      </c>
      <c r="E23" s="1427">
        <f>SUMIF('03_Eventos_pagamentos'!$E$702:$E$763,A23,'03_Eventos_pagamentos'!$O$702:$O$763)</f>
        <v/>
      </c>
      <c r="F23" s="1431">
        <f>C23+E23+F22</f>
        <v/>
      </c>
      <c r="G23" s="1425">
        <f>SUMIF('03_Eventos_pagamentos'!$P$11:$P$843,A24,'03_Eventos_pagamentos'!$Q$11:$Q$843)</f>
        <v/>
      </c>
      <c r="H23" s="1432">
        <f>G23+H22</f>
        <v/>
      </c>
      <c r="I23" s="1427">
        <f>SUMIFS( '03_Eventos_pagamentos'!$O$11:$O$843,'03_Eventos_pagamentos'!$E$11:$E$843,A23,'03_Eventos_pagamentos'!$I$11:$I$843,"FAT. DIRETO")</f>
        <v/>
      </c>
      <c r="J23" s="1432">
        <f>G23+I23+J22</f>
        <v/>
      </c>
      <c r="K23" s="1431" t="n"/>
      <c r="L23" s="1431">
        <f>K23+L22</f>
        <v/>
      </c>
      <c r="M23" s="1433" t="n"/>
      <c r="N23" s="1434" t="n"/>
      <c r="O23" s="1434" t="n"/>
      <c r="P23" s="1434" t="n"/>
      <c r="Q23" s="1434" t="n"/>
      <c r="R23" s="1435" t="n"/>
    </row>
    <row r="24" hidden="1">
      <c r="A24" s="523" t="n">
        <v>11</v>
      </c>
      <c r="B24" s="48">
        <f>SUM(COUNTIF('03_Eventos_pagamentos'!$E$11:$E$697,'04_TOTALIZADORA (2)'!A24)+COUNTIF('03_Eventos_pagamentos'!$E$766:$E$836,'04_TOTALIZADORA (2)'!A24))</f>
        <v/>
      </c>
      <c r="C24" s="1422">
        <f>SUMIF('03_Eventos_pagamentos'!$E$11:$E$699,A24,'03_Eventos_pagamentos'!$O$11:$O$697)+SUMIF('03_Eventos_pagamentos'!$E$766:$E$836,A24,'03_Eventos_pagamentos'!$O$766:$O$836)</f>
        <v/>
      </c>
      <c r="D24" s="48">
        <f>COUNTIF('03_Eventos_pagamentos'!$E$702:$E$763,'04_TOTALIZADORA (2)'!A24)</f>
        <v/>
      </c>
      <c r="E24" s="1427">
        <f>SUMIF('03_Eventos_pagamentos'!$E$702:$E$763,A24,'03_Eventos_pagamentos'!$O$702:$O$763)</f>
        <v/>
      </c>
      <c r="F24" s="1431">
        <f>C24+E24+F23</f>
        <v/>
      </c>
      <c r="G24" s="1425">
        <f>SUMIF('03_Eventos_pagamentos'!$P$11:$P$843,A25,'03_Eventos_pagamentos'!$Q$11:$Q$843)</f>
        <v/>
      </c>
      <c r="H24" s="1432">
        <f>G24+H23</f>
        <v/>
      </c>
      <c r="I24" s="1427">
        <f>SUMIFS( '03_Eventos_pagamentos'!$O$11:$O$843,'03_Eventos_pagamentos'!$E$11:$E$843,A24,'03_Eventos_pagamentos'!$I$11:$I$843,"FAT. DIRETO")</f>
        <v/>
      </c>
      <c r="J24" s="1432">
        <f>G24+I24+J23</f>
        <v/>
      </c>
      <c r="K24" s="1431" t="n"/>
      <c r="L24" s="1431">
        <f>K24+L23</f>
        <v/>
      </c>
      <c r="M24" s="1433" t="n"/>
      <c r="N24" s="1434" t="n"/>
      <c r="O24" s="1434" t="n"/>
      <c r="P24" s="1434" t="n"/>
      <c r="Q24" s="1434" t="n"/>
      <c r="R24" s="1435" t="n"/>
    </row>
    <row r="25" hidden="1">
      <c r="A25" s="523" t="n">
        <v>12</v>
      </c>
      <c r="B25" s="48">
        <f>SUM(COUNTIF('03_Eventos_pagamentos'!$E$11:$E$697,'04_TOTALIZADORA (2)'!A25)+COUNTIF('03_Eventos_pagamentos'!$E$766:$E$836,'04_TOTALIZADORA (2)'!A25))</f>
        <v/>
      </c>
      <c r="C25" s="1422">
        <f>SUMIF('03_Eventos_pagamentos'!$E$11:$E$699,A25,'03_Eventos_pagamentos'!$O$11:$O$697)+SUMIF('03_Eventos_pagamentos'!$E$766:$E$836,A25,'03_Eventos_pagamentos'!$O$766:$O$836)</f>
        <v/>
      </c>
      <c r="D25" s="48">
        <f>COUNTIF('03_Eventos_pagamentos'!$E$702:$E$763,'04_TOTALIZADORA (2)'!A25)</f>
        <v/>
      </c>
      <c r="E25" s="1427">
        <f>SUMIF('03_Eventos_pagamentos'!$E$702:$E$763,A25,'03_Eventos_pagamentos'!$O$702:$O$763)</f>
        <v/>
      </c>
      <c r="F25" s="1431">
        <f>C25+E25+F24</f>
        <v/>
      </c>
      <c r="G25" s="1425">
        <f>SUMIF('03_Eventos_pagamentos'!$P$11:$P$843,A26,'03_Eventos_pagamentos'!$Q$11:$Q$843)</f>
        <v/>
      </c>
      <c r="H25" s="1432">
        <f>G25+H24</f>
        <v/>
      </c>
      <c r="I25" s="1427">
        <f>SUMIFS( '03_Eventos_pagamentos'!$O$11:$O$843,'03_Eventos_pagamentos'!$E$11:$E$843,A25,'03_Eventos_pagamentos'!$I$11:$I$843,"FAT. DIRETO")</f>
        <v/>
      </c>
      <c r="J25" s="1432">
        <f>G25+I25+J24</f>
        <v/>
      </c>
      <c r="K25" s="1431" t="n"/>
      <c r="L25" s="1431">
        <f>K25+L24</f>
        <v/>
      </c>
      <c r="M25" s="1433" t="n"/>
      <c r="N25" s="1434" t="n"/>
      <c r="O25" s="1434" t="n"/>
      <c r="P25" s="1434" t="n"/>
      <c r="Q25" s="1434" t="n"/>
      <c r="R25" s="1435" t="n"/>
    </row>
    <row r="26" hidden="1">
      <c r="A26" s="523" t="n">
        <v>13</v>
      </c>
      <c r="B26" s="48">
        <f>SUM(COUNTIF('03_Eventos_pagamentos'!$E$11:$E$697,'04_TOTALIZADORA (2)'!A26)+COUNTIF('03_Eventos_pagamentos'!$E$766:$E$836,'04_TOTALIZADORA (2)'!A26))</f>
        <v/>
      </c>
      <c r="C26" s="1422">
        <f>SUMIF('03_Eventos_pagamentos'!$E$11:$E$699,A26,'03_Eventos_pagamentos'!$O$11:$O$697)+SUMIF('03_Eventos_pagamentos'!$E$766:$E$836,A26,'03_Eventos_pagamentos'!$O$766:$O$836)</f>
        <v/>
      </c>
      <c r="D26" s="48">
        <f>COUNTIF('03_Eventos_pagamentos'!$E$702:$E$763,'04_TOTALIZADORA (2)'!A26)</f>
        <v/>
      </c>
      <c r="E26" s="1427">
        <f>SUMIF('03_Eventos_pagamentos'!$E$702:$E$763,A26,'03_Eventos_pagamentos'!$O$702:$O$763)</f>
        <v/>
      </c>
      <c r="F26" s="1431">
        <f>C26+E26+F25</f>
        <v/>
      </c>
      <c r="G26" s="1425">
        <f>SUMIF('03_Eventos_pagamentos'!$P$11:$P$843,A27,'03_Eventos_pagamentos'!$Q$11:$Q$843)</f>
        <v/>
      </c>
      <c r="H26" s="1432">
        <f>G26+H25</f>
        <v/>
      </c>
      <c r="I26" s="1427">
        <f>SUMIFS( '03_Eventos_pagamentos'!$O$11:$O$843,'03_Eventos_pagamentos'!$E$11:$E$843,A26,'03_Eventos_pagamentos'!$I$11:$I$843,"FAT. DIRETO")</f>
        <v/>
      </c>
      <c r="J26" s="1432">
        <f>G26+I26+J25</f>
        <v/>
      </c>
      <c r="K26" s="1431" t="n"/>
      <c r="L26" s="1431">
        <f>K26+L25</f>
        <v/>
      </c>
      <c r="M26" s="1433" t="n"/>
      <c r="N26" s="1434" t="n"/>
      <c r="O26" s="1434" t="n"/>
      <c r="P26" s="1434" t="n"/>
      <c r="Q26" s="1434" t="n"/>
      <c r="R26" s="1435" t="n"/>
    </row>
    <row r="27" hidden="1">
      <c r="A27" s="523" t="n">
        <v>14</v>
      </c>
      <c r="B27" s="48">
        <f>SUM(COUNTIF('03_Eventos_pagamentos'!$E$11:$E$697,'04_TOTALIZADORA (2)'!A27)+COUNTIF('03_Eventos_pagamentos'!$E$766:$E$836,'04_TOTALIZADORA (2)'!A27))</f>
        <v/>
      </c>
      <c r="C27" s="1422">
        <f>SUMIF('03_Eventos_pagamentos'!$E$11:$E$699,A27,'03_Eventos_pagamentos'!$O$11:$O$697)+SUMIF('03_Eventos_pagamentos'!$E$766:$E$836,A27,'03_Eventos_pagamentos'!$O$766:$O$836)</f>
        <v/>
      </c>
      <c r="D27" s="48">
        <f>COUNTIF('03_Eventos_pagamentos'!$E$702:$E$763,'04_TOTALIZADORA (2)'!A27)</f>
        <v/>
      </c>
      <c r="E27" s="1427">
        <f>SUMIF('03_Eventos_pagamentos'!$E$702:$E$763,A27,'03_Eventos_pagamentos'!$O$702:$O$763)</f>
        <v/>
      </c>
      <c r="F27" s="1431">
        <f>C27+E27+F26</f>
        <v/>
      </c>
      <c r="G27" s="1425">
        <f>SUMIF('03_Eventos_pagamentos'!$P$11:$P$843,A28,'03_Eventos_pagamentos'!$Q$11:$Q$843)</f>
        <v/>
      </c>
      <c r="H27" s="1432">
        <f>G27+H26</f>
        <v/>
      </c>
      <c r="I27" s="1427">
        <f>SUMIFS( '03_Eventos_pagamentos'!$O$11:$O$843,'03_Eventos_pagamentos'!$E$11:$E$843,A27,'03_Eventos_pagamentos'!$I$11:$I$843,"FAT. DIRETO")</f>
        <v/>
      </c>
      <c r="J27" s="1432">
        <f>G27+I27+J26</f>
        <v/>
      </c>
      <c r="K27" s="1431" t="n"/>
      <c r="L27" s="1431">
        <f>K27+L26</f>
        <v/>
      </c>
      <c r="M27" s="1433" t="n"/>
      <c r="N27" s="1434" t="n"/>
      <c r="O27" s="1434" t="n"/>
      <c r="P27" s="1434" t="n"/>
      <c r="Q27" s="1434" t="n"/>
      <c r="R27" s="1435" t="n"/>
    </row>
    <row r="28">
      <c r="A28" s="523" t="n">
        <v>15</v>
      </c>
      <c r="B28" s="48">
        <f>SUM(COUNTIF('03_Eventos_pagamentos'!$E$11:$E$697,'04_TOTALIZADORA (2)'!A28)+COUNTIF('03_Eventos_pagamentos'!$E$766:$E$836,'04_TOTALIZADORA (2)'!A28))</f>
        <v/>
      </c>
      <c r="C28" s="1422">
        <f>SUMIF('03_Eventos_pagamentos'!$E$11:$E$699,A28,'03_Eventos_pagamentos'!$O$11:$O$697)+SUMIF('03_Eventos_pagamentos'!$E$766:$E$836,A28,'03_Eventos_pagamentos'!$O$766:$O$836)</f>
        <v/>
      </c>
      <c r="D28" s="48">
        <f>COUNTIF('03_Eventos_pagamentos'!$E$702:$E$763,'04_TOTALIZADORA (2)'!A28)</f>
        <v/>
      </c>
      <c r="E28" s="1427">
        <f>SUMIF('03_Eventos_pagamentos'!$E$702:$E$763,A28,'03_Eventos_pagamentos'!$O$702:$O$763)</f>
        <v/>
      </c>
      <c r="F28" s="1431">
        <f>C28+E28+F27</f>
        <v/>
      </c>
      <c r="G28" s="1425">
        <f>SUMIF('03_Eventos_pagamentos'!$P$11:$P$843,A29,'03_Eventos_pagamentos'!$Q$11:$Q$843)</f>
        <v/>
      </c>
      <c r="H28" s="1432">
        <f>G28+H27</f>
        <v/>
      </c>
      <c r="I28" s="1427">
        <f>SUMIFS( '03_Eventos_pagamentos'!$O$11:$O$843,'03_Eventos_pagamentos'!$E$11:$E$843,A28,'03_Eventos_pagamentos'!$I$11:$I$843,"FAT. DIRETO")</f>
        <v/>
      </c>
      <c r="J28" s="1432">
        <f>G28+I28+J27</f>
        <v/>
      </c>
      <c r="K28" s="1431">
        <f>0.85*412245.2</f>
        <v/>
      </c>
      <c r="L28" s="1431">
        <f>K28+L27</f>
        <v/>
      </c>
      <c r="M28" s="1433" t="n"/>
      <c r="N28" s="1434" t="n"/>
      <c r="O28" s="1434" t="n"/>
      <c r="P28" s="1434" t="n"/>
      <c r="Q28" s="1434" t="n"/>
      <c r="R28" s="1435" t="n"/>
    </row>
    <row r="29">
      <c r="A29" s="523" t="n">
        <v>16</v>
      </c>
      <c r="B29" s="48">
        <f>SUM(COUNTIF('03_Eventos_pagamentos'!$E$11:$E$697,'04_TOTALIZADORA (2)'!A29)+COUNTIF('03_Eventos_pagamentos'!$E$766:$E$836,'04_TOTALIZADORA (2)'!A29))</f>
        <v/>
      </c>
      <c r="C29" s="1422">
        <f>SUMIF('03_Eventos_pagamentos'!$E$11:$E$699,A29,'03_Eventos_pagamentos'!$O$11:$O$697)+SUMIF('03_Eventos_pagamentos'!$E$766:$E$836,A29,'03_Eventos_pagamentos'!$O$766:$O$836)</f>
        <v/>
      </c>
      <c r="D29" s="48">
        <f>COUNTIF('03_Eventos_pagamentos'!$E$702:$E$763,'04_TOTALIZADORA (2)'!A29)</f>
        <v/>
      </c>
      <c r="E29" s="1427">
        <f>SUMIF('03_Eventos_pagamentos'!$E$702:$E$763,A29,'03_Eventos_pagamentos'!$O$702:$O$763)</f>
        <v/>
      </c>
      <c r="F29" s="1431">
        <f>C29+E29+F28</f>
        <v/>
      </c>
      <c r="G29" s="1425">
        <f>SUMIF('03_Eventos_pagamentos'!$P$11:$P$843,A30,'03_Eventos_pagamentos'!$Q$11:$Q$843)</f>
        <v/>
      </c>
      <c r="H29" s="1432">
        <f>G29+H28</f>
        <v/>
      </c>
      <c r="I29" s="1427">
        <f>SUMIFS( '03_Eventos_pagamentos'!$O$11:$O$843,'03_Eventos_pagamentos'!$E$11:$E$843,A29,'03_Eventos_pagamentos'!$I$11:$I$843,"FAT. DIRETO")</f>
        <v/>
      </c>
      <c r="J29" s="1432">
        <f>G29+I29+J28</f>
        <v/>
      </c>
      <c r="K29" s="1431" t="n"/>
      <c r="L29" s="1431">
        <f>K29+L28</f>
        <v/>
      </c>
      <c r="M29" s="1433" t="n"/>
      <c r="N29" s="1434" t="n"/>
      <c r="O29" s="1434" t="n"/>
      <c r="P29" s="1434" t="n"/>
      <c r="Q29" s="1434" t="n"/>
      <c r="R29" s="1435" t="n"/>
    </row>
    <row r="30">
      <c r="A30" s="523" t="n">
        <v>17</v>
      </c>
      <c r="B30" s="48">
        <f>SUM(COUNTIF('03_Eventos_pagamentos'!$E$11:$E$697,'04_TOTALIZADORA (2)'!A30)+COUNTIF('03_Eventos_pagamentos'!$E$766:$E$836,'04_TOTALIZADORA (2)'!A30))</f>
        <v/>
      </c>
      <c r="C30" s="1422">
        <f>SUMIF('03_Eventos_pagamentos'!$E$11:$E$699,A30,'03_Eventos_pagamentos'!$O$11:$O$697)+SUMIF('03_Eventos_pagamentos'!$E$766:$E$836,A30,'03_Eventos_pagamentos'!$O$766:$O$836)</f>
        <v/>
      </c>
      <c r="D30" s="48">
        <f>COUNTIF('03_Eventos_pagamentos'!$E$702:$E$763,'04_TOTALIZADORA (2)'!A30)</f>
        <v/>
      </c>
      <c r="E30" s="1427">
        <f>SUMIF('03_Eventos_pagamentos'!$E$702:$E$763,A30,'03_Eventos_pagamentos'!$O$702:$O$763)</f>
        <v/>
      </c>
      <c r="F30" s="1431">
        <f>C30+E30+F29</f>
        <v/>
      </c>
      <c r="G30" s="1425">
        <f>SUMIF('03_Eventos_pagamentos'!$P$11:$P$843,A31,'03_Eventos_pagamentos'!$Q$11:$Q$843)</f>
        <v/>
      </c>
      <c r="H30" s="1432">
        <f>G30+H29</f>
        <v/>
      </c>
      <c r="I30" s="1427">
        <f>SUMIFS( '03_Eventos_pagamentos'!$O$11:$O$843,'03_Eventos_pagamentos'!$E$11:$E$843,A30,'03_Eventos_pagamentos'!$I$11:$I$843,"FAT. DIRETO")</f>
        <v/>
      </c>
      <c r="J30" s="1432">
        <f>G30+I30+J29</f>
        <v/>
      </c>
      <c r="K30" s="1431">
        <f>0.85*800224.32</f>
        <v/>
      </c>
      <c r="L30" s="1431">
        <f>K30+L29</f>
        <v/>
      </c>
      <c r="M30" s="1433" t="n"/>
      <c r="N30" s="1434" t="n"/>
      <c r="O30" s="1434" t="n"/>
      <c r="P30" s="1434" t="n"/>
      <c r="Q30" s="1434" t="n"/>
      <c r="R30" s="1435" t="n"/>
    </row>
    <row r="31">
      <c r="A31" s="523" t="n">
        <v>18</v>
      </c>
      <c r="B31" s="48">
        <f>SUM(COUNTIF('03_Eventos_pagamentos'!$E$11:$E$697,'04_TOTALIZADORA (2)'!A31)+COUNTIF('03_Eventos_pagamentos'!$E$766:$E$836,'04_TOTALIZADORA (2)'!A31))</f>
        <v/>
      </c>
      <c r="C31" s="1422">
        <f>SUMIF('03_Eventos_pagamentos'!$E$11:$E$699,A31,'03_Eventos_pagamentos'!$O$11:$O$697)+SUMIF('03_Eventos_pagamentos'!$E$766:$E$836,A31,'03_Eventos_pagamentos'!$O$766:$O$836)</f>
        <v/>
      </c>
      <c r="D31" s="48">
        <f>COUNTIF('03_Eventos_pagamentos'!$E$702:$E$763,'04_TOTALIZADORA (2)'!A31)</f>
        <v/>
      </c>
      <c r="E31" s="1427">
        <f>SUMIF('03_Eventos_pagamentos'!$E$702:$E$763,A31,'03_Eventos_pagamentos'!$O$702:$O$763)</f>
        <v/>
      </c>
      <c r="F31" s="1431">
        <f>C31+E31+F30</f>
        <v/>
      </c>
      <c r="G31" s="1425">
        <f>SUMIF('03_Eventos_pagamentos'!$P$11:$P$843,A32,'03_Eventos_pagamentos'!$Q$11:$Q$843)</f>
        <v/>
      </c>
      <c r="H31" s="1432">
        <f>G31+H30</f>
        <v/>
      </c>
      <c r="I31" s="1427">
        <f>SUMIFS( '03_Eventos_pagamentos'!$O$11:$O$843,'03_Eventos_pagamentos'!$E$11:$E$843,A31,'03_Eventos_pagamentos'!$I$11:$I$843,"FAT. DIRETO")</f>
        <v/>
      </c>
      <c r="J31" s="1432">
        <f>G31+I31+J30</f>
        <v/>
      </c>
      <c r="K31" s="1431" t="n"/>
      <c r="L31" s="1431">
        <f>K31+L30</f>
        <v/>
      </c>
      <c r="M31" s="1433" t="n"/>
      <c r="N31" s="1434" t="n"/>
      <c r="O31" s="1434" t="n"/>
      <c r="P31" s="1434" t="n"/>
      <c r="Q31" s="1434" t="n"/>
      <c r="R31" s="1435" t="n"/>
    </row>
    <row r="32">
      <c r="A32" s="523" t="n">
        <v>19</v>
      </c>
      <c r="B32" s="48">
        <f>SUM(COUNTIF('03_Eventos_pagamentos'!$E$11:$E$697,'04_TOTALIZADORA (2)'!A32)+COUNTIF('03_Eventos_pagamentos'!$E$766:$E$836,'04_TOTALIZADORA (2)'!A32))</f>
        <v/>
      </c>
      <c r="C32" s="1422">
        <f>SUMIF('03_Eventos_pagamentos'!$E$11:$E$699,A32,'03_Eventos_pagamentos'!$O$11:$O$697)+SUMIF('03_Eventos_pagamentos'!$E$766:$E$836,A32,'03_Eventos_pagamentos'!$O$766:$O$836)</f>
        <v/>
      </c>
      <c r="D32" s="48">
        <f>COUNTIF('03_Eventos_pagamentos'!$E$702:$E$763,'04_TOTALIZADORA (2)'!A32)</f>
        <v/>
      </c>
      <c r="E32" s="1427">
        <f>SUMIF('03_Eventos_pagamentos'!$E$702:$E$763,A32,'03_Eventos_pagamentos'!$O$702:$O$763)</f>
        <v/>
      </c>
      <c r="F32" s="1431">
        <f>C32+E32+F31</f>
        <v/>
      </c>
      <c r="G32" s="1425">
        <f>SUMIF('03_Eventos_pagamentos'!$P$11:$P$843,A33,'03_Eventos_pagamentos'!$Q$11:$Q$843)</f>
        <v/>
      </c>
      <c r="H32" s="1432">
        <f>G32+H31</f>
        <v/>
      </c>
      <c r="I32" s="1427">
        <f>SUMIFS( '03_Eventos_pagamentos'!$O$11:$O$843,'03_Eventos_pagamentos'!$E$11:$E$843,A32,'03_Eventos_pagamentos'!$I$11:$I$843,"FAT. DIRETO")</f>
        <v/>
      </c>
      <c r="J32" s="1432">
        <f>G32+I32+J31</f>
        <v/>
      </c>
      <c r="K32" s="1431" t="n"/>
      <c r="L32" s="1431">
        <f>K32+L31</f>
        <v/>
      </c>
      <c r="M32" s="1433" t="n"/>
      <c r="N32" s="1434" t="n"/>
      <c r="O32" s="1434" t="n"/>
      <c r="P32" s="1434" t="n"/>
      <c r="Q32" s="1434" t="n"/>
      <c r="R32" s="1435" t="n"/>
    </row>
    <row r="33">
      <c r="A33" s="523" t="n">
        <v>20</v>
      </c>
      <c r="B33" s="48">
        <f>SUM(COUNTIF('03_Eventos_pagamentos'!$E$11:$E$697,'04_TOTALIZADORA (2)'!A33)+COUNTIF('03_Eventos_pagamentos'!$E$766:$E$836,'04_TOTALIZADORA (2)'!A33))</f>
        <v/>
      </c>
      <c r="C33" s="1422">
        <f>SUMIF('03_Eventos_pagamentos'!$E$11:$E$699,A33,'03_Eventos_pagamentos'!$O$11:$O$697)+SUMIF('03_Eventos_pagamentos'!$E$766:$E$836,A33,'03_Eventos_pagamentos'!$O$766:$O$836)</f>
        <v/>
      </c>
      <c r="D33" s="48">
        <f>COUNTIF('03_Eventos_pagamentos'!$E$702:$E$763,'04_TOTALIZADORA (2)'!A33)</f>
        <v/>
      </c>
      <c r="E33" s="1427">
        <f>SUMIF('03_Eventos_pagamentos'!$E$702:$E$763,A33,'03_Eventos_pagamentos'!$O$702:$O$763)</f>
        <v/>
      </c>
      <c r="F33" s="1431">
        <f>C33+E33+F32</f>
        <v/>
      </c>
      <c r="G33" s="1425">
        <f>SUMIF('03_Eventos_pagamentos'!$P$11:$P$843,A34,'03_Eventos_pagamentos'!$Q$11:$Q$843)</f>
        <v/>
      </c>
      <c r="H33" s="1432">
        <f>G33+H32</f>
        <v/>
      </c>
      <c r="I33" s="1427">
        <f>SUMIFS( '03_Eventos_pagamentos'!$O$11:$O$843,'03_Eventos_pagamentos'!$E$11:$E$843,A33,'03_Eventos_pagamentos'!$I$11:$I$843,"FAT. DIRETO")</f>
        <v/>
      </c>
      <c r="J33" s="1432">
        <f>G33+I33+J32</f>
        <v/>
      </c>
      <c r="K33" s="1431" t="n"/>
      <c r="L33" s="1431">
        <f>K33+L32</f>
        <v/>
      </c>
      <c r="M33" s="1433" t="n"/>
      <c r="N33" s="1434" t="n"/>
      <c r="O33" s="1434" t="n"/>
      <c r="P33" s="1434" t="n"/>
      <c r="Q33" s="1434" t="n"/>
      <c r="R33" s="1435" t="n"/>
    </row>
    <row r="34">
      <c r="A34" s="523" t="n">
        <v>21</v>
      </c>
      <c r="B34" s="48">
        <f>SUM(COUNTIF('03_Eventos_pagamentos'!$E$11:$E$697,'04_TOTALIZADORA (2)'!A34)+COUNTIF('03_Eventos_pagamentos'!$E$766:$E$836,'04_TOTALIZADORA (2)'!A34))</f>
        <v/>
      </c>
      <c r="C34" s="1422">
        <f>SUMIF('03_Eventos_pagamentos'!$E$11:$E$699,A34,'03_Eventos_pagamentos'!$O$11:$O$697)+SUMIF('03_Eventos_pagamentos'!$E$766:$E$836,A34,'03_Eventos_pagamentos'!$O$766:$O$836)</f>
        <v/>
      </c>
      <c r="D34" s="48">
        <f>COUNTIF('03_Eventos_pagamentos'!$E$702:$E$763,'04_TOTALIZADORA (2)'!A34)</f>
        <v/>
      </c>
      <c r="E34" s="1427">
        <f>SUMIF('03_Eventos_pagamentos'!$E$702:$E$763,A34,'03_Eventos_pagamentos'!$O$702:$O$763)</f>
        <v/>
      </c>
      <c r="F34" s="1431">
        <f>C34+E34+F33</f>
        <v/>
      </c>
      <c r="G34" s="1425">
        <f>SUMIF('03_Eventos_pagamentos'!$P$11:$P$843,A35,'03_Eventos_pagamentos'!$Q$11:$Q$843)</f>
        <v/>
      </c>
      <c r="H34" s="1432">
        <f>G34+H33</f>
        <v/>
      </c>
      <c r="I34" s="1427">
        <f>SUMIFS( '03_Eventos_pagamentos'!$O$11:$O$843,'03_Eventos_pagamentos'!$E$11:$E$843,A34,'03_Eventos_pagamentos'!$I$11:$I$843,"FAT. DIRETO")</f>
        <v/>
      </c>
      <c r="J34" s="1432">
        <f>G34+I34+J33</f>
        <v/>
      </c>
      <c r="K34" s="1431" t="n"/>
      <c r="L34" s="1431">
        <f>K34+L33</f>
        <v/>
      </c>
      <c r="M34" s="1433" t="n"/>
      <c r="N34" s="1434" t="n"/>
      <c r="O34" s="1434" t="n"/>
      <c r="P34" s="1434" t="n"/>
      <c r="Q34" s="1434" t="n"/>
      <c r="R34" s="1435" t="n"/>
    </row>
    <row r="35">
      <c r="A35" s="523" t="n">
        <v>22</v>
      </c>
      <c r="B35" s="48">
        <f>SUM(COUNTIF('03_Eventos_pagamentos'!$E$11:$E$697,'04_TOTALIZADORA (2)'!A35)+COUNTIF('03_Eventos_pagamentos'!$E$766:$E$836,'04_TOTALIZADORA (2)'!A35))</f>
        <v/>
      </c>
      <c r="C35" s="1422">
        <f>SUMIF('03_Eventos_pagamentos'!$E$11:$E$699,A35,'03_Eventos_pagamentos'!$O$11:$O$697)+SUMIF('03_Eventos_pagamentos'!$E$766:$E$836,A35,'03_Eventos_pagamentos'!$O$766:$O$836)</f>
        <v/>
      </c>
      <c r="D35" s="48">
        <f>COUNTIF('03_Eventos_pagamentos'!$E$702:$E$763,'04_TOTALIZADORA (2)'!A35)</f>
        <v/>
      </c>
      <c r="E35" s="1427">
        <f>SUMIF('03_Eventos_pagamentos'!$E$702:$E$763,A35,'03_Eventos_pagamentos'!$O$702:$O$763)</f>
        <v/>
      </c>
      <c r="F35" s="1431">
        <f>C35+E35+F34</f>
        <v/>
      </c>
      <c r="G35" s="1425">
        <f>SUMIF('03_Eventos_pagamentos'!$P$11:$P$843,A36,'03_Eventos_pagamentos'!$Q$11:$Q$843)</f>
        <v/>
      </c>
      <c r="H35" s="1432">
        <f>G35+H34</f>
        <v/>
      </c>
      <c r="I35" s="1427">
        <f>SUMIFS( '03_Eventos_pagamentos'!$O$11:$O$843,'03_Eventos_pagamentos'!$E$11:$E$843,A35,'03_Eventos_pagamentos'!$I$11:$I$843,"FAT. DIRETO")</f>
        <v/>
      </c>
      <c r="J35" s="1432">
        <f>G35+I35+J34</f>
        <v/>
      </c>
      <c r="K35" s="1431" t="n"/>
      <c r="L35" s="1431">
        <f>K35+L34</f>
        <v/>
      </c>
      <c r="M35" s="1433" t="n"/>
      <c r="N35" s="1434" t="n"/>
      <c r="O35" s="1434" t="n"/>
      <c r="P35" s="1434" t="n"/>
      <c r="Q35" s="1434" t="n"/>
      <c r="R35" s="1435" t="n"/>
    </row>
    <row r="36">
      <c r="A36" s="523" t="n">
        <v>23</v>
      </c>
      <c r="B36" s="48">
        <f>SUM(COUNTIF('03_Eventos_pagamentos'!$E$11:$E$697,'04_TOTALIZADORA (2)'!A36)+COUNTIF('03_Eventos_pagamentos'!$E$766:$E$836,'04_TOTALIZADORA (2)'!A36))</f>
        <v/>
      </c>
      <c r="C36" s="1422">
        <f>SUMIF('03_Eventos_pagamentos'!$E$11:$E$699,A36,'03_Eventos_pagamentos'!$O$11:$O$697)+SUMIF('03_Eventos_pagamentos'!$E$766:$E$836,A36,'03_Eventos_pagamentos'!$O$766:$O$836)</f>
        <v/>
      </c>
      <c r="D36" s="48">
        <f>COUNTIF('03_Eventos_pagamentos'!$E$702:$E$763,'04_TOTALIZADORA (2)'!A36)</f>
        <v/>
      </c>
      <c r="E36" s="1427">
        <f>SUMIF('03_Eventos_pagamentos'!$E$702:$E$763,A36,'03_Eventos_pagamentos'!$O$702:$O$763)</f>
        <v/>
      </c>
      <c r="F36" s="1431">
        <f>C36+E36+F35</f>
        <v/>
      </c>
      <c r="G36" s="1425">
        <f>SUMIF('03_Eventos_pagamentos'!$P$11:$P$843,A37,'03_Eventos_pagamentos'!$Q$11:$Q$843)</f>
        <v/>
      </c>
      <c r="H36" s="1432">
        <f>G36+H35</f>
        <v/>
      </c>
      <c r="I36" s="1427">
        <f>SUMIFS( '03_Eventos_pagamentos'!$O$11:$O$843,'03_Eventos_pagamentos'!$E$11:$E$843,A36,'03_Eventos_pagamentos'!$I$11:$I$843,"FAT. DIRETO")</f>
        <v/>
      </c>
      <c r="J36" s="1432">
        <f>G36+I36+J35</f>
        <v/>
      </c>
      <c r="K36" s="1431" t="n"/>
      <c r="L36" s="1431">
        <f>K36+L35</f>
        <v/>
      </c>
      <c r="M36" s="1433" t="n"/>
      <c r="N36" s="1434" t="n"/>
      <c r="O36" s="1434" t="n"/>
      <c r="P36" s="1434" t="n"/>
      <c r="Q36" s="1434" t="n"/>
      <c r="R36" s="1435" t="n"/>
    </row>
    <row r="37">
      <c r="A37" s="523" t="n">
        <v>24</v>
      </c>
      <c r="B37" s="48">
        <f>SUM(COUNTIF('03_Eventos_pagamentos'!$E$11:$E$697,'04_TOTALIZADORA (2)'!A37)+COUNTIF('03_Eventos_pagamentos'!$E$766:$E$836,'04_TOTALIZADORA (2)'!A37))</f>
        <v/>
      </c>
      <c r="C37" s="1422">
        <f>SUMIF('03_Eventos_pagamentos'!$E$11:$E$699,A37,'03_Eventos_pagamentos'!$O$11:$O$697)+SUMIF('03_Eventos_pagamentos'!$E$766:$E$836,A37,'03_Eventos_pagamentos'!$O$766:$O$836)</f>
        <v/>
      </c>
      <c r="D37" s="48">
        <f>COUNTIF('03_Eventos_pagamentos'!$E$702:$E$763,'04_TOTALIZADORA (2)'!A37)</f>
        <v/>
      </c>
      <c r="E37" s="1427">
        <f>SUMIF('03_Eventos_pagamentos'!$E$702:$E$763,A37,'03_Eventos_pagamentos'!$O$702:$O$763)</f>
        <v/>
      </c>
      <c r="F37" s="1431">
        <f>C37+E37+F36</f>
        <v/>
      </c>
      <c r="G37" s="1425">
        <f>SUMIF('03_Eventos_pagamentos'!$P$11:$P$843,A38,'03_Eventos_pagamentos'!$Q$11:$Q$843)</f>
        <v/>
      </c>
      <c r="H37" s="1432">
        <f>G37+H36</f>
        <v/>
      </c>
      <c r="I37" s="1427">
        <f>SUMIFS( '03_Eventos_pagamentos'!$O$11:$O$843,'03_Eventos_pagamentos'!$E$11:$E$843,A37,'03_Eventos_pagamentos'!$I$11:$I$843,"FAT. DIRETO")</f>
        <v/>
      </c>
      <c r="J37" s="1432">
        <f>G37+I37+J36</f>
        <v/>
      </c>
      <c r="K37" s="1431" t="n"/>
      <c r="L37" s="1431">
        <f>K37+L36</f>
        <v/>
      </c>
      <c r="M37" s="1433" t="n"/>
      <c r="N37" s="1434" t="n"/>
      <c r="O37" s="1434" t="n"/>
      <c r="P37" s="1434" t="n"/>
      <c r="Q37" s="1434" t="n"/>
      <c r="R37" s="1435" t="n"/>
    </row>
    <row r="38">
      <c r="A38" s="523" t="n">
        <v>25</v>
      </c>
      <c r="B38" s="48">
        <f>SUM(COUNTIF('03_Eventos_pagamentos'!$E$11:$E$697,'04_TOTALIZADORA (2)'!A38)+COUNTIF('03_Eventos_pagamentos'!$E$766:$E$836,'04_TOTALIZADORA (2)'!A38))</f>
        <v/>
      </c>
      <c r="C38" s="1422">
        <f>SUMIF('03_Eventos_pagamentos'!$E$11:$E$699,A38,'03_Eventos_pagamentos'!$O$11:$O$697)+SUMIF('03_Eventos_pagamentos'!$E$766:$E$836,A38,'03_Eventos_pagamentos'!$O$766:$O$836)</f>
        <v/>
      </c>
      <c r="D38" s="48">
        <f>COUNTIF('03_Eventos_pagamentos'!$E$702:$E$763,'04_TOTALIZADORA (2)'!A38)</f>
        <v/>
      </c>
      <c r="E38" s="1427">
        <f>SUMIF('03_Eventos_pagamentos'!$E$702:$E$763,A38,'03_Eventos_pagamentos'!$O$702:$O$763)</f>
        <v/>
      </c>
      <c r="F38" s="1431">
        <f>C38+E38+F37</f>
        <v/>
      </c>
      <c r="G38" s="1425">
        <f>SUMIF('03_Eventos_pagamentos'!$P$11:$P$843,A39,'03_Eventos_pagamentos'!$Q$11:$Q$843)</f>
        <v/>
      </c>
      <c r="H38" s="1432">
        <f>G38+H37</f>
        <v/>
      </c>
      <c r="I38" s="1427">
        <f>SUMIFS( '03_Eventos_pagamentos'!$O$11:$O$843,'03_Eventos_pagamentos'!$E$11:$E$843,A38,'03_Eventos_pagamentos'!$I$11:$I$843,"FAT. DIRETO")</f>
        <v/>
      </c>
      <c r="J38" s="1432">
        <f>G38+I38+J37</f>
        <v/>
      </c>
      <c r="K38" s="1431" t="n"/>
      <c r="L38" s="1431">
        <f>K38+L37</f>
        <v/>
      </c>
      <c r="M38" s="1433" t="n"/>
      <c r="N38" s="1434" t="n"/>
      <c r="O38" s="1434" t="n"/>
      <c r="P38" s="1434" t="n"/>
      <c r="Q38" s="1434" t="n"/>
      <c r="R38" s="1435" t="n"/>
    </row>
    <row r="39">
      <c r="A39" s="523" t="n">
        <v>26</v>
      </c>
      <c r="B39" s="48">
        <f>SUM(COUNTIF('03_Eventos_pagamentos'!$E$11:$E$697,'04_TOTALIZADORA (2)'!A39)+COUNTIF('03_Eventos_pagamentos'!$E$766:$E$836,'04_TOTALIZADORA (2)'!A39))</f>
        <v/>
      </c>
      <c r="C39" s="1422">
        <f>SUMIF('03_Eventos_pagamentos'!$E$11:$E$699,A39,'03_Eventos_pagamentos'!$O$11:$O$697)+SUMIF('03_Eventos_pagamentos'!$E$766:$E$836,A39,'03_Eventos_pagamentos'!$O$766:$O$836)</f>
        <v/>
      </c>
      <c r="D39" s="48">
        <f>COUNTIF('03_Eventos_pagamentos'!$E$702:$E$763,'04_TOTALIZADORA (2)'!A39)</f>
        <v/>
      </c>
      <c r="E39" s="1427">
        <f>SUMIF('03_Eventos_pagamentos'!$E$702:$E$763,A39,'03_Eventos_pagamentos'!$O$702:$O$763)</f>
        <v/>
      </c>
      <c r="F39" s="1431">
        <f>C39+E39+F38</f>
        <v/>
      </c>
      <c r="G39" s="1425">
        <f>SUMIF('03_Eventos_pagamentos'!$P$11:$P$843,A40,'03_Eventos_pagamentos'!$Q$11:$Q$843)</f>
        <v/>
      </c>
      <c r="H39" s="1432">
        <f>G39+H38</f>
        <v/>
      </c>
      <c r="I39" s="1427">
        <f>SUMIFS( '03_Eventos_pagamentos'!$O$11:$O$843,'03_Eventos_pagamentos'!$E$11:$E$843,A39,'03_Eventos_pagamentos'!$I$11:$I$843,"FAT. DIRETO")</f>
        <v/>
      </c>
      <c r="J39" s="1432">
        <f>G39+I39+J38</f>
        <v/>
      </c>
      <c r="K39" s="1431" t="n"/>
      <c r="L39" s="1431">
        <f>K39+L38</f>
        <v/>
      </c>
      <c r="M39" s="1433" t="n"/>
      <c r="N39" s="1434" t="n"/>
      <c r="O39" s="1434" t="n"/>
      <c r="P39" s="1434" t="n"/>
      <c r="Q39" s="1434" t="n"/>
      <c r="R39" s="1435" t="n"/>
    </row>
    <row r="40">
      <c r="A40" s="523" t="n">
        <v>27</v>
      </c>
      <c r="B40" s="48">
        <f>SUM(COUNTIF('03_Eventos_pagamentos'!$E$11:$E$697,'04_TOTALIZADORA (2)'!A40)+COUNTIF('03_Eventos_pagamentos'!$E$766:$E$836,'04_TOTALIZADORA (2)'!A40))</f>
        <v/>
      </c>
      <c r="C40" s="1422">
        <f>SUMIF('03_Eventos_pagamentos'!$E$11:$E$699,A40,'03_Eventos_pagamentos'!$O$11:$O$697)+SUMIF('03_Eventos_pagamentos'!$E$766:$E$836,A40,'03_Eventos_pagamentos'!$O$766:$O$836)</f>
        <v/>
      </c>
      <c r="D40" s="48">
        <f>COUNTIF('03_Eventos_pagamentos'!$E$702:$E$763,'04_TOTALIZADORA (2)'!A40)</f>
        <v/>
      </c>
      <c r="E40" s="1427">
        <f>SUMIF('03_Eventos_pagamentos'!$E$702:$E$763,A40,'03_Eventos_pagamentos'!$O$702:$O$763)</f>
        <v/>
      </c>
      <c r="F40" s="1431">
        <f>C40+E40+F39</f>
        <v/>
      </c>
      <c r="G40" s="1425">
        <f>SUMIF('03_Eventos_pagamentos'!$P$11:$P$843,A41,'03_Eventos_pagamentos'!$Q$11:$Q$843)</f>
        <v/>
      </c>
      <c r="H40" s="1432">
        <f>G40+H39</f>
        <v/>
      </c>
      <c r="I40" s="1427">
        <f>SUMIFS( '03_Eventos_pagamentos'!$O$11:$O$843,'03_Eventos_pagamentos'!$E$11:$E$843,A40,'03_Eventos_pagamentos'!$I$11:$I$843,"FAT. DIRETO")</f>
        <v/>
      </c>
      <c r="J40" s="1432">
        <f>G40+I40+J39</f>
        <v/>
      </c>
      <c r="K40" s="1431" t="n"/>
      <c r="L40" s="1431">
        <f>K40+L39</f>
        <v/>
      </c>
      <c r="M40" s="1433" t="n"/>
      <c r="N40" s="1434" t="n"/>
      <c r="O40" s="1434" t="n"/>
      <c r="P40" s="1434" t="n"/>
      <c r="Q40" s="1434" t="n"/>
      <c r="R40" s="1435" t="n"/>
    </row>
    <row r="41">
      <c r="A41" s="523" t="n">
        <v>28</v>
      </c>
      <c r="B41" s="48">
        <f>SUM(COUNTIF('03_Eventos_pagamentos'!$E$11:$E$697,'04_TOTALIZADORA (2)'!A41)+COUNTIF('03_Eventos_pagamentos'!$E$766:$E$836,'04_TOTALIZADORA (2)'!A41))</f>
        <v/>
      </c>
      <c r="C41" s="1422">
        <f>SUMIF('03_Eventos_pagamentos'!$E$11:$E$699,A41,'03_Eventos_pagamentos'!$O$11:$O$697)+SUMIF('03_Eventos_pagamentos'!$E$766:$E$836,A41,'03_Eventos_pagamentos'!$O$766:$O$836)</f>
        <v/>
      </c>
      <c r="D41" s="48">
        <f>COUNTIF('03_Eventos_pagamentos'!$E$702:$E$763,'04_TOTALIZADORA (2)'!A41)</f>
        <v/>
      </c>
      <c r="E41" s="1427">
        <f>SUMIF('03_Eventos_pagamentos'!$E$702:$E$763,A41,'03_Eventos_pagamentos'!$O$702:$O$763)</f>
        <v/>
      </c>
      <c r="F41" s="1431">
        <f>C41+E41+F40</f>
        <v/>
      </c>
      <c r="G41" s="1425">
        <f>SUMIF('03_Eventos_pagamentos'!$P$11:$P$843,A42,'03_Eventos_pagamentos'!$Q$11:$Q$843)</f>
        <v/>
      </c>
      <c r="H41" s="1432">
        <f>G41+H40</f>
        <v/>
      </c>
      <c r="I41" s="1427">
        <f>SUMIFS( '03_Eventos_pagamentos'!$O$11:$O$843,'03_Eventos_pagamentos'!$E$11:$E$843,A41,'03_Eventos_pagamentos'!$I$11:$I$843,"FAT. DIRETO")</f>
        <v/>
      </c>
      <c r="J41" s="1432">
        <f>G41+I41+J40</f>
        <v/>
      </c>
      <c r="K41" s="1431" t="n"/>
      <c r="L41" s="1431">
        <f>K41+L40</f>
        <v/>
      </c>
      <c r="M41" s="1433" t="n"/>
      <c r="N41" s="1434" t="n"/>
      <c r="O41" s="1434" t="n"/>
      <c r="P41" s="1434" t="n"/>
      <c r="Q41" s="1434" t="n"/>
      <c r="R41" s="1435" t="n"/>
    </row>
    <row r="42">
      <c r="A42" s="523" t="n">
        <v>29</v>
      </c>
      <c r="B42" s="48">
        <f>SUM(COUNTIF('03_Eventos_pagamentos'!$E$11:$E$697,'04_TOTALIZADORA (2)'!A42)+COUNTIF('03_Eventos_pagamentos'!$E$766:$E$836,'04_TOTALIZADORA (2)'!A42))</f>
        <v/>
      </c>
      <c r="C42" s="1422">
        <f>SUMIF('03_Eventos_pagamentos'!$E$11:$E$699,A42,'03_Eventos_pagamentos'!$O$11:$O$697)+SUMIF('03_Eventos_pagamentos'!$E$766:$E$836,A42,'03_Eventos_pagamentos'!$O$766:$O$836)</f>
        <v/>
      </c>
      <c r="D42" s="48">
        <f>COUNTIF('03_Eventos_pagamentos'!$E$702:$E$763,'04_TOTALIZADORA (2)'!A42)</f>
        <v/>
      </c>
      <c r="E42" s="1427">
        <f>SUMIF('03_Eventos_pagamentos'!$E$702:$E$763,A42,'03_Eventos_pagamentos'!$O$702:$O$763)</f>
        <v/>
      </c>
      <c r="F42" s="1431">
        <f>C42+E42+F41</f>
        <v/>
      </c>
      <c r="G42" s="1425">
        <f>SUMIF('03_Eventos_pagamentos'!$P$11:$P$843,A43,'03_Eventos_pagamentos'!$Q$11:$Q$843)</f>
        <v/>
      </c>
      <c r="H42" s="1432">
        <f>G42+H41</f>
        <v/>
      </c>
      <c r="I42" s="1427">
        <f>SUMIFS( '03_Eventos_pagamentos'!$O$11:$O$843,'03_Eventos_pagamentos'!$E$11:$E$843,A42,'03_Eventos_pagamentos'!$I$11:$I$843,"FAT. DIRETO")</f>
        <v/>
      </c>
      <c r="J42" s="1432">
        <f>G42+I42+J41</f>
        <v/>
      </c>
      <c r="K42" s="1431" t="n"/>
      <c r="L42" s="1431">
        <f>K42+L41</f>
        <v/>
      </c>
      <c r="M42" s="1433" t="n"/>
      <c r="N42" s="1434" t="n"/>
      <c r="O42" s="1434" t="n"/>
      <c r="P42" s="1434" t="n"/>
      <c r="Q42" s="1434" t="n"/>
      <c r="R42" s="1435" t="n"/>
    </row>
    <row r="43">
      <c r="A43" s="523" t="n">
        <v>30</v>
      </c>
      <c r="B43" s="48">
        <f>SUM(COUNTIF('03_Eventos_pagamentos'!$E$11:$E$697,'04_TOTALIZADORA (2)'!A43)+COUNTIF('03_Eventos_pagamentos'!$E$766:$E$836,'04_TOTALIZADORA (2)'!A43))</f>
        <v/>
      </c>
      <c r="C43" s="1422">
        <f>SUMIF('03_Eventos_pagamentos'!$E$11:$E$699,A43,'03_Eventos_pagamentos'!$O$11:$O$697)+SUMIF('03_Eventos_pagamentos'!$E$766:$E$836,A43,'03_Eventos_pagamentos'!$O$766:$O$836)</f>
        <v/>
      </c>
      <c r="D43" s="48">
        <f>COUNTIF('03_Eventos_pagamentos'!$E$702:$E$763,'04_TOTALIZADORA (2)'!A43)</f>
        <v/>
      </c>
      <c r="E43" s="1427">
        <f>SUMIF('03_Eventos_pagamentos'!$E$702:$E$763,A43,'03_Eventos_pagamentos'!$O$702:$O$763)</f>
        <v/>
      </c>
      <c r="F43" s="1431">
        <f>C43+E43+F42</f>
        <v/>
      </c>
      <c r="G43" s="1425">
        <f>SUMIF('03_Eventos_pagamentos'!$P$11:$P$843,A44,'03_Eventos_pagamentos'!$Q$11:$Q$843)</f>
        <v/>
      </c>
      <c r="H43" s="1432">
        <f>G43+H42</f>
        <v/>
      </c>
      <c r="I43" s="1427">
        <f>SUMIFS( '03_Eventos_pagamentos'!$O$11:$O$843,'03_Eventos_pagamentos'!$E$11:$E$843,A43,'03_Eventos_pagamentos'!$I$11:$I$843,"FAT. DIRETO")</f>
        <v/>
      </c>
      <c r="J43" s="1432">
        <f>G43+I43+J42</f>
        <v/>
      </c>
      <c r="K43" s="1431" t="n"/>
      <c r="L43" s="1431">
        <f>K43+L42</f>
        <v/>
      </c>
      <c r="M43" s="1433" t="n"/>
      <c r="N43" s="1434" t="n"/>
      <c r="O43" s="1434" t="n"/>
      <c r="P43" s="1434" t="n"/>
      <c r="Q43" s="1434" t="n"/>
      <c r="R43" s="1435" t="n"/>
    </row>
    <row r="44">
      <c r="A44" s="523" t="n">
        <v>31</v>
      </c>
      <c r="B44" s="48">
        <f>SUM(COUNTIF('03_Eventos_pagamentos'!$E$11:$E$697,'04_TOTALIZADORA (2)'!A44)+COUNTIF('03_Eventos_pagamentos'!$E$766:$E$836,'04_TOTALIZADORA (2)'!A44))</f>
        <v/>
      </c>
      <c r="C44" s="1422">
        <f>SUMIF('03_Eventos_pagamentos'!$E$11:$E$699,A44,'03_Eventos_pagamentos'!$O$11:$O$697)+SUMIF('03_Eventos_pagamentos'!$E$766:$E$836,A44,'03_Eventos_pagamentos'!$O$766:$O$836)</f>
        <v/>
      </c>
      <c r="D44" s="48">
        <f>COUNTIF('03_Eventos_pagamentos'!$E$702:$E$763,'04_TOTALIZADORA (2)'!A44)</f>
        <v/>
      </c>
      <c r="E44" s="1427">
        <f>SUMIF('03_Eventos_pagamentos'!$E$702:$E$763,A44,'03_Eventos_pagamentos'!$O$702:$O$763)</f>
        <v/>
      </c>
      <c r="F44" s="1431">
        <f>C44+E44+F43</f>
        <v/>
      </c>
      <c r="G44" s="1425">
        <f>SUMIF('03_Eventos_pagamentos'!$P$11:$P$843,A45,'03_Eventos_pagamentos'!$Q$11:$Q$843)</f>
        <v/>
      </c>
      <c r="H44" s="1432">
        <f>G44+H43</f>
        <v/>
      </c>
      <c r="I44" s="1427">
        <f>SUMIFS( '03_Eventos_pagamentos'!$O$11:$O$843,'03_Eventos_pagamentos'!$E$11:$E$843,A44,'03_Eventos_pagamentos'!$I$11:$I$843,"FAT. DIRETO")</f>
        <v/>
      </c>
      <c r="J44" s="1432">
        <f>G44+I44+J43</f>
        <v/>
      </c>
      <c r="K44" s="1431" t="n"/>
      <c r="L44" s="1431">
        <f>K44+L43</f>
        <v/>
      </c>
      <c r="M44" s="1433" t="n"/>
      <c r="N44" s="1434" t="n"/>
      <c r="O44" s="1434" t="n"/>
      <c r="P44" s="1434" t="n"/>
      <c r="Q44" s="1434" t="n"/>
      <c r="R44" s="1435" t="n"/>
    </row>
    <row r="45">
      <c r="A45" s="523" t="n">
        <v>32</v>
      </c>
      <c r="B45" s="48">
        <f>SUM(COUNTIF('03_Eventos_pagamentos'!$E$11:$E$697,'04_TOTALIZADORA (2)'!A45)+COUNTIF('03_Eventos_pagamentos'!$E$766:$E$836,'04_TOTALIZADORA (2)'!A45))</f>
        <v/>
      </c>
      <c r="C45" s="1422">
        <f>SUMIF('03_Eventos_pagamentos'!$E$11:$E$699,A45,'03_Eventos_pagamentos'!$O$11:$O$697)+SUMIF('03_Eventos_pagamentos'!$E$766:$E$836,A45,'03_Eventos_pagamentos'!$O$766:$O$836)</f>
        <v/>
      </c>
      <c r="D45" s="48">
        <f>COUNTIF('03_Eventos_pagamentos'!$E$702:$E$763,'04_TOTALIZADORA (2)'!A45)</f>
        <v/>
      </c>
      <c r="E45" s="1427">
        <f>SUMIF('03_Eventos_pagamentos'!$E$702:$E$763,A45,'03_Eventos_pagamentos'!$O$702:$O$763)</f>
        <v/>
      </c>
      <c r="F45" s="1431">
        <f>C45+E45+F44</f>
        <v/>
      </c>
      <c r="G45" s="1425">
        <f>SUMIF('03_Eventos_pagamentos'!$P$11:$P$843,A46,'03_Eventos_pagamentos'!$Q$11:$Q$843)</f>
        <v/>
      </c>
      <c r="H45" s="1432">
        <f>G45+H44</f>
        <v/>
      </c>
      <c r="I45" s="1427">
        <f>SUMIFS( '03_Eventos_pagamentos'!$O$11:$O$843,'03_Eventos_pagamentos'!$E$11:$E$843,A45,'03_Eventos_pagamentos'!$I$11:$I$843,"FAT. DIRETO")</f>
        <v/>
      </c>
      <c r="J45" s="1432">
        <f>G45+I45+J44</f>
        <v/>
      </c>
      <c r="K45" s="1431" t="n"/>
      <c r="L45" s="1431">
        <f>K45+L44</f>
        <v/>
      </c>
      <c r="M45" s="1433" t="n"/>
      <c r="N45" s="1434" t="n"/>
      <c r="O45" s="1434" t="n"/>
      <c r="P45" s="1434" t="n"/>
      <c r="Q45" s="1434" t="n"/>
      <c r="R45" s="1435" t="n"/>
    </row>
    <row r="46">
      <c r="A46" s="523" t="n">
        <v>33</v>
      </c>
      <c r="B46" s="48">
        <f>SUM(COUNTIF('03_Eventos_pagamentos'!$E$11:$E$697,'04_TOTALIZADORA (2)'!A46)+COUNTIF('03_Eventos_pagamentos'!$E$766:$E$836,'04_TOTALIZADORA (2)'!A46))</f>
        <v/>
      </c>
      <c r="C46" s="1422">
        <f>SUMIF('03_Eventos_pagamentos'!$E$11:$E$699,A46,'03_Eventos_pagamentos'!$O$11:$O$697)+SUMIF('03_Eventos_pagamentos'!$E$766:$E$836,A46,'03_Eventos_pagamentos'!$O$766:$O$836)</f>
        <v/>
      </c>
      <c r="D46" s="48">
        <f>COUNTIF('03_Eventos_pagamentos'!$E$702:$E$763,'04_TOTALIZADORA (2)'!A46)</f>
        <v/>
      </c>
      <c r="E46" s="1427">
        <f>SUMIF('03_Eventos_pagamentos'!$E$702:$E$763,A46,'03_Eventos_pagamentos'!$O$702:$O$763)</f>
        <v/>
      </c>
      <c r="F46" s="1431">
        <f>C46+E46+F45</f>
        <v/>
      </c>
      <c r="G46" s="1425">
        <f>SUMIF('03_Eventos_pagamentos'!$P$11:$P$843,A47,'03_Eventos_pagamentos'!$Q$11:$Q$843)</f>
        <v/>
      </c>
      <c r="H46" s="1432">
        <f>G46+H45</f>
        <v/>
      </c>
      <c r="I46" s="1427">
        <f>SUMIFS( '03_Eventos_pagamentos'!$O$11:$O$843,'03_Eventos_pagamentos'!$E$11:$E$843,A46,'03_Eventos_pagamentos'!$I$11:$I$843,"FAT. DIRETO")</f>
        <v/>
      </c>
      <c r="J46" s="1432">
        <f>G46+I46+J45</f>
        <v/>
      </c>
      <c r="K46" s="1431" t="n"/>
      <c r="L46" s="1431">
        <f>K46+L45</f>
        <v/>
      </c>
      <c r="M46" s="1433" t="n"/>
      <c r="N46" s="1434" t="n"/>
      <c r="O46" s="1434" t="n"/>
      <c r="P46" s="1434" t="n"/>
      <c r="Q46" s="1434" t="n"/>
      <c r="R46" s="1435" t="n"/>
    </row>
    <row r="47">
      <c r="A47" s="523" t="n">
        <v>34</v>
      </c>
      <c r="B47" s="48">
        <f>SUM(COUNTIF('03_Eventos_pagamentos'!$E$11:$E$697,'04_TOTALIZADORA (2)'!A47)+COUNTIF('03_Eventos_pagamentos'!$E$766:$E$836,'04_TOTALIZADORA (2)'!A47))</f>
        <v/>
      </c>
      <c r="C47" s="1422">
        <f>SUMIF('03_Eventos_pagamentos'!$E$11:$E$699,A47,'03_Eventos_pagamentos'!$O$11:$O$697)+SUMIF('03_Eventos_pagamentos'!$E$766:$E$836,A47,'03_Eventos_pagamentos'!$O$766:$O$836)</f>
        <v/>
      </c>
      <c r="D47" s="48">
        <f>COUNTIF('03_Eventos_pagamentos'!$E$702:$E$763,'04_TOTALIZADORA (2)'!A47)</f>
        <v/>
      </c>
      <c r="E47" s="1427">
        <f>SUMIF('03_Eventos_pagamentos'!$E$702:$E$763,A47,'03_Eventos_pagamentos'!$O$702:$O$763)</f>
        <v/>
      </c>
      <c r="F47" s="1431">
        <f>C47+E47+F46</f>
        <v/>
      </c>
      <c r="G47" s="1425">
        <f>SUMIF('03_Eventos_pagamentos'!$P$11:$P$843,A48,'03_Eventos_pagamentos'!$Q$11:$Q$843)</f>
        <v/>
      </c>
      <c r="H47" s="1432">
        <f>G47+H46</f>
        <v/>
      </c>
      <c r="I47" s="1427">
        <f>SUMIFS( '03_Eventos_pagamentos'!$O$11:$O$843,'03_Eventos_pagamentos'!$E$11:$E$843,A47,'03_Eventos_pagamentos'!$I$11:$I$843,"FAT. DIRETO")</f>
        <v/>
      </c>
      <c r="J47" s="1432">
        <f>G47+I47+J46</f>
        <v/>
      </c>
      <c r="K47" s="1431" t="n"/>
      <c r="L47" s="1431">
        <f>K47+L46</f>
        <v/>
      </c>
      <c r="M47" s="1433" t="n"/>
      <c r="N47" s="1434" t="n"/>
      <c r="O47" s="1434" t="n"/>
      <c r="P47" s="1434" t="n"/>
      <c r="Q47" s="1434" t="n"/>
      <c r="R47" s="1435" t="n"/>
    </row>
    <row r="48">
      <c r="A48" s="523" t="n">
        <v>35</v>
      </c>
      <c r="B48" s="48">
        <f>SUM(COUNTIF('03_Eventos_pagamentos'!$E$11:$E$697,'04_TOTALIZADORA (2)'!A48)+COUNTIF('03_Eventos_pagamentos'!$E$766:$E$836,'04_TOTALIZADORA (2)'!A48))</f>
        <v/>
      </c>
      <c r="C48" s="1422">
        <f>SUMIF('03_Eventos_pagamentos'!$E$11:$E$699,A48,'03_Eventos_pagamentos'!$O$11:$O$697)+SUMIF('03_Eventos_pagamentos'!$E$766:$E$836,A48,'03_Eventos_pagamentos'!$O$766:$O$836)</f>
        <v/>
      </c>
      <c r="D48" s="48">
        <f>COUNTIF('03_Eventos_pagamentos'!$E$702:$E$763,'04_TOTALIZADORA (2)'!A48)</f>
        <v/>
      </c>
      <c r="E48" s="1427">
        <f>SUMIF('03_Eventos_pagamentos'!$E$702:$E$763,A48,'03_Eventos_pagamentos'!$O$702:$O$763)</f>
        <v/>
      </c>
      <c r="F48" s="1431">
        <f>C48+E48+F47</f>
        <v/>
      </c>
      <c r="G48" s="1425">
        <f>SUMIF('03_Eventos_pagamentos'!$P$11:$P$843,A49,'03_Eventos_pagamentos'!$Q$11:$Q$843)</f>
        <v/>
      </c>
      <c r="H48" s="1432">
        <f>G48+H47</f>
        <v/>
      </c>
      <c r="I48" s="1427">
        <f>SUMIFS( '03_Eventos_pagamentos'!$O$11:$O$843,'03_Eventos_pagamentos'!$E$11:$E$843,A48,'03_Eventos_pagamentos'!$I$11:$I$843,"FAT. DIRETO")</f>
        <v/>
      </c>
      <c r="J48" s="1432">
        <f>G48+I48+J47</f>
        <v/>
      </c>
      <c r="K48" s="1431" t="n"/>
      <c r="L48" s="1431">
        <f>K48+L47</f>
        <v/>
      </c>
      <c r="M48" s="1433" t="n"/>
      <c r="N48" s="1434" t="n"/>
      <c r="O48" s="1434" t="n"/>
      <c r="P48" s="1434" t="n"/>
      <c r="Q48" s="1434" t="n"/>
      <c r="R48" s="1435" t="n"/>
    </row>
    <row r="49">
      <c r="A49" s="523" t="n">
        <v>36</v>
      </c>
      <c r="B49" s="48">
        <f>SUM(COUNTIF('03_Eventos_pagamentos'!$E$11:$E$697,'04_TOTALIZADORA (2)'!A49)+COUNTIF('03_Eventos_pagamentos'!$E$766:$E$836,'04_TOTALIZADORA (2)'!A49))</f>
        <v/>
      </c>
      <c r="C49" s="1422">
        <f>SUMIF('03_Eventos_pagamentos'!$E$11:$E$699,A49,'03_Eventos_pagamentos'!$O$11:$O$697)+SUMIF('03_Eventos_pagamentos'!$E$766:$E$836,A49,'03_Eventos_pagamentos'!$O$766:$O$836)</f>
        <v/>
      </c>
      <c r="D49" s="48">
        <f>COUNTIF('03_Eventos_pagamentos'!$E$702:$E$763,'04_TOTALIZADORA (2)'!A49)</f>
        <v/>
      </c>
      <c r="E49" s="1427">
        <f>SUMIF('03_Eventos_pagamentos'!$E$702:$E$763,A49,'03_Eventos_pagamentos'!$O$702:$O$763)</f>
        <v/>
      </c>
      <c r="F49" s="1431">
        <f>C49+E49+F48</f>
        <v/>
      </c>
      <c r="G49" s="1425">
        <f>SUMIF('03_Eventos_pagamentos'!$P$11:$P$843,A50,'03_Eventos_pagamentos'!$Q$11:$Q$843)</f>
        <v/>
      </c>
      <c r="H49" s="1432">
        <f>G49+H48</f>
        <v/>
      </c>
      <c r="I49" s="1427">
        <f>SUMIFS( '03_Eventos_pagamentos'!$O$11:$O$843,'03_Eventos_pagamentos'!$E$11:$E$843,A49,'03_Eventos_pagamentos'!$I$11:$I$843,"FAT. DIRETO")</f>
        <v/>
      </c>
      <c r="J49" s="1432">
        <f>G49+I49+J48</f>
        <v/>
      </c>
      <c r="K49" s="1431" t="n"/>
      <c r="L49" s="1431">
        <f>K49+L48</f>
        <v/>
      </c>
      <c r="M49" s="1433" t="n"/>
      <c r="N49" s="1434" t="n"/>
      <c r="O49" s="1434" t="n"/>
      <c r="P49" s="1434" t="n"/>
      <c r="Q49" s="1434" t="n"/>
      <c r="R49" s="1435" t="n"/>
    </row>
    <row r="50">
      <c r="A50" s="523" t="n">
        <v>37</v>
      </c>
      <c r="B50" s="48">
        <f>SUM(COUNTIF('03_Eventos_pagamentos'!$E$11:$E$697,'04_TOTALIZADORA (2)'!A50)+COUNTIF('03_Eventos_pagamentos'!$E$766:$E$836,'04_TOTALIZADORA (2)'!A50))</f>
        <v/>
      </c>
      <c r="C50" s="1422">
        <f>SUMIF('03_Eventos_pagamentos'!$E$11:$E$699,A50,'03_Eventos_pagamentos'!$O$11:$O$697)+SUMIF('03_Eventos_pagamentos'!$E$766:$E$836,A50,'03_Eventos_pagamentos'!$O$766:$O$836)</f>
        <v/>
      </c>
      <c r="D50" s="48">
        <f>COUNTIF('03_Eventos_pagamentos'!$E$702:$E$763,'04_TOTALIZADORA (2)'!A50)</f>
        <v/>
      </c>
      <c r="E50" s="1427">
        <f>SUMIF('03_Eventos_pagamentos'!$E$702:$E$763,A50,'03_Eventos_pagamentos'!$O$702:$O$763)</f>
        <v/>
      </c>
      <c r="F50" s="1431">
        <f>C50+E50+F49</f>
        <v/>
      </c>
      <c r="G50" s="1425">
        <f>SUMIF('03_Eventos_pagamentos'!$P$11:$P$843,A51,'03_Eventos_pagamentos'!$Q$11:$Q$843)</f>
        <v/>
      </c>
      <c r="H50" s="1432">
        <f>G50+H49</f>
        <v/>
      </c>
      <c r="I50" s="1427">
        <f>SUMIFS( '03_Eventos_pagamentos'!$O$11:$O$843,'03_Eventos_pagamentos'!$E$11:$E$843,A50,'03_Eventos_pagamentos'!$I$11:$I$843,"FAT. DIRETO")</f>
        <v/>
      </c>
      <c r="J50" s="1432">
        <f>G50+I50+J49</f>
        <v/>
      </c>
      <c r="K50" s="1431" t="n"/>
      <c r="L50" s="1431">
        <f>K50+L49</f>
        <v/>
      </c>
      <c r="M50" s="1433" t="n"/>
      <c r="N50" s="1434" t="n"/>
      <c r="O50" s="1434" t="n"/>
      <c r="P50" s="1434" t="n"/>
      <c r="Q50" s="1434" t="n"/>
      <c r="R50" s="1435" t="n"/>
    </row>
    <row r="51">
      <c r="A51" s="523" t="n">
        <v>38</v>
      </c>
      <c r="B51" s="48">
        <f>SUM(COUNTIF('03_Eventos_pagamentos'!$E$11:$E$697,'04_TOTALIZADORA (2)'!A51)+COUNTIF('03_Eventos_pagamentos'!$E$766:$E$836,'04_TOTALIZADORA (2)'!A51))</f>
        <v/>
      </c>
      <c r="C51" s="1422">
        <f>SUMIF('03_Eventos_pagamentos'!$E$11:$E$699,A51,'03_Eventos_pagamentos'!$O$11:$O$697)+SUMIF('03_Eventos_pagamentos'!$E$766:$E$836,A51,'03_Eventos_pagamentos'!$O$766:$O$836)</f>
        <v/>
      </c>
      <c r="D51" s="48">
        <f>COUNTIF('03_Eventos_pagamentos'!$E$702:$E$763,'04_TOTALIZADORA (2)'!A51)</f>
        <v/>
      </c>
      <c r="E51" s="1427">
        <f>SUMIF('03_Eventos_pagamentos'!$E$702:$E$763,A51,'03_Eventos_pagamentos'!$O$702:$O$763)</f>
        <v/>
      </c>
      <c r="F51" s="1431">
        <f>C51+E51+F50</f>
        <v/>
      </c>
      <c r="G51" s="1425">
        <f>SUMIF('03_Eventos_pagamentos'!$P$11:$P$843,A52,'03_Eventos_pagamentos'!$Q$11:$Q$843)</f>
        <v/>
      </c>
      <c r="H51" s="1432">
        <f>G51+H50</f>
        <v/>
      </c>
      <c r="I51" s="1427">
        <f>SUMIFS( '03_Eventos_pagamentos'!$O$11:$O$843,'03_Eventos_pagamentos'!$E$11:$E$843,A51,'03_Eventos_pagamentos'!$I$11:$I$843,"FAT. DIRETO")</f>
        <v/>
      </c>
      <c r="J51" s="1432">
        <f>G51+I51+J50</f>
        <v/>
      </c>
      <c r="K51" s="1431" t="n"/>
      <c r="L51" s="1431">
        <f>K51+L50</f>
        <v/>
      </c>
      <c r="M51" s="1433" t="n"/>
      <c r="N51" s="1434" t="n"/>
      <c r="O51" s="1434" t="n"/>
      <c r="P51" s="1434" t="n"/>
      <c r="Q51" s="1434" t="n"/>
      <c r="R51" s="1435" t="n"/>
    </row>
    <row r="52">
      <c r="A52" s="523" t="n">
        <v>39</v>
      </c>
      <c r="B52" s="48">
        <f>SUM(COUNTIF('03_Eventos_pagamentos'!$E$11:$E$697,'04_TOTALIZADORA (2)'!A52)+COUNTIF('03_Eventos_pagamentos'!$E$766:$E$836,'04_TOTALIZADORA (2)'!A52))</f>
        <v/>
      </c>
      <c r="C52" s="1422">
        <f>SUMIF('03_Eventos_pagamentos'!$E$11:$E$699,A52,'03_Eventos_pagamentos'!$O$11:$O$697)+SUMIF('03_Eventos_pagamentos'!$E$766:$E$836,A52,'03_Eventos_pagamentos'!$O$766:$O$836)</f>
        <v/>
      </c>
      <c r="D52" s="48">
        <f>COUNTIF('03_Eventos_pagamentos'!$E$702:$E$763,'04_TOTALIZADORA (2)'!A52)</f>
        <v/>
      </c>
      <c r="E52" s="1427">
        <f>SUMIF('03_Eventos_pagamentos'!$E$702:$E$763,A52,'03_Eventos_pagamentos'!$O$702:$O$763)</f>
        <v/>
      </c>
      <c r="F52" s="1431">
        <f>C52+E52+F51</f>
        <v/>
      </c>
      <c r="G52" s="1425">
        <f>SUMIF('03_Eventos_pagamentos'!$P$11:$P$843,A53,'03_Eventos_pagamentos'!$Q$11:$Q$843)</f>
        <v/>
      </c>
      <c r="H52" s="1432">
        <f>G52+H51</f>
        <v/>
      </c>
      <c r="I52" s="1427">
        <f>SUMIFS( '03_Eventos_pagamentos'!$O$11:$O$843,'03_Eventos_pagamentos'!$E$11:$E$843,A52,'03_Eventos_pagamentos'!$I$11:$I$843,"FAT. DIRETO")</f>
        <v/>
      </c>
      <c r="J52" s="1432">
        <f>G52+I52+J51</f>
        <v/>
      </c>
      <c r="K52" s="1431" t="n"/>
      <c r="L52" s="1431">
        <f>K52+L51</f>
        <v/>
      </c>
      <c r="M52" s="1433" t="n"/>
      <c r="N52" s="1434" t="n"/>
      <c r="O52" s="1434" t="n"/>
      <c r="P52" s="1434" t="n"/>
      <c r="Q52" s="1434" t="n"/>
      <c r="R52" s="1435" t="n"/>
    </row>
    <row r="53">
      <c r="A53" s="523" t="n">
        <v>40</v>
      </c>
      <c r="B53" s="48">
        <f>SUM(COUNTIF('03_Eventos_pagamentos'!$E$11:$E$697,'04_TOTALIZADORA (2)'!A53)+COUNTIF('03_Eventos_pagamentos'!$E$766:$E$836,'04_TOTALIZADORA (2)'!A53))</f>
        <v/>
      </c>
      <c r="C53" s="1422">
        <f>SUMIF('03_Eventos_pagamentos'!$E$11:$E$699,A53,'03_Eventos_pagamentos'!$O$11:$O$697)+SUMIF('03_Eventos_pagamentos'!$E$766:$E$836,A53,'03_Eventos_pagamentos'!$O$766:$O$836)</f>
        <v/>
      </c>
      <c r="D53" s="48">
        <f>COUNTIF('03_Eventos_pagamentos'!$E$702:$E$763,'04_TOTALIZADORA (2)'!A53)</f>
        <v/>
      </c>
      <c r="E53" s="1427">
        <f>SUMIF('03_Eventos_pagamentos'!$E$702:$E$763,A53,'03_Eventos_pagamentos'!$O$702:$O$763)</f>
        <v/>
      </c>
      <c r="F53" s="1431">
        <f>C53+E53+F52</f>
        <v/>
      </c>
      <c r="G53" s="1425">
        <f>SUMIF('03_Eventos_pagamentos'!$P$11:$P$843,A54,'03_Eventos_pagamentos'!$Q$11:$Q$843)</f>
        <v/>
      </c>
      <c r="H53" s="1432">
        <f>G53+H52</f>
        <v/>
      </c>
      <c r="I53" s="1427">
        <f>SUMIFS( '03_Eventos_pagamentos'!$O$11:$O$843,'03_Eventos_pagamentos'!$E$11:$E$843,A53,'03_Eventos_pagamentos'!$I$11:$I$843,"FAT. DIRETO")</f>
        <v/>
      </c>
      <c r="J53" s="1432">
        <f>G53+I53+J52</f>
        <v/>
      </c>
      <c r="K53" s="1431" t="n"/>
      <c r="L53" s="1431">
        <f>K53+L52</f>
        <v/>
      </c>
      <c r="M53" s="1433" t="n"/>
      <c r="N53" s="1434" t="n"/>
      <c r="O53" s="1434" t="n"/>
      <c r="P53" s="1434" t="n"/>
      <c r="Q53" s="1434" t="n"/>
      <c r="R53" s="1435" t="n"/>
    </row>
    <row r="54">
      <c r="A54" s="523" t="n">
        <v>41</v>
      </c>
      <c r="B54" s="48">
        <f>SUM(COUNTIF('03_Eventos_pagamentos'!$E$11:$E$697,'04_TOTALIZADORA (2)'!A54)+COUNTIF('03_Eventos_pagamentos'!$E$766:$E$836,'04_TOTALIZADORA (2)'!A54))</f>
        <v/>
      </c>
      <c r="C54" s="1422">
        <f>SUMIF('03_Eventos_pagamentos'!$E$11:$E$699,A54,'03_Eventos_pagamentos'!$O$11:$O$697)+SUMIF('03_Eventos_pagamentos'!$E$766:$E$836,A54,'03_Eventos_pagamentos'!$O$766:$O$836)</f>
        <v/>
      </c>
      <c r="D54" s="48">
        <f>COUNTIF('03_Eventos_pagamentos'!$E$702:$E$763,'04_TOTALIZADORA (2)'!A54)</f>
        <v/>
      </c>
      <c r="E54" s="1427">
        <f>SUMIF('03_Eventos_pagamentos'!$E$702:$E$763,A54,'03_Eventos_pagamentos'!$O$702:$O$763)</f>
        <v/>
      </c>
      <c r="F54" s="1431">
        <f>C54+E54+F53</f>
        <v/>
      </c>
      <c r="G54" s="1425">
        <f>SUMIF('03_Eventos_pagamentos'!$P$11:$P$843,A55,'03_Eventos_pagamentos'!$Q$11:$Q$843)</f>
        <v/>
      </c>
      <c r="H54" s="1432">
        <f>G54+H53</f>
        <v/>
      </c>
      <c r="I54" s="1427">
        <f>SUMIFS( '03_Eventos_pagamentos'!$O$11:$O$843,'03_Eventos_pagamentos'!$E$11:$E$843,A54,'03_Eventos_pagamentos'!$I$11:$I$843,"FAT. DIRETO")</f>
        <v/>
      </c>
      <c r="J54" s="1432">
        <f>G54+I54+J53</f>
        <v/>
      </c>
      <c r="K54" s="1431" t="n"/>
      <c r="L54" s="1431">
        <f>K54+L53</f>
        <v/>
      </c>
      <c r="M54" s="1433" t="n"/>
      <c r="N54" s="1434" t="n"/>
      <c r="O54" s="1434" t="n"/>
      <c r="P54" s="1434" t="n"/>
      <c r="Q54" s="1434" t="n"/>
      <c r="R54" s="1435" t="n"/>
    </row>
    <row r="55">
      <c r="A55" s="523" t="n">
        <v>42</v>
      </c>
      <c r="B55" s="48">
        <f>SUM(COUNTIF('03_Eventos_pagamentos'!$E$11:$E$697,'04_TOTALIZADORA (2)'!A55)+COUNTIF('03_Eventos_pagamentos'!$E$766:$E$836,'04_TOTALIZADORA (2)'!A55))</f>
        <v/>
      </c>
      <c r="C55" s="1422">
        <f>SUMIF('03_Eventos_pagamentos'!$E$11:$E$699,A55,'03_Eventos_pagamentos'!$O$11:$O$697)+SUMIF('03_Eventos_pagamentos'!$E$766:$E$836,A55,'03_Eventos_pagamentos'!$O$766:$O$836)</f>
        <v/>
      </c>
      <c r="D55" s="48">
        <f>COUNTIF('03_Eventos_pagamentos'!$E$702:$E$763,'04_TOTALIZADORA (2)'!A55)</f>
        <v/>
      </c>
      <c r="E55" s="1427">
        <f>SUMIF('03_Eventos_pagamentos'!$E$702:$E$763,A55,'03_Eventos_pagamentos'!$O$702:$O$763)</f>
        <v/>
      </c>
      <c r="F55" s="1431">
        <f>C55+E55+F54</f>
        <v/>
      </c>
      <c r="G55" s="1425">
        <f>SUMIF('03_Eventos_pagamentos'!$P$11:$P$843,A56,'03_Eventos_pagamentos'!$Q$11:$Q$843)</f>
        <v/>
      </c>
      <c r="H55" s="1432">
        <f>G55+H54</f>
        <v/>
      </c>
      <c r="I55" s="1427">
        <f>SUMIFS( '03_Eventos_pagamentos'!$O$11:$O$843,'03_Eventos_pagamentos'!$E$11:$E$843,A55,'03_Eventos_pagamentos'!$I$11:$I$843,"FAT. DIRETO")</f>
        <v/>
      </c>
      <c r="J55" s="1432">
        <f>G55+I55+J54</f>
        <v/>
      </c>
      <c r="K55" s="1431" t="n"/>
      <c r="L55" s="1431">
        <f>K55+L54</f>
        <v/>
      </c>
      <c r="M55" s="1433" t="n"/>
      <c r="N55" s="1434" t="n"/>
      <c r="O55" s="1434" t="n"/>
      <c r="P55" s="1434" t="n"/>
      <c r="Q55" s="1434" t="n"/>
      <c r="R55" s="1435" t="n"/>
    </row>
    <row r="56">
      <c r="A56" s="523" t="n">
        <v>43</v>
      </c>
      <c r="B56" s="48">
        <f>SUM(COUNTIF('03_Eventos_pagamentos'!$E$11:$E$697,'04_TOTALIZADORA (2)'!A56)+COUNTIF('03_Eventos_pagamentos'!$E$766:$E$836,'04_TOTALIZADORA (2)'!A56))</f>
        <v/>
      </c>
      <c r="C56" s="1422">
        <f>SUMIF('03_Eventos_pagamentos'!$E$11:$E$699,A56,'03_Eventos_pagamentos'!$O$11:$O$697)+SUMIF('03_Eventos_pagamentos'!$E$766:$E$836,A56,'03_Eventos_pagamentos'!$O$766:$O$836)</f>
        <v/>
      </c>
      <c r="D56" s="48">
        <f>COUNTIF('03_Eventos_pagamentos'!$E$702:$E$763,'04_TOTALIZADORA (2)'!A56)</f>
        <v/>
      </c>
      <c r="E56" s="1427">
        <f>SUMIF('03_Eventos_pagamentos'!$E$702:$E$763,A56,'03_Eventos_pagamentos'!$O$702:$O$763)</f>
        <v/>
      </c>
      <c r="F56" s="1431">
        <f>C56+E56+F55</f>
        <v/>
      </c>
      <c r="G56" s="1425">
        <f>SUMIF('03_Eventos_pagamentos'!$P$11:$P$843,A57,'03_Eventos_pagamentos'!$Q$11:$Q$843)</f>
        <v/>
      </c>
      <c r="H56" s="1432">
        <f>G56+H55</f>
        <v/>
      </c>
      <c r="I56" s="1427">
        <f>SUMIFS( '03_Eventos_pagamentos'!$O$11:$O$843,'03_Eventos_pagamentos'!$E$11:$E$843,A56,'03_Eventos_pagamentos'!$I$11:$I$843,"FAT. DIRETO")</f>
        <v/>
      </c>
      <c r="J56" s="1432">
        <f>G56+I56+J55</f>
        <v/>
      </c>
      <c r="K56" s="1431" t="n"/>
      <c r="L56" s="1431">
        <f>K56+L55</f>
        <v/>
      </c>
      <c r="M56" s="1433" t="n"/>
      <c r="N56" s="1434" t="n"/>
      <c r="O56" s="1434" t="n"/>
      <c r="P56" s="1434" t="n"/>
      <c r="Q56" s="1434" t="n"/>
      <c r="R56" s="1435" t="n"/>
    </row>
    <row r="57">
      <c r="A57" s="523" t="n">
        <v>44</v>
      </c>
      <c r="B57" s="48">
        <f>SUM(COUNTIF('03_Eventos_pagamentos'!$E$11:$E$697,'04_TOTALIZADORA (2)'!A57)+COUNTIF('03_Eventos_pagamentos'!$E$766:$E$836,'04_TOTALIZADORA (2)'!A57))</f>
        <v/>
      </c>
      <c r="C57" s="1422">
        <f>SUMIF('03_Eventos_pagamentos'!$E$11:$E$699,A57,'03_Eventos_pagamentos'!$O$11:$O$697)+SUMIF('03_Eventos_pagamentos'!$E$766:$E$836,A57,'03_Eventos_pagamentos'!$O$766:$O$836)</f>
        <v/>
      </c>
      <c r="D57" s="48">
        <f>COUNTIF('03_Eventos_pagamentos'!$E$702:$E$763,'04_TOTALIZADORA (2)'!A57)</f>
        <v/>
      </c>
      <c r="E57" s="1427">
        <f>SUMIF('03_Eventos_pagamentos'!$E$702:$E$763,A57,'03_Eventos_pagamentos'!$O$702:$O$763)</f>
        <v/>
      </c>
      <c r="F57" s="1431">
        <f>C57+E57+F56</f>
        <v/>
      </c>
      <c r="G57" s="1425">
        <f>SUMIF('03_Eventos_pagamentos'!$P$11:$P$843,A58,'03_Eventos_pagamentos'!$Q$11:$Q$843)</f>
        <v/>
      </c>
      <c r="H57" s="1432">
        <f>G57+H56</f>
        <v/>
      </c>
      <c r="I57" s="1427">
        <f>SUMIFS( '03_Eventos_pagamentos'!$O$11:$O$843,'03_Eventos_pagamentos'!$E$11:$E$843,A57,'03_Eventos_pagamentos'!$I$11:$I$843,"FAT. DIRETO")</f>
        <v/>
      </c>
      <c r="J57" s="1432">
        <f>G57+I57+J56</f>
        <v/>
      </c>
      <c r="K57" s="1431" t="n"/>
      <c r="L57" s="1431">
        <f>K57+L56</f>
        <v/>
      </c>
      <c r="M57" s="1433" t="n"/>
      <c r="N57" s="1434" t="n"/>
      <c r="O57" s="1434" t="n"/>
      <c r="P57" s="1434" t="n"/>
      <c r="Q57" s="1434" t="n"/>
      <c r="R57" s="1435" t="n"/>
    </row>
    <row r="58">
      <c r="A58" s="523" t="n">
        <v>45</v>
      </c>
      <c r="B58" s="48">
        <f>SUM(COUNTIF('03_Eventos_pagamentos'!$E$11:$E$697,'04_TOTALIZADORA (2)'!A58)+COUNTIF('03_Eventos_pagamentos'!$E$766:$E$836,'04_TOTALIZADORA (2)'!A58))</f>
        <v/>
      </c>
      <c r="C58" s="1422">
        <f>SUMIF('03_Eventos_pagamentos'!$E$11:$E$699,A58,'03_Eventos_pagamentos'!$O$11:$O$697)+SUMIF('03_Eventos_pagamentos'!$E$766:$E$836,A58,'03_Eventos_pagamentos'!$O$766:$O$836)</f>
        <v/>
      </c>
      <c r="D58" s="48">
        <f>COUNTIF('03_Eventos_pagamentos'!$E$702:$E$763,'04_TOTALIZADORA (2)'!A58)</f>
        <v/>
      </c>
      <c r="E58" s="1427">
        <f>SUMIF('03_Eventos_pagamentos'!$E$702:$E$763,A58,'03_Eventos_pagamentos'!$O$702:$O$763)</f>
        <v/>
      </c>
      <c r="F58" s="1431">
        <f>C58+E58+F57</f>
        <v/>
      </c>
      <c r="G58" s="1425">
        <f>SUMIF('03_Eventos_pagamentos'!$P$11:$P$843,A59,'03_Eventos_pagamentos'!$Q$11:$Q$843)</f>
        <v/>
      </c>
      <c r="H58" s="1432">
        <f>G58+H57</f>
        <v/>
      </c>
      <c r="I58" s="1427">
        <f>SUMIFS( '03_Eventos_pagamentos'!$O$11:$O$843,'03_Eventos_pagamentos'!$E$11:$E$843,A58,'03_Eventos_pagamentos'!$I$11:$I$843,"FAT. DIRETO")</f>
        <v/>
      </c>
      <c r="J58" s="1432">
        <f>G58+I58+J57</f>
        <v/>
      </c>
      <c r="K58" s="1431" t="n"/>
      <c r="L58" s="1431">
        <f>K58+L57</f>
        <v/>
      </c>
      <c r="M58" s="1433" t="n"/>
      <c r="N58" s="1434" t="n"/>
      <c r="O58" s="1434" t="n"/>
      <c r="P58" s="1434" t="n"/>
      <c r="Q58" s="1434" t="n"/>
      <c r="R58" s="1435" t="n"/>
    </row>
    <row r="59">
      <c r="A59" s="523" t="n">
        <v>46</v>
      </c>
      <c r="B59" s="48">
        <f>SUM(COUNTIF('03_Eventos_pagamentos'!$E$11:$E$697,'04_TOTALIZADORA (2)'!A59)+COUNTIF('03_Eventos_pagamentos'!$E$766:$E$836,'04_TOTALIZADORA (2)'!A59))</f>
        <v/>
      </c>
      <c r="C59" s="1422">
        <f>SUMIF('03_Eventos_pagamentos'!$E$11:$E$699,A59,'03_Eventos_pagamentos'!$O$11:$O$697)+SUMIF('03_Eventos_pagamentos'!$E$766:$E$836,A59,'03_Eventos_pagamentos'!$O$766:$O$836)</f>
        <v/>
      </c>
      <c r="D59" s="48">
        <f>COUNTIF('03_Eventos_pagamentos'!$E$702:$E$763,'04_TOTALIZADORA (2)'!A59)</f>
        <v/>
      </c>
      <c r="E59" s="1427">
        <f>SUMIF('03_Eventos_pagamentos'!$E$702:$E$763,A59,'03_Eventos_pagamentos'!$O$702:$O$763)</f>
        <v/>
      </c>
      <c r="F59" s="1431">
        <f>C59+E59+F58</f>
        <v/>
      </c>
      <c r="G59" s="1425">
        <f>SUMIF('03_Eventos_pagamentos'!$P$11:$P$843,A60,'03_Eventos_pagamentos'!$Q$11:$Q$843)</f>
        <v/>
      </c>
      <c r="H59" s="1432">
        <f>G59+H58</f>
        <v/>
      </c>
      <c r="I59" s="1427">
        <f>SUMIFS( '03_Eventos_pagamentos'!$O$11:$O$843,'03_Eventos_pagamentos'!$E$11:$E$843,A59,'03_Eventos_pagamentos'!$I$11:$I$843,"FAT. DIRETO")</f>
        <v/>
      </c>
      <c r="J59" s="1432">
        <f>G59+I59+J58</f>
        <v/>
      </c>
      <c r="K59" s="1431" t="n"/>
      <c r="L59" s="1431">
        <f>K59+L58</f>
        <v/>
      </c>
      <c r="M59" s="1433" t="n"/>
      <c r="N59" s="1434" t="n"/>
      <c r="O59" s="1434" t="n"/>
      <c r="P59" s="1434" t="n"/>
      <c r="Q59" s="1434" t="n"/>
      <c r="R59" s="1435" t="n"/>
    </row>
    <row r="60">
      <c r="A60" s="523" t="n">
        <v>47</v>
      </c>
      <c r="B60" s="48">
        <f>SUM(COUNTIF('03_Eventos_pagamentos'!$E$11:$E$697,'04_TOTALIZADORA (2)'!A60)+COUNTIF('03_Eventos_pagamentos'!$E$766:$E$836,'04_TOTALIZADORA (2)'!A60))</f>
        <v/>
      </c>
      <c r="C60" s="1422">
        <f>SUMIF('03_Eventos_pagamentos'!$E$11:$E$699,A60,'03_Eventos_pagamentos'!$O$11:$O$697)+SUMIF('03_Eventos_pagamentos'!$E$766:$E$836,A60,'03_Eventos_pagamentos'!$O$766:$O$836)</f>
        <v/>
      </c>
      <c r="D60" s="48">
        <f>COUNTIF('03_Eventos_pagamentos'!$E$702:$E$763,'04_TOTALIZADORA (2)'!A60)</f>
        <v/>
      </c>
      <c r="E60" s="1427">
        <f>SUMIF('03_Eventos_pagamentos'!$E$702:$E$763,A60,'03_Eventos_pagamentos'!$O$702:$O$763)</f>
        <v/>
      </c>
      <c r="F60" s="1431">
        <f>C60+E60+F59</f>
        <v/>
      </c>
      <c r="G60" s="1425">
        <f>SUMIF('03_Eventos_pagamentos'!$P$11:$P$843,A61,'03_Eventos_pagamentos'!$Q$11:$Q$843)</f>
        <v/>
      </c>
      <c r="H60" s="1432">
        <f>G60+H59</f>
        <v/>
      </c>
      <c r="I60" s="1427">
        <f>SUMIFS( '03_Eventos_pagamentos'!$O$11:$O$843,'03_Eventos_pagamentos'!$E$11:$E$843,A60,'03_Eventos_pagamentos'!$I$11:$I$843,"FAT. DIRETO")</f>
        <v/>
      </c>
      <c r="J60" s="1432">
        <f>G60+I60+J59</f>
        <v/>
      </c>
      <c r="K60" s="1431" t="n"/>
      <c r="L60" s="1431">
        <f>K60+L59</f>
        <v/>
      </c>
      <c r="M60" s="1433" t="n"/>
      <c r="N60" s="1434" t="n"/>
      <c r="O60" s="1434" t="n"/>
      <c r="P60" s="1434" t="n"/>
      <c r="Q60" s="1434" t="n"/>
      <c r="R60" s="1435" t="n"/>
    </row>
    <row r="61">
      <c r="A61" s="523" t="n">
        <v>48</v>
      </c>
      <c r="B61" s="48">
        <f>SUM(COUNTIF('03_Eventos_pagamentos'!$E$11:$E$697,'04_TOTALIZADORA (2)'!A61)+COUNTIF('03_Eventos_pagamentos'!$E$766:$E$836,'04_TOTALIZADORA (2)'!A61))</f>
        <v/>
      </c>
      <c r="C61" s="1422">
        <f>SUMIF('03_Eventos_pagamentos'!$E$11:$E$699,A61,'03_Eventos_pagamentos'!$O$11:$O$697)+SUMIF('03_Eventos_pagamentos'!$E$766:$E$836,A61,'03_Eventos_pagamentos'!$O$766:$O$836)</f>
        <v/>
      </c>
      <c r="D61" s="48">
        <f>COUNTIF('03_Eventos_pagamentos'!$E$702:$E$763,'04_TOTALIZADORA (2)'!A61)</f>
        <v/>
      </c>
      <c r="E61" s="1427">
        <f>SUMIF('03_Eventos_pagamentos'!$E$702:$E$763,A61,'03_Eventos_pagamentos'!$O$702:$O$763)</f>
        <v/>
      </c>
      <c r="F61" s="1431">
        <f>C61+E61+F60</f>
        <v/>
      </c>
      <c r="G61" s="1425">
        <f>SUMIF('03_Eventos_pagamentos'!$P$11:$P$843,A62,'03_Eventos_pagamentos'!$Q$11:$Q$843)</f>
        <v/>
      </c>
      <c r="H61" s="1432">
        <f>G61+H60</f>
        <v/>
      </c>
      <c r="I61" s="1427">
        <f>SUMIFS( '03_Eventos_pagamentos'!$O$11:$O$843,'03_Eventos_pagamentos'!$E$11:$E$843,A61,'03_Eventos_pagamentos'!$I$11:$I$843,"FAT. DIRETO")</f>
        <v/>
      </c>
      <c r="J61" s="1432">
        <f>G61+I61+J60</f>
        <v/>
      </c>
      <c r="K61" s="1431" t="n"/>
      <c r="L61" s="1431">
        <f>K61+L60</f>
        <v/>
      </c>
      <c r="M61" s="1433" t="n"/>
      <c r="N61" s="1434" t="n"/>
      <c r="O61" s="1434" t="n"/>
      <c r="P61" s="1434" t="n"/>
      <c r="Q61" s="1434" t="n"/>
      <c r="R61" s="1435" t="n"/>
    </row>
    <row r="62">
      <c r="A62" s="523" t="n">
        <v>49</v>
      </c>
      <c r="B62" s="48">
        <f>SUM(COUNTIF('03_Eventos_pagamentos'!$E$11:$E$697,'04_TOTALIZADORA (2)'!A62)+COUNTIF('03_Eventos_pagamentos'!$E$766:$E$836,'04_TOTALIZADORA (2)'!A62))</f>
        <v/>
      </c>
      <c r="C62" s="1422">
        <f>SUMIF('03_Eventos_pagamentos'!$E$11:$E$699,A62,'03_Eventos_pagamentos'!$O$11:$O$697)+SUMIF('03_Eventos_pagamentos'!$E$766:$E$836,A62,'03_Eventos_pagamentos'!$O$766:$O$836)</f>
        <v/>
      </c>
      <c r="D62" s="48">
        <f>COUNTIF('03_Eventos_pagamentos'!$E$702:$E$763,'04_TOTALIZADORA (2)'!A62)</f>
        <v/>
      </c>
      <c r="E62" s="1427">
        <f>SUMIF('03_Eventos_pagamentos'!$E$702:$E$763,A62,'03_Eventos_pagamentos'!$O$702:$O$763)</f>
        <v/>
      </c>
      <c r="F62" s="1431">
        <f>C62+E62+F61</f>
        <v/>
      </c>
      <c r="G62" s="1425">
        <f>SUMIF('03_Eventos_pagamentos'!$P$11:$P$843,A63,'03_Eventos_pagamentos'!$Q$11:$Q$843)</f>
        <v/>
      </c>
      <c r="H62" s="1432">
        <f>G62+H61</f>
        <v/>
      </c>
      <c r="I62" s="1427">
        <f>SUMIFS( '03_Eventos_pagamentos'!$O$11:$O$843,'03_Eventos_pagamentos'!$E$11:$E$843,A62,'03_Eventos_pagamentos'!$I$11:$I$843,"FAT. DIRETO")</f>
        <v/>
      </c>
      <c r="J62" s="1432">
        <f>G62+I62+J61</f>
        <v/>
      </c>
      <c r="K62" s="1431" t="n"/>
      <c r="L62" s="1431">
        <f>K62+L61</f>
        <v/>
      </c>
      <c r="M62" s="1433" t="n"/>
      <c r="N62" s="1434" t="n"/>
      <c r="O62" s="1434" t="n"/>
      <c r="P62" s="1434" t="n"/>
      <c r="Q62" s="1434" t="n"/>
      <c r="R62" s="1435" t="n"/>
    </row>
    <row r="63">
      <c r="A63" s="523" t="n">
        <v>50</v>
      </c>
      <c r="B63" s="48">
        <f>SUM(COUNTIF('03_Eventos_pagamentos'!$E$11:$E$697,'04_TOTALIZADORA (2)'!A63)+COUNTIF('03_Eventos_pagamentos'!$E$766:$E$836,'04_TOTALIZADORA (2)'!A63))</f>
        <v/>
      </c>
      <c r="C63" s="1422">
        <f>SUMIF('03_Eventos_pagamentos'!$E$11:$E$699,A63,'03_Eventos_pagamentos'!$O$11:$O$697)+SUMIF('03_Eventos_pagamentos'!$E$766:$E$836,A63,'03_Eventos_pagamentos'!$O$766:$O$836)</f>
        <v/>
      </c>
      <c r="D63" s="48">
        <f>COUNTIF('03_Eventos_pagamentos'!$E$702:$E$763,'04_TOTALIZADORA (2)'!A63)</f>
        <v/>
      </c>
      <c r="E63" s="1427">
        <f>SUMIF('03_Eventos_pagamentos'!$E$702:$E$763,A63,'03_Eventos_pagamentos'!$O$702:$O$763)</f>
        <v/>
      </c>
      <c r="F63" s="1431">
        <f>C63+E63+F62</f>
        <v/>
      </c>
      <c r="G63" s="1425">
        <f>SUMIF('03_Eventos_pagamentos'!$P$11:$P$843,A64,'03_Eventos_pagamentos'!$Q$11:$Q$843)</f>
        <v/>
      </c>
      <c r="H63" s="1432">
        <f>G63+H62</f>
        <v/>
      </c>
      <c r="I63" s="1427">
        <f>SUMIFS( '03_Eventos_pagamentos'!$O$11:$O$843,'03_Eventos_pagamentos'!$E$11:$E$843,A63,'03_Eventos_pagamentos'!$I$11:$I$843,"FAT. DIRETO")</f>
        <v/>
      </c>
      <c r="J63" s="1432">
        <f>G63+I63+J62</f>
        <v/>
      </c>
      <c r="K63" s="1431" t="n"/>
      <c r="L63" s="1431">
        <f>K63+L62</f>
        <v/>
      </c>
      <c r="M63" s="1433" t="n"/>
      <c r="N63" s="1434" t="n"/>
      <c r="O63" s="1434" t="n"/>
      <c r="P63" s="1434" t="n"/>
      <c r="Q63" s="1434" t="n"/>
      <c r="R63" s="1435" t="n"/>
      <c r="V63" s="1327" t="n"/>
    </row>
    <row r="64">
      <c r="A64" s="523" t="n">
        <v>51</v>
      </c>
      <c r="B64" s="48">
        <f>SUM(COUNTIF('03_Eventos_pagamentos'!$E$11:$E$697,'04_TOTALIZADORA (2)'!A64)+COUNTIF('03_Eventos_pagamentos'!$E$766:$E$836,'04_TOTALIZADORA (2)'!A64))</f>
        <v/>
      </c>
      <c r="C64" s="1422">
        <f>SUMIF('03_Eventos_pagamentos'!$E$11:$E$699,A64,'03_Eventos_pagamentos'!$O$11:$O$697)+SUMIF('03_Eventos_pagamentos'!$E$766:$E$836,A64,'03_Eventos_pagamentos'!$O$766:$O$836)</f>
        <v/>
      </c>
      <c r="D64" s="48">
        <f>COUNTIF('03_Eventos_pagamentos'!$E$702:$E$763,'04_TOTALIZADORA (2)'!A64)</f>
        <v/>
      </c>
      <c r="E64" s="1427">
        <f>SUMIF('03_Eventos_pagamentos'!$E$702:$E$763,A64,'03_Eventos_pagamentos'!$O$702:$O$763)</f>
        <v/>
      </c>
      <c r="F64" s="1431">
        <f>C64+E64+F63</f>
        <v/>
      </c>
      <c r="G64" s="1425">
        <f>SUMIF('03_Eventos_pagamentos'!$P$11:$P$843,A65,'03_Eventos_pagamentos'!$Q$11:$Q$843)</f>
        <v/>
      </c>
      <c r="H64" s="1432">
        <f>G64+H63</f>
        <v/>
      </c>
      <c r="I64" s="1427">
        <f>SUMIFS( '03_Eventos_pagamentos'!$O$11:$O$843,'03_Eventos_pagamentos'!$E$11:$E$843,A64,'03_Eventos_pagamentos'!$I$11:$I$843,"FAT. DIRETO")</f>
        <v/>
      </c>
      <c r="J64" s="1432">
        <f>G64+I64+J63</f>
        <v/>
      </c>
      <c r="K64" s="1431" t="n"/>
      <c r="L64" s="1431">
        <f>K64+L63</f>
        <v/>
      </c>
      <c r="M64" s="1433" t="n"/>
      <c r="N64" s="1434" t="n"/>
      <c r="O64" s="1434" t="n"/>
      <c r="P64" s="1434" t="n"/>
      <c r="Q64" s="1434" t="n"/>
      <c r="R64" s="1435" t="n"/>
    </row>
    <row r="65">
      <c r="A65" s="523" t="n">
        <v>52</v>
      </c>
      <c r="B65" s="48">
        <f>SUM(COUNTIF('03_Eventos_pagamentos'!$E$11:$E$697,'04_TOTALIZADORA (2)'!A65)+COUNTIF('03_Eventos_pagamentos'!$E$766:$E$836,'04_TOTALIZADORA (2)'!A65))</f>
        <v/>
      </c>
      <c r="C65" s="1422">
        <f>SUMIF('03_Eventos_pagamentos'!$E$11:$E$699,A65,'03_Eventos_pagamentos'!$O$11:$O$697)+SUMIF('03_Eventos_pagamentos'!$E$766:$E$836,A65,'03_Eventos_pagamentos'!$O$766:$O$836)</f>
        <v/>
      </c>
      <c r="D65" s="48">
        <f>COUNTIF('03_Eventos_pagamentos'!$E$702:$E$763,'04_TOTALIZADORA (2)'!A65)</f>
        <v/>
      </c>
      <c r="E65" s="1427">
        <f>SUMIF('03_Eventos_pagamentos'!$E$702:$E$763,A65,'03_Eventos_pagamentos'!$O$702:$O$763)</f>
        <v/>
      </c>
      <c r="F65" s="1431">
        <f>C65+E65+F64</f>
        <v/>
      </c>
      <c r="G65" s="1425">
        <f>SUMIF('03_Eventos_pagamentos'!$P$11:$P$843,A66,'03_Eventos_pagamentos'!$Q$11:$Q$843)</f>
        <v/>
      </c>
      <c r="H65" s="1432">
        <f>G65+H64</f>
        <v/>
      </c>
      <c r="I65" s="1427">
        <f>SUMIFS( '03_Eventos_pagamentos'!$O$11:$O$843,'03_Eventos_pagamentos'!$E$11:$E$843,A65,'03_Eventos_pagamentos'!$I$11:$I$843,"FAT. DIRETO")</f>
        <v/>
      </c>
      <c r="J65" s="1432">
        <f>G65+I65+J64</f>
        <v/>
      </c>
      <c r="K65" s="1431" t="n"/>
      <c r="L65" s="1431">
        <f>K65+L64</f>
        <v/>
      </c>
      <c r="M65" s="1433" t="n"/>
      <c r="N65" s="1434" t="n"/>
      <c r="O65" s="1434" t="n"/>
      <c r="P65" s="1434" t="n"/>
      <c r="Q65" s="1434" t="n"/>
      <c r="R65" s="1435" t="n"/>
    </row>
    <row r="66">
      <c r="A66" s="523" t="n">
        <v>53</v>
      </c>
      <c r="B66" s="48">
        <f>SUM(COUNTIF('03_Eventos_pagamentos'!$E$11:$E$697,'04_TOTALIZADORA (2)'!A66)+COUNTIF('03_Eventos_pagamentos'!$E$766:$E$836,'04_TOTALIZADORA (2)'!A66))</f>
        <v/>
      </c>
      <c r="C66" s="1422">
        <f>SUMIF('03_Eventos_pagamentos'!$E$11:$E$699,A66,'03_Eventos_pagamentos'!$O$11:$O$697)+SUMIF('03_Eventos_pagamentos'!$E$766:$E$836,A66,'03_Eventos_pagamentos'!$O$766:$O$836)</f>
        <v/>
      </c>
      <c r="D66" s="48">
        <f>COUNTIF('03_Eventos_pagamentos'!$E$702:$E$763,'04_TOTALIZADORA (2)'!A66)</f>
        <v/>
      </c>
      <c r="E66" s="1427">
        <f>SUMIF('03_Eventos_pagamentos'!$E$702:$E$763,A66,'03_Eventos_pagamentos'!$O$702:$O$763)</f>
        <v/>
      </c>
      <c r="F66" s="1431">
        <f>C66+E66+F65</f>
        <v/>
      </c>
      <c r="G66" s="1425">
        <f>SUMIF('03_Eventos_pagamentos'!$P$11:$P$843,A67,'03_Eventos_pagamentos'!$Q$11:$Q$843)</f>
        <v/>
      </c>
      <c r="H66" s="1432">
        <f>G66+H65</f>
        <v/>
      </c>
      <c r="I66" s="1427">
        <f>SUMIFS( '03_Eventos_pagamentos'!$O$11:$O$843,'03_Eventos_pagamentos'!$E$11:$E$843,A66,'03_Eventos_pagamentos'!$I$11:$I$843,"FAT. DIRETO")</f>
        <v/>
      </c>
      <c r="J66" s="1432">
        <f>G66+I66+J65</f>
        <v/>
      </c>
      <c r="K66" s="1431" t="n"/>
      <c r="L66" s="1431">
        <f>K66+L65</f>
        <v/>
      </c>
      <c r="M66" s="1433" t="n"/>
      <c r="N66" s="1434" t="n"/>
      <c r="O66" s="1434" t="n"/>
      <c r="P66" s="1434" t="n"/>
      <c r="Q66" s="1434" t="n"/>
      <c r="R66" s="1435" t="n"/>
    </row>
    <row r="67">
      <c r="A67" s="523" t="n">
        <v>54</v>
      </c>
      <c r="B67" s="48">
        <f>SUM(COUNTIF('03_Eventos_pagamentos'!$E$11:$E$697,'04_TOTALIZADORA (2)'!A67)+COUNTIF('03_Eventos_pagamentos'!$E$766:$E$836,'04_TOTALIZADORA (2)'!A67))</f>
        <v/>
      </c>
      <c r="C67" s="1422">
        <f>SUMIF('03_Eventos_pagamentos'!$E$11:$E$699,A67,'03_Eventos_pagamentos'!$O$11:$O$697)+SUMIF('03_Eventos_pagamentos'!$E$766:$E$836,A67,'03_Eventos_pagamentos'!$O$766:$O$836)</f>
        <v/>
      </c>
      <c r="D67" s="48">
        <f>COUNTIF('03_Eventos_pagamentos'!$E$702:$E$763,'04_TOTALIZADORA (2)'!A67)</f>
        <v/>
      </c>
      <c r="E67" s="1427">
        <f>SUMIF('03_Eventos_pagamentos'!$E$702:$E$763,A67,'03_Eventos_pagamentos'!$O$702:$O$763)</f>
        <v/>
      </c>
      <c r="F67" s="1431">
        <f>C67+E67+F66</f>
        <v/>
      </c>
      <c r="G67" s="1425">
        <f>SUMIF('03_Eventos_pagamentos'!$P$11:$P$843,A68,'03_Eventos_pagamentos'!$Q$11:$Q$843)</f>
        <v/>
      </c>
      <c r="H67" s="1432">
        <f>G67+H66</f>
        <v/>
      </c>
      <c r="I67" s="1427">
        <f>SUMIFS( '03_Eventos_pagamentos'!$O$11:$O$843,'03_Eventos_pagamentos'!$E$11:$E$843,A67,'03_Eventos_pagamentos'!$I$11:$I$843,"FAT. DIRETO")</f>
        <v/>
      </c>
      <c r="J67" s="1432">
        <f>G67+I67+J66</f>
        <v/>
      </c>
      <c r="K67" s="1431" t="n"/>
      <c r="L67" s="1431">
        <f>K67+L66</f>
        <v/>
      </c>
      <c r="M67" s="1433" t="n"/>
      <c r="N67" s="1434" t="n"/>
      <c r="O67" s="1434" t="n"/>
      <c r="P67" s="1434" t="n"/>
      <c r="Q67" s="1434" t="n"/>
      <c r="R67" s="1435" t="n"/>
    </row>
    <row r="68">
      <c r="A68" s="523" t="n">
        <v>55</v>
      </c>
      <c r="B68" s="48">
        <f>SUM(COUNTIF('03_Eventos_pagamentos'!$E$11:$E$697,'04_TOTALIZADORA (2)'!A68)+COUNTIF('03_Eventos_pagamentos'!$E$766:$E$836,'04_TOTALIZADORA (2)'!A68))</f>
        <v/>
      </c>
      <c r="C68" s="1422">
        <f>SUMIF('03_Eventos_pagamentos'!$E$11:$E$699,A68,'03_Eventos_pagamentos'!$O$11:$O$697)+SUMIF('03_Eventos_pagamentos'!$E$766:$E$836,A68,'03_Eventos_pagamentos'!$O$766:$O$836)</f>
        <v/>
      </c>
      <c r="D68" s="48">
        <f>COUNTIF('03_Eventos_pagamentos'!$E$702:$E$763,'04_TOTALIZADORA (2)'!A68)</f>
        <v/>
      </c>
      <c r="E68" s="1427">
        <f>SUMIF('03_Eventos_pagamentos'!$E$702:$E$763,A68,'03_Eventos_pagamentos'!$O$702:$O$763)</f>
        <v/>
      </c>
      <c r="F68" s="1431">
        <f>C68+E68+F67</f>
        <v/>
      </c>
      <c r="G68" s="1425">
        <f>SUMIF('03_Eventos_pagamentos'!$P$11:$P$843,A69,'03_Eventos_pagamentos'!$Q$11:$Q$843)</f>
        <v/>
      </c>
      <c r="H68" s="1432">
        <f>G68+H67</f>
        <v/>
      </c>
      <c r="I68" s="1427">
        <f>SUMIFS( '03_Eventos_pagamentos'!$O$11:$O$843,'03_Eventos_pagamentos'!$E$11:$E$843,A68,'03_Eventos_pagamentos'!$I$11:$I$843,"FAT. DIRETO")</f>
        <v/>
      </c>
      <c r="J68" s="1432">
        <f>G68+I68+J67</f>
        <v/>
      </c>
      <c r="K68" s="1431" t="n"/>
      <c r="L68" s="1431">
        <f>K68+L67</f>
        <v/>
      </c>
      <c r="M68" s="1433" t="n"/>
      <c r="N68" s="1434" t="n"/>
      <c r="O68" s="1434" t="n"/>
      <c r="P68" s="1434" t="n"/>
      <c r="Q68" s="1434" t="n"/>
      <c r="R68" s="1435" t="n"/>
    </row>
    <row r="69">
      <c r="A69" s="523" t="n">
        <v>56</v>
      </c>
      <c r="B69" s="48">
        <f>SUM(COUNTIF('03_Eventos_pagamentos'!$E$11:$E$697,'04_TOTALIZADORA (2)'!A69)+COUNTIF('03_Eventos_pagamentos'!$E$766:$E$836,'04_TOTALIZADORA (2)'!A69))</f>
        <v/>
      </c>
      <c r="C69" s="1422">
        <f>SUMIF('03_Eventos_pagamentos'!$E$11:$E$699,A69,'03_Eventos_pagamentos'!$O$11:$O$697)+SUMIF('03_Eventos_pagamentos'!$E$766:$E$836,A69,'03_Eventos_pagamentos'!$O$766:$O$836)</f>
        <v/>
      </c>
      <c r="D69" s="48">
        <f>COUNTIF('03_Eventos_pagamentos'!$E$702:$E$763,'04_TOTALIZADORA (2)'!A69)</f>
        <v/>
      </c>
      <c r="E69" s="1427">
        <f>SUMIF('03_Eventos_pagamentos'!$E$702:$E$763,A69,'03_Eventos_pagamentos'!$O$702:$O$763)</f>
        <v/>
      </c>
      <c r="F69" s="1431">
        <f>C69+E69+F68</f>
        <v/>
      </c>
      <c r="G69" s="1425">
        <f>SUMIF('03_Eventos_pagamentos'!$P$11:$P$843,A70,'03_Eventos_pagamentos'!$Q$11:$Q$843)</f>
        <v/>
      </c>
      <c r="H69" s="1432">
        <f>G69+H68</f>
        <v/>
      </c>
      <c r="I69" s="1427">
        <f>SUMIFS( '03_Eventos_pagamentos'!$O$11:$O$843,'03_Eventos_pagamentos'!$E$11:$E$843,A69,'03_Eventos_pagamentos'!$I$11:$I$843,"FAT. DIRETO")</f>
        <v/>
      </c>
      <c r="J69" s="1432">
        <f>G69+I69+J68</f>
        <v/>
      </c>
      <c r="K69" s="1431" t="n"/>
      <c r="L69" s="1431">
        <f>K69+L68</f>
        <v/>
      </c>
      <c r="M69" s="1433" t="n"/>
      <c r="N69" s="1434" t="n"/>
      <c r="O69" s="1434" t="n"/>
      <c r="P69" s="1434" t="n"/>
      <c r="Q69" s="1434" t="n"/>
      <c r="R69" s="1435" t="n"/>
    </row>
    <row r="70">
      <c r="A70" s="523" t="n">
        <v>57</v>
      </c>
      <c r="B70" s="48">
        <f>SUM(COUNTIF('03_Eventos_pagamentos'!$E$11:$E$697,'04_TOTALIZADORA (2)'!A70)+COUNTIF('03_Eventos_pagamentos'!$E$766:$E$836,'04_TOTALIZADORA (2)'!A70))</f>
        <v/>
      </c>
      <c r="C70" s="1422">
        <f>SUMIF('03_Eventos_pagamentos'!$E$11:$E$699,A70,'03_Eventos_pagamentos'!$O$11:$O$697)+SUMIF('03_Eventos_pagamentos'!$E$766:$E$836,A70,'03_Eventos_pagamentos'!$O$766:$O$836)</f>
        <v/>
      </c>
      <c r="D70" s="48">
        <f>COUNTIF('03_Eventos_pagamentos'!$E$702:$E$763,'04_TOTALIZADORA (2)'!A70)</f>
        <v/>
      </c>
      <c r="E70" s="1427">
        <f>SUMIF('03_Eventos_pagamentos'!$E$702:$E$763,A70,'03_Eventos_pagamentos'!$O$702:$O$763)</f>
        <v/>
      </c>
      <c r="F70" s="1431">
        <f>C70+E70+F69</f>
        <v/>
      </c>
      <c r="G70" s="1425">
        <f>SUMIF('03_Eventos_pagamentos'!$P$11:$P$843,A71,'03_Eventos_pagamentos'!$Q$11:$Q$843)</f>
        <v/>
      </c>
      <c r="H70" s="1432">
        <f>G70+H69</f>
        <v/>
      </c>
      <c r="I70" s="1427">
        <f>SUMIFS( '03_Eventos_pagamentos'!$O$11:$O$843,'03_Eventos_pagamentos'!$E$11:$E$843,A70,'03_Eventos_pagamentos'!$I$11:$I$843,"FAT. DIRETO")</f>
        <v/>
      </c>
      <c r="J70" s="1432">
        <f>G70+I70+J69</f>
        <v/>
      </c>
      <c r="K70" s="1431" t="n"/>
      <c r="L70" s="1431">
        <f>K70+L69</f>
        <v/>
      </c>
      <c r="M70" s="1433" t="n"/>
      <c r="N70" s="1434" t="n"/>
      <c r="O70" s="1434" t="n"/>
      <c r="P70" s="1434" t="n"/>
      <c r="Q70" s="1434" t="n"/>
      <c r="R70" s="1435" t="n"/>
    </row>
    <row r="71">
      <c r="A71" s="523" t="n">
        <v>58</v>
      </c>
      <c r="B71" s="48">
        <f>SUM(COUNTIF('03_Eventos_pagamentos'!$E$11:$E$697,'04_TOTALIZADORA (2)'!A71)+COUNTIF('03_Eventos_pagamentos'!$E$766:$E$836,'04_TOTALIZADORA (2)'!A71))</f>
        <v/>
      </c>
      <c r="C71" s="1422">
        <f>SUMIF('03_Eventos_pagamentos'!$E$11:$E$699,A71,'03_Eventos_pagamentos'!$O$11:$O$697)+SUMIF('03_Eventos_pagamentos'!$E$766:$E$836,A71,'03_Eventos_pagamentos'!$O$766:$O$836)</f>
        <v/>
      </c>
      <c r="D71" s="48">
        <f>COUNTIF('03_Eventos_pagamentos'!$E$702:$E$763,'04_TOTALIZADORA (2)'!A71)</f>
        <v/>
      </c>
      <c r="E71" s="1427">
        <f>SUMIF('03_Eventos_pagamentos'!$E$702:$E$763,A71,'03_Eventos_pagamentos'!$O$702:$O$763)</f>
        <v/>
      </c>
      <c r="F71" s="1431">
        <f>C71+E71+F70</f>
        <v/>
      </c>
      <c r="G71" s="1425">
        <f>SUMIF('03_Eventos_pagamentos'!$P$11:$P$843,A72,'03_Eventos_pagamentos'!$Q$11:$Q$843)</f>
        <v/>
      </c>
      <c r="H71" s="1432">
        <f>G71+H70</f>
        <v/>
      </c>
      <c r="I71" s="1427">
        <f>SUMIFS( '03_Eventos_pagamentos'!$O$11:$O$843,'03_Eventos_pagamentos'!$E$11:$E$843,A71,'03_Eventos_pagamentos'!$I$11:$I$843,"FAT. DIRETO")</f>
        <v/>
      </c>
      <c r="J71" s="1432">
        <f>G71+I71+J70</f>
        <v/>
      </c>
      <c r="K71" s="1431" t="n"/>
      <c r="L71" s="1431">
        <f>K71+L70</f>
        <v/>
      </c>
      <c r="M71" s="1433" t="n"/>
      <c r="N71" s="1434" t="n"/>
      <c r="O71" s="1434" t="n"/>
      <c r="P71" s="1434" t="n"/>
      <c r="Q71" s="1434" t="n"/>
      <c r="R71" s="1435" t="n"/>
    </row>
    <row r="72">
      <c r="A72" s="523" t="n">
        <v>59</v>
      </c>
      <c r="B72" s="48">
        <f>SUM(COUNTIF('03_Eventos_pagamentos'!$E$11:$E$697,'04_TOTALIZADORA (2)'!A72)+COUNTIF('03_Eventos_pagamentos'!$E$766:$E$836,'04_TOTALIZADORA (2)'!A72))</f>
        <v/>
      </c>
      <c r="C72" s="1422">
        <f>SUMIF('03_Eventos_pagamentos'!$E$11:$E$699,A72,'03_Eventos_pagamentos'!$O$11:$O$697)+SUMIF('03_Eventos_pagamentos'!$E$766:$E$836,A72,'03_Eventos_pagamentos'!$O$766:$O$836)</f>
        <v/>
      </c>
      <c r="D72" s="48">
        <f>COUNTIF('03_Eventos_pagamentos'!$E$702:$E$763,'04_TOTALIZADORA (2)'!A72)</f>
        <v/>
      </c>
      <c r="E72" s="1427">
        <f>SUMIF('03_Eventos_pagamentos'!$E$702:$E$763,A72,'03_Eventos_pagamentos'!$O$702:$O$763)</f>
        <v/>
      </c>
      <c r="F72" s="1431">
        <f>C72+E72+F71</f>
        <v/>
      </c>
      <c r="G72" s="1425">
        <f>SUMIF('03_Eventos_pagamentos'!$P$11:$P$843,A73,'03_Eventos_pagamentos'!$Q$11:$Q$843)</f>
        <v/>
      </c>
      <c r="H72" s="1432">
        <f>G72+H71</f>
        <v/>
      </c>
      <c r="I72" s="1427">
        <f>SUMIFS( '03_Eventos_pagamentos'!$O$11:$O$843,'03_Eventos_pagamentos'!$E$11:$E$843,A72,'03_Eventos_pagamentos'!$I$11:$I$843,"FAT. DIRETO")</f>
        <v/>
      </c>
      <c r="J72" s="1432">
        <f>G72+I72+J71</f>
        <v/>
      </c>
      <c r="K72" s="1431" t="n"/>
      <c r="L72" s="1431">
        <f>K72+L71</f>
        <v/>
      </c>
      <c r="M72" s="1433" t="n"/>
      <c r="N72" s="1434" t="n"/>
      <c r="O72" s="1434" t="n"/>
      <c r="P72" s="1434" t="n"/>
      <c r="Q72" s="1434" t="n"/>
      <c r="R72" s="1435" t="n"/>
    </row>
    <row r="73">
      <c r="A73" s="523" t="n">
        <v>60</v>
      </c>
      <c r="B73" s="48">
        <f>SUM(COUNTIF('03_Eventos_pagamentos'!$E$11:$E$697,'04_TOTALIZADORA (2)'!A73)+COUNTIF('03_Eventos_pagamentos'!$E$766:$E$836,'04_TOTALIZADORA (2)'!A73))</f>
        <v/>
      </c>
      <c r="C73" s="1422">
        <f>SUMIF('03_Eventos_pagamentos'!$E$11:$E$699,A73,'03_Eventos_pagamentos'!$O$11:$O$697)+SUMIF('03_Eventos_pagamentos'!$E$766:$E$836,A73,'03_Eventos_pagamentos'!$O$766:$O$836)</f>
        <v/>
      </c>
      <c r="D73" s="48">
        <f>COUNTIF('03_Eventos_pagamentos'!$E$702:$E$763,'04_TOTALIZADORA (2)'!A73)</f>
        <v/>
      </c>
      <c r="E73" s="1427">
        <f>SUMIF('03_Eventos_pagamentos'!$E$702:$E$763,A73,'03_Eventos_pagamentos'!$O$702:$O$763)</f>
        <v/>
      </c>
      <c r="F73" s="1431">
        <f>C73+E73+F72</f>
        <v/>
      </c>
      <c r="G73" s="1425">
        <f>SUMIF('03_Eventos_pagamentos'!$P$11:$P$843,A74,'03_Eventos_pagamentos'!$Q$11:$Q$843)</f>
        <v/>
      </c>
      <c r="H73" s="1432">
        <f>G73+H72</f>
        <v/>
      </c>
      <c r="I73" s="1427">
        <f>SUMIFS( '03_Eventos_pagamentos'!$O$11:$O$843,'03_Eventos_pagamentos'!$E$11:$E$843,A73,'03_Eventos_pagamentos'!$I$11:$I$843,"FAT. DIRETO")</f>
        <v/>
      </c>
      <c r="J73" s="1432">
        <f>G73+I73+J72</f>
        <v/>
      </c>
      <c r="K73" s="1431" t="n"/>
      <c r="L73" s="1431">
        <f>K73+L72</f>
        <v/>
      </c>
      <c r="M73" s="1433" t="n"/>
      <c r="N73" s="1434" t="n"/>
      <c r="O73" s="1434" t="n"/>
      <c r="P73" s="1434" t="n"/>
      <c r="Q73" s="1434" t="n"/>
      <c r="R73" s="1435" t="n"/>
    </row>
    <row r="74">
      <c r="A74" s="523" t="n">
        <v>61</v>
      </c>
      <c r="B74" s="48">
        <f>SUM(COUNTIF('03_Eventos_pagamentos'!$E$11:$E$697,'04_TOTALIZADORA (2)'!A74)+COUNTIF('03_Eventos_pagamentos'!$E$766:$E$836,'04_TOTALIZADORA (2)'!A74))</f>
        <v/>
      </c>
      <c r="C74" s="1422">
        <f>SUMIF('03_Eventos_pagamentos'!$E$11:$E$699,A74,'03_Eventos_pagamentos'!$O$11:$O$697)+SUMIF('03_Eventos_pagamentos'!$E$766:$E$836,A74,'03_Eventos_pagamentos'!$O$766:$O$836)</f>
        <v/>
      </c>
      <c r="D74" s="48">
        <f>COUNTIF('03_Eventos_pagamentos'!$E$702:$E$763,'04_TOTALIZADORA (2)'!A74)</f>
        <v/>
      </c>
      <c r="E74" s="1427">
        <f>SUMIF('03_Eventos_pagamentos'!$E$702:$E$763,A74,'03_Eventos_pagamentos'!$O$702:$O$763)</f>
        <v/>
      </c>
      <c r="F74" s="1431">
        <f>C74+E74+F73</f>
        <v/>
      </c>
      <c r="G74" s="1425">
        <f>SUMIF('03_Eventos_pagamentos'!$P$11:$P$843,A75,'03_Eventos_pagamentos'!$Q$11:$Q$843)</f>
        <v/>
      </c>
      <c r="H74" s="1432">
        <f>G74+H73</f>
        <v/>
      </c>
      <c r="I74" s="1427">
        <f>SUMIFS( '03_Eventos_pagamentos'!$O$11:$O$843,'03_Eventos_pagamentos'!$E$11:$E$843,A74,'03_Eventos_pagamentos'!$I$11:$I$843,"FAT. DIRETO")</f>
        <v/>
      </c>
      <c r="J74" s="1432">
        <f>G74+I74+J73</f>
        <v/>
      </c>
      <c r="K74" s="1431" t="n"/>
      <c r="L74" s="1431">
        <f>K74+L73</f>
        <v/>
      </c>
      <c r="M74" s="1433" t="n"/>
      <c r="N74" s="1434" t="n"/>
      <c r="O74" s="1434" t="n"/>
      <c r="P74" s="1434" t="n"/>
      <c r="Q74" s="1434" t="n"/>
      <c r="R74" s="1435" t="n"/>
    </row>
    <row r="75">
      <c r="A75" s="523" t="n">
        <v>62</v>
      </c>
      <c r="B75" s="48">
        <f>SUM(COUNTIF('03_Eventos_pagamentos'!$E$11:$E$697,'04_TOTALIZADORA (2)'!A75)+COUNTIF('03_Eventos_pagamentos'!$E$766:$E$836,'04_TOTALIZADORA (2)'!A75))</f>
        <v/>
      </c>
      <c r="C75" s="1422">
        <f>SUMIF('03_Eventos_pagamentos'!$E$11:$E$699,A75,'03_Eventos_pagamentos'!$O$11:$O$697)+SUMIF('03_Eventos_pagamentos'!$E$766:$E$836,A75,'03_Eventos_pagamentos'!$O$766:$O$836)</f>
        <v/>
      </c>
      <c r="D75" s="48">
        <f>COUNTIF('03_Eventos_pagamentos'!$E$702:$E$763,'04_TOTALIZADORA (2)'!A75)</f>
        <v/>
      </c>
      <c r="E75" s="1427">
        <f>SUMIF('03_Eventos_pagamentos'!$E$702:$E$763,A75,'03_Eventos_pagamentos'!$O$702:$O$763)</f>
        <v/>
      </c>
      <c r="F75" s="1431">
        <f>C75+E75+F74</f>
        <v/>
      </c>
      <c r="G75" s="1425">
        <f>SUMIF('03_Eventos_pagamentos'!$P$11:$P$843,A76,'03_Eventos_pagamentos'!$Q$11:$Q$843)</f>
        <v/>
      </c>
      <c r="H75" s="1432">
        <f>G75+H74</f>
        <v/>
      </c>
      <c r="I75" s="1427">
        <f>SUMIFS( '03_Eventos_pagamentos'!$O$11:$O$843,'03_Eventos_pagamentos'!$E$11:$E$843,A75,'03_Eventos_pagamentos'!$I$11:$I$843,"FAT. DIRETO")</f>
        <v/>
      </c>
      <c r="J75" s="1432">
        <f>G75+I75+J74</f>
        <v/>
      </c>
      <c r="K75" s="1431" t="n"/>
      <c r="L75" s="1431">
        <f>K75+L74</f>
        <v/>
      </c>
      <c r="M75" s="1433" t="n"/>
      <c r="N75" s="1434" t="n"/>
      <c r="O75" s="1434" t="n"/>
      <c r="P75" s="1434" t="n"/>
      <c r="Q75" s="1434" t="n"/>
      <c r="R75" s="1435" t="n"/>
    </row>
    <row r="76">
      <c r="A76" s="523" t="n">
        <v>63</v>
      </c>
      <c r="B76" s="48">
        <f>SUM(COUNTIF('03_Eventos_pagamentos'!$E$11:$E$697,'04_TOTALIZADORA (2)'!A76)+COUNTIF('03_Eventos_pagamentos'!$E$766:$E$836,'04_TOTALIZADORA (2)'!A76))</f>
        <v/>
      </c>
      <c r="C76" s="1422">
        <f>SUMIF('03_Eventos_pagamentos'!$E$11:$E$699,A76,'03_Eventos_pagamentos'!$O$11:$O$697)+SUMIF('03_Eventos_pagamentos'!$E$766:$E$836,A76,'03_Eventos_pagamentos'!$O$766:$O$836)</f>
        <v/>
      </c>
      <c r="D76" s="48">
        <f>COUNTIF('03_Eventos_pagamentos'!$E$702:$E$763,'04_TOTALIZADORA (2)'!A76)</f>
        <v/>
      </c>
      <c r="E76" s="1427">
        <f>SUMIF('03_Eventos_pagamentos'!$E$702:$E$763,A76,'03_Eventos_pagamentos'!$O$702:$O$763)</f>
        <v/>
      </c>
      <c r="F76" s="1431">
        <f>C76+E76+F75</f>
        <v/>
      </c>
      <c r="G76" s="1425">
        <f>SUMIF('03_Eventos_pagamentos'!$P$11:$P$843,A77,'03_Eventos_pagamentos'!$Q$11:$Q$843)</f>
        <v/>
      </c>
      <c r="H76" s="1432">
        <f>G76+H75</f>
        <v/>
      </c>
      <c r="I76" s="1427">
        <f>SUMIFS( '03_Eventos_pagamentos'!$O$11:$O$843,'03_Eventos_pagamentos'!$E$11:$E$843,A76,'03_Eventos_pagamentos'!$I$11:$I$843,"FAT. DIRETO")</f>
        <v/>
      </c>
      <c r="J76" s="1432">
        <f>G76+I76+J75</f>
        <v/>
      </c>
      <c r="K76" s="1431" t="n"/>
      <c r="L76" s="1431">
        <f>K76+L75</f>
        <v/>
      </c>
      <c r="M76" s="1433" t="n"/>
      <c r="N76" s="1434" t="n"/>
      <c r="O76" s="1434" t="n"/>
      <c r="P76" s="1434" t="n"/>
      <c r="Q76" s="1434" t="n"/>
      <c r="R76" s="1435" t="n"/>
    </row>
    <row r="77">
      <c r="A77" s="523" t="n">
        <v>64</v>
      </c>
      <c r="B77" s="48">
        <f>SUM(COUNTIF('03_Eventos_pagamentos'!$E$11:$E$697,'04_TOTALIZADORA (2)'!A77)+COUNTIF('03_Eventos_pagamentos'!$E$766:$E$836,'04_TOTALIZADORA (2)'!A77))</f>
        <v/>
      </c>
      <c r="C77" s="1422">
        <f>SUMIF('03_Eventos_pagamentos'!$E$11:$E$699,A77,'03_Eventos_pagamentos'!$O$11:$O$697)+SUMIF('03_Eventos_pagamentos'!$E$766:$E$836,A77,'03_Eventos_pagamentos'!$O$766:$O$836)</f>
        <v/>
      </c>
      <c r="D77" s="48">
        <f>COUNTIF('03_Eventos_pagamentos'!$E$702:$E$763,'04_TOTALIZADORA (2)'!A77)</f>
        <v/>
      </c>
      <c r="E77" s="1427">
        <f>SUMIF('03_Eventos_pagamentos'!$E$702:$E$763,A77,'03_Eventos_pagamentos'!$O$702:$O$763)</f>
        <v/>
      </c>
      <c r="F77" s="1431">
        <f>C77+E77+F76</f>
        <v/>
      </c>
      <c r="G77" s="1425">
        <f>SUMIF('03_Eventos_pagamentos'!$P$11:$P$843,A78,'03_Eventos_pagamentos'!$Q$11:$Q$843)</f>
        <v/>
      </c>
      <c r="H77" s="1432">
        <f>G77+H76</f>
        <v/>
      </c>
      <c r="I77" s="1427">
        <f>SUMIFS( '03_Eventos_pagamentos'!$O$11:$O$843,'03_Eventos_pagamentos'!$E$11:$E$843,A77,'03_Eventos_pagamentos'!$I$11:$I$843,"FAT. DIRETO")</f>
        <v/>
      </c>
      <c r="J77" s="1432">
        <f>G77+I77+J76</f>
        <v/>
      </c>
      <c r="K77" s="1431" t="n"/>
      <c r="L77" s="1431">
        <f>K77+L76</f>
        <v/>
      </c>
      <c r="M77" s="1433" t="n"/>
      <c r="N77" s="1434" t="n"/>
      <c r="O77" s="1434" t="n"/>
      <c r="P77" s="1434" t="n"/>
      <c r="Q77" s="1434" t="n"/>
      <c r="R77" s="1435" t="n"/>
    </row>
    <row r="78" ht="15" customHeight="1" thickBot="1">
      <c r="A78" s="523" t="n">
        <v>65</v>
      </c>
      <c r="B78" s="48">
        <f>SUM(COUNTIF('03_Eventos_pagamentos'!$E$11:$E$697,'04_TOTALIZADORA (2)'!A78)+COUNTIF('03_Eventos_pagamentos'!$E$766:$E$836,'04_TOTALIZADORA (2)'!A78))</f>
        <v/>
      </c>
      <c r="C78" s="1422">
        <f>SUMIF('03_Eventos_pagamentos'!$E$11:$E$699,A78,'03_Eventos_pagamentos'!$O$11:$O$697)+SUMIF('03_Eventos_pagamentos'!$E$766:$E$836,A78,'03_Eventos_pagamentos'!$O$766:$O$836)</f>
        <v/>
      </c>
      <c r="D78" s="48">
        <f>COUNTIF('03_Eventos_pagamentos'!$E$702:$E$763,'04_TOTALIZADORA (2)'!A78)</f>
        <v/>
      </c>
      <c r="E78" s="1427">
        <f>SUMIF('03_Eventos_pagamentos'!$E$702:$E$763,A78,'03_Eventos_pagamentos'!$O$702:$O$763)</f>
        <v/>
      </c>
      <c r="F78" s="1431">
        <f>C78+E78+F77</f>
        <v/>
      </c>
      <c r="G78" s="1425">
        <f>SUMIF('03_Eventos_pagamentos'!$P$11:$P$843,A79,'03_Eventos_pagamentos'!$Q$11:$Q$843)</f>
        <v/>
      </c>
      <c r="H78" s="1432">
        <f>G78+H77</f>
        <v/>
      </c>
      <c r="I78" s="1427">
        <f>SUMIFS( '03_Eventos_pagamentos'!$O$11:$O$843,'03_Eventos_pagamentos'!$E$11:$E$843,A78,'03_Eventos_pagamentos'!$I$11:$I$843,"FAT. DIRETO")</f>
        <v/>
      </c>
      <c r="J78" s="1432">
        <f>G78+I78+J77</f>
        <v/>
      </c>
      <c r="K78" s="1431" t="n"/>
      <c r="L78" s="1431">
        <f>K78+L77</f>
        <v/>
      </c>
      <c r="M78" s="1433" t="n"/>
      <c r="N78" s="1434" t="n"/>
      <c r="O78" s="1434" t="n"/>
      <c r="P78" s="1434" t="n"/>
      <c r="Q78" s="1434" t="n"/>
      <c r="R78" s="1435" t="n"/>
    </row>
    <row r="79" ht="14.4" customHeight="1">
      <c r="A79" s="523" t="n">
        <v>66</v>
      </c>
      <c r="B79" s="48">
        <f>SUM(COUNTIF('03_Eventos_pagamentos'!$E$11:$E$697,'04_TOTALIZADORA (2)'!A79)+COUNTIF('03_Eventos_pagamentos'!$E$766:$E$836,'04_TOTALIZADORA (2)'!A79))</f>
        <v/>
      </c>
      <c r="C79" s="1422">
        <f>SUMIF('03_Eventos_pagamentos'!$E$11:$E$699,A79,'03_Eventos_pagamentos'!$O$11:$O$697)+SUMIF('03_Eventos_pagamentos'!$E$766:$E$836,A79,'03_Eventos_pagamentos'!$O$766:$O$836)</f>
        <v/>
      </c>
      <c r="D79" s="48">
        <f>COUNTIF('03_Eventos_pagamentos'!$E$702:$E$763,'04_TOTALIZADORA (2)'!A79)</f>
        <v/>
      </c>
      <c r="E79" s="1427">
        <f>SUMIF('03_Eventos_pagamentos'!$E$702:$E$763,A79,'03_Eventos_pagamentos'!$O$702:$O$763)</f>
        <v/>
      </c>
      <c r="F79" s="1431">
        <f>C79+E79+F78</f>
        <v/>
      </c>
      <c r="G79" s="1425">
        <f>SUMIF('03_Eventos_pagamentos'!$P$11:$P$843,A80,'03_Eventos_pagamentos'!$Q$11:$Q$843)</f>
        <v/>
      </c>
      <c r="H79" s="1432">
        <f>G79+H78</f>
        <v/>
      </c>
      <c r="I79" s="1427">
        <f>SUMIFS( '03_Eventos_pagamentos'!$O$11:$O$843,'03_Eventos_pagamentos'!$E$11:$E$843,A79,'03_Eventos_pagamentos'!$I$11:$I$843,"FAT. DIRETO")</f>
        <v/>
      </c>
      <c r="J79" s="1432">
        <f>G79+I79+J78</f>
        <v/>
      </c>
      <c r="K79" s="1431" t="n"/>
      <c r="L79" s="1431">
        <f>K79+L78</f>
        <v/>
      </c>
      <c r="M79" s="1433" t="n"/>
      <c r="N79" s="1434" t="n"/>
      <c r="O79" s="1434" t="n"/>
      <c r="P79" s="1434" t="n"/>
      <c r="Q79" s="1436" t="inlineStr">
        <is>
          <t>VALOR AMORTIZADO</t>
        </is>
      </c>
      <c r="R79" s="1437">
        <f>(SUM(K28,K30)/0.85)*0.15</f>
        <v/>
      </c>
    </row>
    <row r="80" ht="15" customHeight="1">
      <c r="A80" s="523" t="n">
        <v>67</v>
      </c>
      <c r="B80" s="48">
        <f>SUM(COUNTIF('03_Eventos_pagamentos'!$E$11:$E$697,'04_TOTALIZADORA (2)'!A80)+COUNTIF('03_Eventos_pagamentos'!$E$766:$E$836,'04_TOTALIZADORA (2)'!A80))</f>
        <v/>
      </c>
      <c r="C80" s="1422">
        <f>SUMIF('03_Eventos_pagamentos'!$E$11:$E$699,A80,'03_Eventos_pagamentos'!$O$11:$O$697)+SUMIF('03_Eventos_pagamentos'!$E$766:$E$836,A80,'03_Eventos_pagamentos'!$O$766:$O$836)</f>
        <v/>
      </c>
      <c r="D80" s="48">
        <f>COUNTIF('03_Eventos_pagamentos'!$E$702:$E$763,'04_TOTALIZADORA (2)'!A80)</f>
        <v/>
      </c>
      <c r="E80" s="1427">
        <f>SUMIF('03_Eventos_pagamentos'!$E$702:$E$763,A80,'03_Eventos_pagamentos'!$O$702:$O$763)</f>
        <v/>
      </c>
      <c r="F80" s="1431">
        <f>C80+E80+F79</f>
        <v/>
      </c>
      <c r="G80" s="1425">
        <f>SUMIF('03_Eventos_pagamentos'!$P$11:$P$843,A81,'03_Eventos_pagamentos'!$Q$11:$Q$843)</f>
        <v/>
      </c>
      <c r="H80" s="1432">
        <f>G80+H79</f>
        <v/>
      </c>
      <c r="I80" s="1427">
        <f>SUMIFS( '03_Eventos_pagamentos'!$O$11:$O$843,'03_Eventos_pagamentos'!$E$11:$E$843,A80,'03_Eventos_pagamentos'!$I$11:$I$843,"FAT. DIRETO")</f>
        <v/>
      </c>
      <c r="J80" s="1432">
        <f>G80+I80+J79</f>
        <v/>
      </c>
      <c r="K80" s="1431" t="n"/>
      <c r="L80" s="1431">
        <f>K80+L79</f>
        <v/>
      </c>
      <c r="M80" s="1433" t="n"/>
      <c r="N80" s="1434" t="n"/>
      <c r="O80" s="1434" t="n"/>
      <c r="P80" s="1434" t="n"/>
      <c r="Q80" s="1438" t="n"/>
      <c r="R80" s="1438" t="n"/>
    </row>
    <row r="81" ht="14.4" customHeight="1">
      <c r="A81" s="523" t="n">
        <v>68</v>
      </c>
      <c r="B81" s="48">
        <f>SUM(COUNTIF('03_Eventos_pagamentos'!$E$11:$E$697,'04_TOTALIZADORA (2)'!A81)+COUNTIF('03_Eventos_pagamentos'!$E$766:$E$836,'04_TOTALIZADORA (2)'!A81))</f>
        <v/>
      </c>
      <c r="C81" s="1422">
        <f>SUMIF('03_Eventos_pagamentos'!$E$11:$E$699,A81,'03_Eventos_pagamentos'!$O$11:$O$697)+SUMIF('03_Eventos_pagamentos'!$E$766:$E$836,A81,'03_Eventos_pagamentos'!$O$766:$O$836)</f>
        <v/>
      </c>
      <c r="D81" s="48">
        <f>COUNTIF('03_Eventos_pagamentos'!$E$702:$E$763,'04_TOTALIZADORA (2)'!A81)</f>
        <v/>
      </c>
      <c r="E81" s="1427">
        <f>SUMIF('03_Eventos_pagamentos'!$E$702:$E$763,A81,'03_Eventos_pagamentos'!$O$702:$O$763)</f>
        <v/>
      </c>
      <c r="F81" s="1431">
        <f>C81+E81+F80</f>
        <v/>
      </c>
      <c r="G81" s="1425">
        <f>SUMIF('03_Eventos_pagamentos'!$P$11:$P$843,A82,'03_Eventos_pagamentos'!$Q$11:$Q$843)</f>
        <v/>
      </c>
      <c r="H81" s="1432">
        <f>G81+H80</f>
        <v/>
      </c>
      <c r="I81" s="1427">
        <f>SUMIFS( '03_Eventos_pagamentos'!$O$11:$O$843,'03_Eventos_pagamentos'!$E$11:$E$843,A81,'03_Eventos_pagamentos'!$I$11:$I$843,"FAT. DIRETO")</f>
        <v/>
      </c>
      <c r="J81" s="1432">
        <f>G81+I81+J80</f>
        <v/>
      </c>
      <c r="K81" s="1431" t="n"/>
      <c r="L81" s="1431">
        <f>K81+L80</f>
        <v/>
      </c>
      <c r="M81" s="1433" t="n"/>
      <c r="N81" s="1434" t="n"/>
      <c r="O81" s="1434" t="n"/>
      <c r="P81" s="1434" t="n"/>
      <c r="Q81" s="1438" t="n"/>
      <c r="R81" s="1438" t="n"/>
    </row>
    <row r="82" ht="15" customHeight="1" thickBot="1">
      <c r="A82" s="522" t="n">
        <v>69</v>
      </c>
      <c r="B82" s="48">
        <f>SUM(COUNTIF('03_Eventos_pagamentos'!$E$11:$E$697,'04_TOTALIZADORA (2)'!A82)+COUNTIF('03_Eventos_pagamentos'!$E$766:$E$836,'04_TOTALIZADORA (2)'!A82))</f>
        <v/>
      </c>
      <c r="C82" s="1422">
        <f>SUMIF('03_Eventos_pagamentos'!$E$11:$E$699,A82,'03_Eventos_pagamentos'!$O$11:$O$697)+SUMIF('03_Eventos_pagamentos'!$E$766:$E$836,A82,'03_Eventos_pagamentos'!$O$766:$O$836)</f>
        <v/>
      </c>
      <c r="D82" s="48">
        <f>COUNTIF('03_Eventos_pagamentos'!$E$702:$E$763,'04_TOTALIZADORA (2)'!A82)</f>
        <v/>
      </c>
      <c r="E82" s="1427">
        <f>SUMIF('03_Eventos_pagamentos'!$E$702:$E$763,A82,'03_Eventos_pagamentos'!$O$702:$O$763)</f>
        <v/>
      </c>
      <c r="F82" s="1431">
        <f>C82+E82+F81</f>
        <v/>
      </c>
      <c r="G82" s="1425">
        <f>SUMIF('03_Eventos_pagamentos'!$P$11:$P$843,A83,'03_Eventos_pagamentos'!$Q$11:$Q$843)</f>
        <v/>
      </c>
      <c r="H82" s="1439">
        <f>G82+H81</f>
        <v/>
      </c>
      <c r="I82" s="1427">
        <f>SUMIFS( '03_Eventos_pagamentos'!$O$11:$O$843,'03_Eventos_pagamentos'!$E$11:$E$843,A82,'03_Eventos_pagamentos'!$I$11:$I$843,"FAT. DIRETO")</f>
        <v/>
      </c>
      <c r="J82" s="1439">
        <f>G82+I82+J81</f>
        <v/>
      </c>
      <c r="K82" s="1431" t="n"/>
      <c r="L82" s="1431">
        <f>K82+L81</f>
        <v/>
      </c>
      <c r="M82" s="1440" t="n"/>
      <c r="N82" s="1441" t="n"/>
      <c r="O82" s="1441" t="n"/>
      <c r="P82" s="1441" t="n"/>
      <c r="Q82" s="1187" t="n"/>
      <c r="R82" s="1187" t="n"/>
    </row>
    <row r="83" ht="39.9" customHeight="1">
      <c r="A83" s="51" t="inlineStr">
        <is>
          <t>Meses</t>
        </is>
      </c>
      <c r="B83" s="52" t="inlineStr">
        <is>
          <t>EVENTOS</t>
        </is>
      </c>
      <c r="C83" s="52">
        <f>B12</f>
        <v/>
      </c>
      <c r="D83" s="52" t="inlineStr">
        <is>
          <t>EVENTOS</t>
        </is>
      </c>
      <c r="E83" s="52">
        <f>D12</f>
        <v/>
      </c>
      <c r="F83" s="53" t="inlineStr">
        <is>
          <t>VALOR TOTAL</t>
        </is>
      </c>
      <c r="G83" s="53" t="n"/>
      <c r="H83" s="53" t="inlineStr">
        <is>
          <t>VALOR TOTAL</t>
        </is>
      </c>
      <c r="I83" s="53" t="n"/>
      <c r="J83" s="53" t="inlineStr">
        <is>
          <t>VALOR TOTAL</t>
        </is>
      </c>
      <c r="K83" s="53" t="inlineStr">
        <is>
          <t>VALOR TOTAL</t>
        </is>
      </c>
      <c r="L83" s="53" t="inlineStr">
        <is>
          <t>VALOR TOTAL</t>
        </is>
      </c>
      <c r="M83" s="52" t="inlineStr">
        <is>
          <t>TOTAL EVENTOS</t>
        </is>
      </c>
      <c r="N83" s="863" t="inlineStr">
        <is>
          <t>PREÇO GLOBAL</t>
        </is>
      </c>
      <c r="O83" s="1442">
        <f>SUM(C14:C82,E14:E82)</f>
        <v/>
      </c>
      <c r="P83" s="1408" t="n"/>
      <c r="Q83" s="867" t="inlineStr">
        <is>
          <t>VALOR ANTECIPAÇÃO SOLICITADA</t>
        </is>
      </c>
      <c r="R83" s="1443">
        <f>M9</f>
        <v/>
      </c>
    </row>
    <row r="84" ht="39.9" customHeight="1" thickBot="1">
      <c r="A84" s="54" t="n">
        <v>70</v>
      </c>
      <c r="B84" s="55">
        <f>SUM(B14:B82)</f>
        <v/>
      </c>
      <c r="C84" s="1444">
        <f>SUM(C14:C82)</f>
        <v/>
      </c>
      <c r="D84" s="55">
        <f>SUM(D14:D82)</f>
        <v/>
      </c>
      <c r="E84" s="1444">
        <f>SUM(E14:E82)</f>
        <v/>
      </c>
      <c r="F84" s="1444">
        <f>SUM(C84,E84)</f>
        <v/>
      </c>
      <c r="G84" s="1444" t="n"/>
      <c r="H84" s="1444">
        <f>H82</f>
        <v/>
      </c>
      <c r="I84" s="1444" t="n"/>
      <c r="J84" s="1444">
        <f>J82</f>
        <v/>
      </c>
      <c r="K84" s="1444">
        <f>SUM(K14:K82)</f>
        <v/>
      </c>
      <c r="L84" s="1444">
        <f>L82</f>
        <v/>
      </c>
      <c r="M84" s="55">
        <f>SUM(B84,D84)</f>
        <v/>
      </c>
      <c r="N84" s="1247" t="n"/>
      <c r="O84" s="1414" t="n"/>
      <c r="P84" s="1412" t="n"/>
      <c r="Q84" s="1247" t="n"/>
      <c r="R84" s="1420" t="n"/>
    </row>
    <row r="85" ht="9" customHeight="1" thickBot="1">
      <c r="A85" s="57" t="n"/>
      <c r="B85" s="58" t="n"/>
      <c r="C85" s="58" t="n"/>
      <c r="D85" s="58" t="n"/>
      <c r="E85" s="58" t="n"/>
      <c r="F85" s="58" t="n"/>
      <c r="G85" s="58" t="n"/>
      <c r="H85" s="58" t="n"/>
      <c r="I85" s="58" t="n"/>
      <c r="J85" s="58" t="n"/>
      <c r="K85" s="58" t="n"/>
      <c r="L85" s="58" t="n"/>
      <c r="M85" s="58" t="n"/>
      <c r="N85" s="58" t="n"/>
      <c r="O85" s="58" t="n"/>
      <c r="P85" s="59" t="n"/>
      <c r="Q85" s="59" t="n"/>
      <c r="R85" s="60" t="n"/>
    </row>
    <row r="86" ht="51.75" customHeight="1" thickBot="1">
      <c r="A86" s="1445" t="inlineStr">
        <is>
          <t>Nota: Preencher somente a célula em destaque amarelo, campo de ANTECIPAÇÃO SOLICITADA, com o valor percentual referênte a solicitação de antecipação, de acordo com as regras do edital e limitado a 5% do VALOR GLOBAL da proposta, demais campos são de preenchimento automático, meramente ilustrativos, pois seguirão as disposições descritas na Minuta de Contrato.</t>
        </is>
      </c>
      <c r="B86" s="1139" t="n"/>
      <c r="C86" s="1139" t="n"/>
      <c r="D86" s="1139" t="n"/>
      <c r="E86" s="1139" t="n"/>
      <c r="F86" s="1139" t="n"/>
      <c r="G86" s="1139" t="n"/>
      <c r="H86" s="1139" t="n"/>
      <c r="I86" s="1139" t="n"/>
      <c r="J86" s="1139" t="n"/>
      <c r="K86" s="1139" t="n"/>
      <c r="L86" s="1139" t="n"/>
      <c r="M86" s="1139" t="n"/>
      <c r="N86" s="1139" t="n"/>
      <c r="O86" s="1139" t="n"/>
      <c r="P86" s="1139" t="n"/>
      <c r="Q86" s="1139" t="n"/>
      <c r="R86" s="1140" t="n"/>
    </row>
    <row r="87" ht="9" customHeight="1" thickBot="1">
      <c r="A87" s="61" t="n"/>
      <c r="B87" s="59" t="n"/>
      <c r="C87" s="59" t="n"/>
      <c r="D87" s="59" t="n"/>
      <c r="E87" s="59" t="n"/>
      <c r="F87" s="59" t="n"/>
      <c r="G87" s="59" t="n"/>
      <c r="H87" s="59" t="n"/>
      <c r="I87" s="59" t="n"/>
      <c r="J87" s="59" t="n"/>
      <c r="K87" s="59" t="n"/>
      <c r="L87" s="59" t="n"/>
      <c r="M87" s="59" t="n"/>
      <c r="N87" s="59" t="n"/>
      <c r="O87" s="59" t="n"/>
      <c r="P87" s="59" t="n"/>
      <c r="Q87" s="59" t="n"/>
      <c r="R87" s="60" t="n"/>
    </row>
  </sheetData>
  <mergeCells count="35">
    <mergeCell ref="Q13:R13"/>
    <mergeCell ref="Q9:R10"/>
    <mergeCell ref="R79:R82"/>
    <mergeCell ref="Q83:Q84"/>
    <mergeCell ref="Q12:R12"/>
    <mergeCell ref="F12:F13"/>
    <mergeCell ref="L12:L13"/>
    <mergeCell ref="R83:R84"/>
    <mergeCell ref="A9:C10"/>
    <mergeCell ref="B12:C12"/>
    <mergeCell ref="A86:R86"/>
    <mergeCell ref="D6:N6"/>
    <mergeCell ref="Q79:Q82"/>
    <mergeCell ref="A12:A13"/>
    <mergeCell ref="A2:R2"/>
    <mergeCell ref="A5:C5"/>
    <mergeCell ref="K12:K13"/>
    <mergeCell ref="O4:P4"/>
    <mergeCell ref="E7:P7"/>
    <mergeCell ref="D9:D10"/>
    <mergeCell ref="M9:N10"/>
    <mergeCell ref="O9:P10"/>
    <mergeCell ref="H12:H13"/>
    <mergeCell ref="N83:N84"/>
    <mergeCell ref="J12:J13"/>
    <mergeCell ref="A7:D7"/>
    <mergeCell ref="D12:E12"/>
    <mergeCell ref="A4:N4"/>
    <mergeCell ref="M13:P13"/>
    <mergeCell ref="A6:C6"/>
    <mergeCell ref="O83:P84"/>
    <mergeCell ref="M12:P12"/>
    <mergeCell ref="D5:N5"/>
    <mergeCell ref="A1:R1"/>
    <mergeCell ref="E9:F10"/>
  </mergeCells>
  <conditionalFormatting sqref="D9">
    <cfRule type="containsBlanks" priority="2" dxfId="1">
      <formula>LEN(TRIM(D9))=0</formula>
    </cfRule>
  </conditionalFormatting>
  <conditionalFormatting sqref="D9:D10">
    <cfRule type="cellIs" priority="1" operator="greaterThan" dxfId="0">
      <formula>0.05</formula>
    </cfRule>
  </conditionalFormatting>
  <dataValidations count="2">
    <dataValidation sqref="D9:D10" showDropDown="0" showInputMessage="1" showErrorMessage="1" allowBlank="1" errorTitle="!!!! ERRO !!!!" error="VALOR NÃO PERMITIDO." promptTitle="ENTRE AQUI COM O" prompt="PERCENTUAL DA ANTECIPAÇÃO, LIMITADO A 5% DO PREÇO GLOBAL." type="decimal">
      <formula1>0</formula1>
      <formula2>0.05</formula2>
    </dataValidation>
    <dataValidation sqref="F1:M3 Q6" showDropDown="0" showInputMessage="0" showErrorMessage="1" allowBlank="1"/>
  </dataValidations>
  <printOptions horizontalCentered="1"/>
  <pageMargins left="0.1968503937007874" right="0.1574803149606299" top="0.1181102362204725" bottom="0.2362204724409449" header="0.1181102362204725" footer="0.03937007874015748"/>
  <pageSetup orientation="landscape" paperSize="8" scale="45" fitToHeight="0"/>
  <headerFooter>
    <oddHeader/>
    <oddFooter>&amp;C&amp;P de &amp;N&amp;R&amp;"Calibri"&amp;10 &amp;K000000_x000d_# Classificação: Público</oddFooter>
    <evenHeader/>
    <evenFooter/>
    <firstHeader/>
    <firstFooter/>
  </headerFooter>
  <drawing xmlns:r="http://schemas.openxmlformats.org/officeDocument/2006/relationships" r:id="rId1"/>
</worksheet>
</file>

<file path=xl/worksheets/sheet7.xml><?xml version="1.0" encoding="utf-8"?>
<worksheet xmlns="http://schemas.openxmlformats.org/spreadsheetml/2006/main">
  <sheetPr codeName="Planilha5">
    <outlinePr summaryBelow="1" summaryRight="1"/>
    <pageSetUpPr fitToPage="1"/>
  </sheetPr>
  <dimension ref="A1:AB87"/>
  <sheetViews>
    <sheetView showGridLines="0" zoomScale="55" zoomScaleNormal="55" workbookViewId="0">
      <selection activeCell="F84" sqref="F84"/>
    </sheetView>
  </sheetViews>
  <sheetFormatPr baseColWidth="8" defaultRowHeight="14.4"/>
  <cols>
    <col width="11" bestFit="1" customWidth="1" min="1" max="1"/>
    <col width="15.6640625" customWidth="1" min="2" max="2"/>
    <col width="32.44140625" bestFit="1" customWidth="1" min="3" max="3"/>
    <col width="16.5546875" customWidth="1" min="4" max="4"/>
    <col width="30.109375" bestFit="1" customWidth="1" min="5" max="5"/>
    <col width="32.44140625" bestFit="1" customWidth="1" min="6" max="7"/>
    <col width="30.109375" bestFit="1" customWidth="1" min="8" max="8"/>
    <col width="32.44140625" bestFit="1" customWidth="1" min="9" max="9"/>
    <col width="32.44140625" customWidth="1" min="10" max="10"/>
    <col width="25.5546875" customWidth="1" min="11" max="11"/>
    <col width="31.88671875" bestFit="1" customWidth="1" min="12" max="12"/>
    <col width="30.109375" bestFit="1" customWidth="1" min="13" max="13"/>
    <col width="35" bestFit="1" customWidth="1" min="14" max="14"/>
    <col width="33.33203125" bestFit="1" customWidth="1" min="15" max="15"/>
    <col width="33.33203125" customWidth="1" min="16" max="18"/>
    <col width="15.6640625" bestFit="1" customWidth="1" min="19" max="19"/>
    <col width="25.44140625" customWidth="1" min="20" max="20"/>
    <col width="32.88671875" customWidth="1" min="21" max="21"/>
    <col width="27.109375" customWidth="1" min="22" max="22"/>
    <col width="36.88671875" bestFit="1" customWidth="1" min="23" max="23"/>
    <col width="41.109375" customWidth="1" min="24" max="24"/>
    <col width="2.44140625" customWidth="1" min="25" max="25"/>
    <col width="11.6640625" bestFit="1" customWidth="1" min="28" max="28"/>
  </cols>
  <sheetData>
    <row r="1" ht="36" customHeight="1">
      <c r="A1" s="1319">
        <f>'01_Preço'!A1</f>
        <v/>
      </c>
      <c r="B1" s="1142" t="n"/>
      <c r="C1" s="1142" t="n"/>
      <c r="D1" s="1142" t="n"/>
      <c r="E1" s="1142" t="n"/>
      <c r="F1" s="1142" t="n"/>
      <c r="G1" s="1142" t="n"/>
      <c r="H1" s="1142" t="n"/>
      <c r="I1" s="1142" t="n"/>
      <c r="J1" s="1142" t="n"/>
      <c r="K1" s="1142" t="n"/>
      <c r="L1" s="1142" t="n"/>
      <c r="M1" s="1142" t="n"/>
      <c r="N1" s="1142" t="n"/>
      <c r="O1" s="1142" t="n"/>
      <c r="P1" s="1142" t="n"/>
      <c r="Q1" s="1142" t="n"/>
      <c r="R1" s="1142" t="n"/>
      <c r="S1" s="1142" t="n"/>
      <c r="T1" s="1142" t="n"/>
      <c r="U1" s="1142" t="n"/>
      <c r="V1" s="1142" t="n"/>
      <c r="W1" s="1142" t="n"/>
      <c r="X1" s="1320" t="n"/>
    </row>
    <row r="2" ht="21" customHeight="1" thickBot="1">
      <c r="A2" s="1321" t="inlineStr">
        <is>
          <t>TABELA TOTALIZADORA DOS PREÇOS DOS MATERIAIS E SERVIÇOS DA REFORMA E MODERNIZAÇÃO DA UHE SALTO GRANDE E MODERNIZAÇÃO E DIGITALIZAÇÃO DA SE UHE SALTO GRANDE – ATIVOS CEMIG D</t>
        </is>
      </c>
      <c r="B2" s="1210" t="n"/>
      <c r="C2" s="1210" t="n"/>
      <c r="D2" s="1210" t="n"/>
      <c r="E2" s="1210" t="n"/>
      <c r="F2" s="1210" t="n"/>
      <c r="G2" s="1210" t="n"/>
      <c r="H2" s="1210" t="n"/>
      <c r="I2" s="1210" t="n"/>
      <c r="J2" s="1210" t="n"/>
      <c r="K2" s="1210" t="n"/>
      <c r="L2" s="1210" t="n"/>
      <c r="M2" s="1210" t="n"/>
      <c r="N2" s="1210" t="n"/>
      <c r="O2" s="1210" t="n"/>
      <c r="P2" s="1210" t="n"/>
      <c r="Q2" s="1210" t="n"/>
      <c r="R2" s="1210" t="n"/>
      <c r="S2" s="1210" t="n"/>
      <c r="T2" s="1210" t="n"/>
      <c r="U2" s="1210" t="n"/>
      <c r="V2" s="1210" t="n"/>
      <c r="W2" s="1210" t="n"/>
      <c r="X2" s="1250" t="n"/>
    </row>
    <row r="3" ht="9" customHeight="1" thickBot="1">
      <c r="A3" s="30" t="n"/>
      <c r="B3" s="31" t="n"/>
      <c r="C3" s="31" t="n"/>
      <c r="D3" s="31" t="n"/>
      <c r="E3" s="31" t="n"/>
      <c r="F3" s="31" t="n"/>
      <c r="G3" s="31" t="n"/>
      <c r="H3" s="31" t="n"/>
      <c r="I3" s="31" t="n"/>
      <c r="J3" s="31" t="n"/>
      <c r="K3" s="31" t="n"/>
      <c r="L3" s="31" t="n"/>
      <c r="M3" s="31" t="n"/>
      <c r="N3" s="31" t="n"/>
      <c r="O3" s="31" t="n"/>
      <c r="P3" s="31" t="n"/>
      <c r="Q3" s="31" t="n"/>
      <c r="R3" s="31" t="n"/>
      <c r="S3" s="31" t="n"/>
      <c r="T3" s="31" t="n"/>
      <c r="U3" s="31" t="n"/>
      <c r="V3" s="31" t="n"/>
      <c r="W3" s="31" t="n"/>
      <c r="X3" s="32" t="n"/>
    </row>
    <row r="4" ht="21" customHeight="1">
      <c r="A4" s="801" t="inlineStr">
        <is>
          <t>OBJETO: CONTRATAÇÃO DE SERVIÇOS PARA EXECUÇÃO DA MODERNIZAÇÃO DA UHE SALTO GRANDE</t>
        </is>
      </c>
      <c r="B4" s="1142" t="n"/>
      <c r="C4" s="1142" t="n"/>
      <c r="D4" s="1142" t="n"/>
      <c r="E4" s="1142" t="n"/>
      <c r="F4" s="1142" t="n"/>
      <c r="G4" s="1142" t="n"/>
      <c r="H4" s="1142" t="n"/>
      <c r="I4" s="1142" t="n"/>
      <c r="J4" s="1142" t="n"/>
      <c r="K4" s="1142" t="n"/>
      <c r="L4" s="1142" t="n"/>
      <c r="M4" s="1142" t="n"/>
      <c r="N4" s="1142" t="n"/>
      <c r="O4" s="1142" t="n"/>
      <c r="P4" s="1142" t="n"/>
      <c r="Q4" s="1142" t="n"/>
      <c r="R4" s="1142" t="n"/>
      <c r="S4" s="1142" t="n"/>
      <c r="T4" s="1142" t="n"/>
      <c r="U4" s="803">
        <f>_xlfn.CONCAT('01_Preço'!M4,"  ",'01_Preço'!O4)</f>
        <v/>
      </c>
      <c r="V4" s="1142" t="n"/>
      <c r="W4" s="33" t="inlineStr">
        <is>
          <t>BASE ECONÔMICA TRIBUTÁRIA:</t>
        </is>
      </c>
      <c r="X4" s="1323">
        <f>'01_Preço'!V4</f>
        <v/>
      </c>
    </row>
    <row r="5" ht="21" customHeight="1">
      <c r="A5" s="804" t="inlineStr">
        <is>
          <t>NOME EMPRESA PROPONENTE:</t>
        </is>
      </c>
      <c r="B5" s="1201" t="n"/>
      <c r="C5" s="1144" t="n"/>
      <c r="D5" s="807">
        <f>'01_Preço'!C5</f>
        <v/>
      </c>
      <c r="E5" s="1201" t="n"/>
      <c r="F5" s="1201" t="n"/>
      <c r="G5" s="1201" t="n"/>
      <c r="H5" s="1201" t="n"/>
      <c r="I5" s="1201" t="n"/>
      <c r="J5" s="1201" t="n"/>
      <c r="K5" s="1201" t="n"/>
      <c r="L5" s="1201" t="n"/>
      <c r="M5" s="1201" t="n"/>
      <c r="N5" s="1201" t="n"/>
      <c r="O5" s="1201" t="n"/>
      <c r="P5" s="1201" t="n"/>
      <c r="Q5" s="1201" t="n"/>
      <c r="R5" s="1201" t="n"/>
      <c r="S5" s="1201" t="n"/>
      <c r="T5" s="1144" t="n"/>
      <c r="U5" s="810" t="inlineStr">
        <is>
          <t>Nº CNPJ:</t>
        </is>
      </c>
      <c r="V5" s="807">
        <f>'01_Preço'!L5</f>
        <v/>
      </c>
      <c r="W5" s="810" t="inlineStr">
        <is>
          <t>Nº INSC ESTADUAL:</t>
        </is>
      </c>
      <c r="X5" s="37">
        <f>'01_Preço'!Q5</f>
        <v/>
      </c>
    </row>
    <row r="6" ht="21" customHeight="1">
      <c r="A6" s="808" t="inlineStr">
        <is>
          <t>NOME REPRESENTANTE LEGAL:</t>
        </is>
      </c>
      <c r="B6" s="1201" t="n"/>
      <c r="C6" s="1144" t="n"/>
      <c r="D6" s="807">
        <f>'01_Preço'!C6</f>
        <v/>
      </c>
      <c r="E6" s="1201" t="n"/>
      <c r="F6" s="1201" t="n"/>
      <c r="G6" s="1201" t="n"/>
      <c r="H6" s="1201" t="n"/>
      <c r="I6" s="1201" t="n"/>
      <c r="J6" s="1201" t="n"/>
      <c r="K6" s="1201" t="n"/>
      <c r="L6" s="1201" t="n"/>
      <c r="M6" s="1201" t="n"/>
      <c r="N6" s="1201" t="n"/>
      <c r="O6" s="1201" t="n"/>
      <c r="P6" s="1201" t="n"/>
      <c r="Q6" s="1201" t="n"/>
      <c r="R6" s="1201" t="n"/>
      <c r="S6" s="1201" t="n"/>
      <c r="T6" s="1144" t="n"/>
      <c r="U6" s="810" t="inlineStr">
        <is>
          <t>Nº CPF:</t>
        </is>
      </c>
      <c r="V6" s="807">
        <f>'01_Preço'!L6</f>
        <v/>
      </c>
      <c r="W6" s="810" t="inlineStr">
        <is>
          <t>Nº IDENTIDADE:</t>
        </is>
      </c>
      <c r="X6" s="37">
        <f>'01_Preço'!Q6</f>
        <v/>
      </c>
    </row>
    <row r="7" ht="40.5" customHeight="1" thickBot="1">
      <c r="A7" s="1135" t="inlineStr">
        <is>
          <t>ASSINATURA DO REPRESENTANTE LEGAL DA EMPRESA:</t>
        </is>
      </c>
      <c r="B7" s="1210" t="n"/>
      <c r="C7" s="1210" t="n"/>
      <c r="D7" s="1151" t="n"/>
      <c r="E7" s="1326">
        <f>'01_Preço'!E7</f>
        <v/>
      </c>
      <c r="F7" s="1210" t="n"/>
      <c r="G7" s="1210" t="n"/>
      <c r="H7" s="1210" t="n"/>
      <c r="I7" s="1210" t="n"/>
      <c r="J7" s="1210" t="n"/>
      <c r="K7" s="1210" t="n"/>
      <c r="L7" s="1210" t="n"/>
      <c r="M7" s="1210" t="n"/>
      <c r="N7" s="1210" t="n"/>
      <c r="O7" s="1210" t="n"/>
      <c r="P7" s="1210" t="n"/>
      <c r="Q7" s="1210" t="n"/>
      <c r="R7" s="1210" t="n"/>
      <c r="S7" s="1210" t="n"/>
      <c r="T7" s="1210" t="n"/>
      <c r="U7" s="1210" t="n"/>
      <c r="V7" s="1151" t="n"/>
      <c r="W7" s="1136" t="inlineStr">
        <is>
          <t>DATA DE EMISSÃO:</t>
        </is>
      </c>
      <c r="X7" s="40">
        <f>'01_Preço'!V5</f>
        <v/>
      </c>
    </row>
    <row r="8" ht="9" customHeight="1" thickBot="1">
      <c r="A8" s="41" t="n"/>
      <c r="B8" s="42" t="n"/>
      <c r="C8" s="42" t="n"/>
      <c r="D8" s="42" t="n"/>
      <c r="E8" s="42" t="n"/>
      <c r="F8" s="42" t="n"/>
      <c r="G8" s="42" t="n"/>
      <c r="H8" s="42" t="n"/>
      <c r="I8" s="42" t="n"/>
      <c r="J8" s="42" t="n"/>
      <c r="K8" s="42" t="n"/>
      <c r="L8" s="42" t="n"/>
      <c r="M8" s="42" t="n"/>
      <c r="N8" s="42" t="n"/>
      <c r="O8" s="42" t="n"/>
      <c r="P8" s="42" t="n"/>
      <c r="Q8" s="42" t="n"/>
      <c r="R8" s="42" t="n"/>
      <c r="S8" s="42" t="n"/>
      <c r="T8" s="42" t="n"/>
      <c r="U8" s="42" t="n"/>
      <c r="V8" s="42" t="n"/>
      <c r="W8" s="42" t="n"/>
      <c r="X8" s="43" t="n"/>
    </row>
    <row r="9" ht="33.9" customHeight="1">
      <c r="A9" s="817" t="inlineStr">
        <is>
          <t>% DA ANTECIPAÇÃO SOLICITADA</t>
        </is>
      </c>
      <c r="B9" s="181" t="n"/>
      <c r="C9" s="1408" t="n"/>
      <c r="D9" s="823" t="n">
        <v>0.05</v>
      </c>
      <c r="E9" s="819" t="inlineStr">
        <is>
          <t>VALOR ANTECIPAÇÃO SOLICITADA</t>
        </is>
      </c>
      <c r="F9" s="1408" t="n"/>
      <c r="G9" s="819" t="inlineStr">
        <is>
          <t>Amortização</t>
        </is>
      </c>
      <c r="H9" s="1446">
        <f>SUM(H14:H82)</f>
        <v/>
      </c>
      <c r="I9" s="700" t="n"/>
      <c r="J9" s="700" t="n"/>
      <c r="K9" s="494" t="n"/>
      <c r="L9" s="494" t="n"/>
      <c r="M9" s="494" t="n"/>
      <c r="N9" s="494" t="n"/>
      <c r="O9" s="494" t="n"/>
      <c r="P9" s="494" t="n"/>
      <c r="Q9" s="494" t="n"/>
      <c r="R9" s="494" t="n"/>
      <c r="S9" s="1409">
        <f>D9*W9</f>
        <v/>
      </c>
      <c r="T9" s="1408" t="n"/>
      <c r="U9" s="827" t="inlineStr">
        <is>
          <t>PREÇO GLOBAL</t>
        </is>
      </c>
      <c r="V9" s="1408" t="n"/>
      <c r="W9" s="1410">
        <f>U83</f>
        <v/>
      </c>
      <c r="X9" s="1408" t="n"/>
    </row>
    <row r="10" ht="33.9" customHeight="1" thickBot="1">
      <c r="A10" s="1411" t="n"/>
      <c r="B10" s="1191" t="n"/>
      <c r="C10" s="1412" t="n"/>
      <c r="D10" s="1413" t="n"/>
      <c r="E10" s="1414" t="n"/>
      <c r="F10" s="1412" t="n"/>
      <c r="G10" s="822" t="inlineStr">
        <is>
          <t>Entrada</t>
        </is>
      </c>
      <c r="H10" s="1447">
        <f>O15</f>
        <v/>
      </c>
      <c r="I10" s="701" t="n"/>
      <c r="J10" s="701" t="n"/>
      <c r="K10" s="495" t="n"/>
      <c r="L10" s="495" t="n"/>
      <c r="M10" s="495" t="n"/>
      <c r="N10" s="495" t="n"/>
      <c r="O10" s="495" t="n"/>
      <c r="P10" s="495" t="n"/>
      <c r="Q10" s="495" t="n"/>
      <c r="R10" s="495" t="n"/>
      <c r="S10" s="1414" t="n"/>
      <c r="T10" s="1412" t="n"/>
      <c r="U10" s="1414" t="n"/>
      <c r="V10" s="1412" t="n"/>
      <c r="W10" s="1414" t="n"/>
      <c r="X10" s="1412" t="n"/>
    </row>
    <row r="11" ht="9" customHeight="1" thickBot="1">
      <c r="A11" s="44" t="n"/>
      <c r="B11" s="45" t="n"/>
      <c r="C11" s="45" t="n"/>
      <c r="D11" s="45" t="n"/>
      <c r="E11" s="45" t="n"/>
      <c r="F11" s="45" t="n"/>
      <c r="G11" s="45" t="n"/>
      <c r="H11" s="45" t="n"/>
      <c r="I11" s="45" t="n"/>
      <c r="J11" s="45" t="n"/>
      <c r="K11" s="45" t="n"/>
      <c r="L11" s="45" t="n"/>
      <c r="M11" s="45" t="n"/>
      <c r="N11" s="45" t="n"/>
      <c r="O11" s="45" t="n"/>
      <c r="P11" s="45" t="n"/>
      <c r="Q11" s="45" t="n"/>
      <c r="R11" s="45" t="n"/>
      <c r="S11" s="45" t="n"/>
      <c r="T11" s="45" t="n"/>
      <c r="U11" s="45" t="n"/>
      <c r="V11" s="45" t="n"/>
      <c r="W11" s="45" t="n"/>
      <c r="X11" s="46" t="n"/>
    </row>
    <row r="12" ht="53.25" customHeight="1">
      <c r="A12" s="1083" t="inlineStr">
        <is>
          <t>MÊS</t>
        </is>
      </c>
      <c r="B12" s="838" t="inlineStr">
        <is>
          <t>ESCOPO CEMIG GT</t>
        </is>
      </c>
      <c r="C12" s="1143" t="n"/>
      <c r="D12" s="838" t="inlineStr">
        <is>
          <t>ESCOPO CEMIG D</t>
        </is>
      </c>
      <c r="E12" s="1143" t="n"/>
      <c r="F12" s="1415" t="inlineStr">
        <is>
          <t>VALOR ACUMULADO (com todos os impostos) (R$)</t>
        </is>
      </c>
      <c r="G12" s="838" t="n"/>
      <c r="H12" s="838" t="n"/>
      <c r="I12" s="838" t="n"/>
      <c r="J12" s="704" t="n"/>
      <c r="K12" s="842" t="inlineStr">
        <is>
          <t>INSIGHT</t>
        </is>
      </c>
      <c r="L12" s="846" t="inlineStr">
        <is>
          <t xml:space="preserve">DESEMBOLSO ACUMULADO VALOR ACUMULADO </t>
        </is>
      </c>
      <c r="M12" s="846" t="inlineStr">
        <is>
          <t>FAT. DIRETO</t>
        </is>
      </c>
      <c r="N12" s="846" t="inlineStr">
        <is>
          <t xml:space="preserve">DESEMBOLSO TOTAL ACUMULADO VALOR ACUMULADO </t>
        </is>
      </c>
      <c r="O12" s="846" t="inlineStr">
        <is>
          <t>FATURAMENTO REALIZADO</t>
        </is>
      </c>
      <c r="P12" s="1416" t="inlineStr">
        <is>
          <t>FATURAMENTO ACUMULADO</t>
        </is>
      </c>
      <c r="Q12" s="1416" t="inlineStr">
        <is>
          <t>PROGRAMAÇÃO DE PEDIDOS REALIZADOS</t>
        </is>
      </c>
      <c r="R12" s="1416" t="inlineStr">
        <is>
          <t>PROGRAMAÇÃO ACUMULADA DE PEDIDOS REALIZADOS</t>
        </is>
      </c>
      <c r="S12" s="871" t="inlineStr">
        <is>
          <t>PREÇO DA REFORMA E MODERNIZAÇÃO DA UHE SALTO GRANDE</t>
        </is>
      </c>
      <c r="T12" s="1142" t="n"/>
      <c r="U12" s="1142" t="n"/>
      <c r="V12" s="1143" t="n"/>
      <c r="W12" s="1417">
        <f>C84</f>
        <v/>
      </c>
      <c r="X12" s="1143" t="n"/>
    </row>
    <row r="13" ht="53.25" customHeight="1" thickBot="1">
      <c r="A13" s="1418" t="n"/>
      <c r="B13" s="47" t="inlineStr">
        <is>
          <t>EVENTOS NO MÊS</t>
        </is>
      </c>
      <c r="C13" s="47" t="inlineStr">
        <is>
          <t>VALOR TOTAL MENSAL  (com todos os impostos) (R$)</t>
        </is>
      </c>
      <c r="D13" s="47" t="inlineStr">
        <is>
          <t>EVENTOS NO MÊS</t>
        </is>
      </c>
      <c r="E13" s="47" t="inlineStr">
        <is>
          <t>VALOR TOTAL MENSAL  (com todos os impostos) (R$)</t>
        </is>
      </c>
      <c r="F13" s="1419" t="n"/>
      <c r="G13" s="47" t="inlineStr">
        <is>
          <t>VALOR DA MEDIÇÃO PELA INSIGHT</t>
        </is>
      </c>
      <c r="H13" s="47" t="inlineStr">
        <is>
          <t xml:space="preserve">VALOR A AMORTIZAR </t>
        </is>
      </c>
      <c r="I13" s="47" t="inlineStr">
        <is>
          <t>VALOR PARA ENTRAR EM CAIXA DA INSIGHT</t>
        </is>
      </c>
      <c r="J13" s="705" t="inlineStr">
        <is>
          <t>VALOR A RECEBER (INSIGHT + DIRETO)</t>
        </is>
      </c>
      <c r="K13" s="843" t="inlineStr">
        <is>
          <t>DESEMBOLSO MENSAL</t>
        </is>
      </c>
      <c r="L13" s="1420" t="n"/>
      <c r="M13" s="847" t="inlineStr">
        <is>
          <t>DESEMBOLSO MENSAL</t>
        </is>
      </c>
      <c r="N13" s="1420" t="n"/>
      <c r="O13" s="1420" t="n"/>
      <c r="P13" s="1187" t="n"/>
      <c r="Q13" s="1187" t="n"/>
      <c r="R13" s="1187" t="n"/>
      <c r="S13" s="875" t="inlineStr">
        <is>
          <t>PREÇO DA MODERNIZAÇÃO E DIGITALIZAÇÃO DA SE UHE SALTO GRANDE - ATIVO CEMIG D</t>
        </is>
      </c>
      <c r="T13" s="1210" t="n"/>
      <c r="U13" s="1210" t="n"/>
      <c r="V13" s="1151" t="n"/>
      <c r="W13" s="1421">
        <f>E84</f>
        <v/>
      </c>
      <c r="X13" s="1151" t="n"/>
    </row>
    <row r="14" ht="15" customHeight="1">
      <c r="A14" s="251" t="n">
        <v>1</v>
      </c>
      <c r="B14" s="252">
        <f>SUM(COUNTIF('03_Eventos_pagamentos'!$E$11:$E$697,'04_TOTALIZADORA'!A14)+COUNTIF('03_Eventos_pagamentos'!$E$766:$E$836,'04_TOTALIZADORA'!A14))</f>
        <v/>
      </c>
      <c r="C14" s="1422">
        <f>SUMIF('03_Eventos_pagamentos'!$E$11:$E$699,A14,'03_Eventos_pagamentos'!$O$11:$O$697)+SUMIF('03_Eventos_pagamentos'!$E$766:$E$836,A14,'03_Eventos_pagamentos'!$O$766:$O$836)</f>
        <v/>
      </c>
      <c r="D14" s="252">
        <f>COUNTIF('03_Eventos_pagamentos'!$E$702:$E$763,'04_TOTALIZADORA'!A14)</f>
        <v/>
      </c>
      <c r="E14" s="1423">
        <f>SUMIF('03_Eventos_pagamentos'!$E$702:$E$763,A14,'03_Eventos_pagamentos'!$O$702:$O$763)</f>
        <v/>
      </c>
      <c r="F14" s="1424">
        <f>C14+E14</f>
        <v/>
      </c>
      <c r="G14" s="1448">
        <f>SUMIF('03_Eventos_pagamentos'!$E$11:$E$699,F14,'03_Eventos_pagamentos'!$O$11:$O$697)+SUMIF('03_Eventos_pagamentos'!$E$766:$E$836,F14,'03_Eventos_pagamentos'!$O$766:$O$836)</f>
        <v/>
      </c>
      <c r="H14" s="1449">
        <f>SUMIF('03_Eventos_pagamentos'!$E$702:$E$763,F14,'03_Eventos_pagamentos'!$O$702:$O$763)</f>
        <v/>
      </c>
      <c r="I14" s="1449">
        <f>H10</f>
        <v/>
      </c>
      <c r="J14" s="1450">
        <f>I14+M14</f>
        <v/>
      </c>
      <c r="K14" s="1425">
        <f>SUMIF('03_Eventos_pagamentos'!$P$11:$P$843,A15,'03_Eventos_pagamentos'!$Q$11:$Q$843)</f>
        <v/>
      </c>
      <c r="L14" s="1426" t="n"/>
      <c r="M14" s="1427">
        <f>SUMIFS( '03_Eventos_pagamentos'!$O$11:$O$843,'03_Eventos_pagamentos'!$E$11:$E$843,A14,'03_Eventos_pagamentos'!$I$11:$I$843,"FAT. DIRETO")</f>
        <v/>
      </c>
      <c r="N14" s="1426">
        <f>L14+M14</f>
        <v/>
      </c>
      <c r="O14" s="1424" t="n">
        <v>0</v>
      </c>
      <c r="P14" s="1424">
        <f>O14</f>
        <v/>
      </c>
      <c r="Q14" s="1451" t="n">
        <v>9546933.060000001</v>
      </c>
      <c r="R14" s="1451">
        <f>Q14</f>
        <v/>
      </c>
      <c r="S14" s="1428" t="n"/>
      <c r="T14" s="1429" t="n"/>
      <c r="U14" s="1429" t="n"/>
      <c r="V14" s="1429" t="n"/>
      <c r="W14" s="1429" t="n"/>
      <c r="X14" s="1430" t="n"/>
    </row>
    <row r="15">
      <c r="A15" s="523" t="n">
        <v>2</v>
      </c>
      <c r="B15" s="48">
        <f>SUM(COUNTIF('03_Eventos_pagamentos'!$E$11:$E$697,'04_TOTALIZADORA'!A15)+COUNTIF('03_Eventos_pagamentos'!$E$766:$E$836,'04_TOTALIZADORA'!A15))</f>
        <v/>
      </c>
      <c r="C15" s="1422">
        <f>SUMIF('03_Eventos_pagamentos'!$E$11:$E$699,A15,'03_Eventos_pagamentos'!$O$11:$O$697)+SUMIF('03_Eventos_pagamentos'!$E$766:$E$836,A15,'03_Eventos_pagamentos'!$O$766:$O$836)</f>
        <v/>
      </c>
      <c r="D15" s="48">
        <f>COUNTIF('03_Eventos_pagamentos'!$E$702:$E$763,'04_TOTALIZADORA'!A15)</f>
        <v/>
      </c>
      <c r="E15" s="1427">
        <f>SUMIF('03_Eventos_pagamentos'!$E$702:$E$763,A15,'03_Eventos_pagamentos'!$O$702:$O$763)</f>
        <v/>
      </c>
      <c r="F15" s="1431">
        <f>C15+E15+F14</f>
        <v/>
      </c>
      <c r="G15" s="1448" t="n"/>
      <c r="H15" s="1452">
        <f>SUMIF('03_Eventos_pagamentos'!$E$702:$E$763,F15,'03_Eventos_pagamentos'!$O$702:$O$763)</f>
        <v/>
      </c>
      <c r="I15" s="1452">
        <f>G15-H15</f>
        <v/>
      </c>
      <c r="J15" s="1450">
        <f>I15+M15</f>
        <v/>
      </c>
      <c r="K15" s="1425">
        <f>SUMIF('03_Eventos_pagamentos'!$P$11:$P$843,A16,'03_Eventos_pagamentos'!$Q$11:$Q$843)</f>
        <v/>
      </c>
      <c r="L15" s="1432">
        <f>K15+L14</f>
        <v/>
      </c>
      <c r="M15" s="1427">
        <f>SUMIFS( '03_Eventos_pagamentos'!$O$11:$O$843,'03_Eventos_pagamentos'!$E$11:$E$843,A15,'03_Eventos_pagamentos'!$I$11:$I$843,"FAT. DIRETO")</f>
        <v/>
      </c>
      <c r="N15" s="1432">
        <f>K15+M15+N14</f>
        <v/>
      </c>
      <c r="O15" s="1431">
        <f>X83</f>
        <v/>
      </c>
      <c r="P15" s="1431">
        <f>O15+P14</f>
        <v/>
      </c>
      <c r="Q15" s="1438" t="n"/>
      <c r="R15" s="1438" t="n"/>
      <c r="S15" s="1433" t="n"/>
      <c r="T15" s="1434" t="n"/>
      <c r="U15" s="1434" t="n"/>
      <c r="V15" s="1434" t="n"/>
      <c r="W15" s="1434" t="n"/>
      <c r="X15" s="1435" t="n"/>
    </row>
    <row r="16">
      <c r="A16" s="523" t="n">
        <v>3</v>
      </c>
      <c r="B16" s="48">
        <f>SUM(COUNTIF('03_Eventos_pagamentos'!$E$11:$E$697,'04_TOTALIZADORA'!A16)+COUNTIF('03_Eventos_pagamentos'!$E$766:$E$836,'04_TOTALIZADORA'!A16))</f>
        <v/>
      </c>
      <c r="C16" s="1422">
        <f>SUMIF('03_Eventos_pagamentos'!$E$11:$E$699,A16,'03_Eventos_pagamentos'!$O$11:$O$697)+SUMIF('03_Eventos_pagamentos'!$E$766:$E$836,A16,'03_Eventos_pagamentos'!$O$766:$O$836)</f>
        <v/>
      </c>
      <c r="D16" s="48">
        <f>COUNTIF('03_Eventos_pagamentos'!$E$702:$E$763,'04_TOTALIZADORA'!A16)</f>
        <v/>
      </c>
      <c r="E16" s="1427">
        <f>SUMIF('03_Eventos_pagamentos'!$E$702:$E$763,A16,'03_Eventos_pagamentos'!$O$702:$O$763)</f>
        <v/>
      </c>
      <c r="F16" s="1431">
        <f>C16+E16+F15</f>
        <v/>
      </c>
      <c r="G16" s="1448">
        <f>C16+E16-M16</f>
        <v/>
      </c>
      <c r="H16" s="1452">
        <f>SUMIF('03_Eventos_pagamentos'!$E$702:$E$763,F16,'03_Eventos_pagamentos'!$O$702:$O$763)</f>
        <v/>
      </c>
      <c r="I16" s="1452">
        <f>G16-H16</f>
        <v/>
      </c>
      <c r="J16" s="1450">
        <f>I16+M16</f>
        <v/>
      </c>
      <c r="K16" s="1425">
        <f>SUMIF('03_Eventos_pagamentos'!$P$11:$P$843,A17,'03_Eventos_pagamentos'!$Q$11:$Q$843)</f>
        <v/>
      </c>
      <c r="L16" s="1432">
        <f>K16+L15</f>
        <v/>
      </c>
      <c r="M16" s="1427">
        <f>SUMIFS( '03_Eventos_pagamentos'!$O$11:$O$843,'03_Eventos_pagamentos'!$E$11:$E$843,A16,'03_Eventos_pagamentos'!$I$11:$I$843,"FAT. DIRETO")</f>
        <v/>
      </c>
      <c r="N16" s="1432">
        <f>K16+M16+N15</f>
        <v/>
      </c>
      <c r="O16" s="1431" t="n"/>
      <c r="P16" s="1431">
        <f>O16+P15</f>
        <v/>
      </c>
      <c r="Q16" s="1438" t="n"/>
      <c r="R16" s="1438" t="n"/>
      <c r="S16" s="1433" t="n"/>
      <c r="T16" s="1434" t="n"/>
      <c r="U16" s="1434" t="n"/>
      <c r="V16" s="1434" t="n"/>
      <c r="W16" s="1434" t="n"/>
      <c r="X16" s="1435" t="n"/>
    </row>
    <row r="17">
      <c r="A17" s="523" t="n">
        <v>4</v>
      </c>
      <c r="B17" s="48">
        <f>SUM(COUNTIF('03_Eventos_pagamentos'!$E$11:$E$697,'04_TOTALIZADORA'!A17)+COUNTIF('03_Eventos_pagamentos'!$E$766:$E$836,'04_TOTALIZADORA'!A17))</f>
        <v/>
      </c>
      <c r="C17" s="1422">
        <f>SUMIF('03_Eventos_pagamentos'!$E$11:$E$699,A17,'03_Eventos_pagamentos'!$O$11:$O$697)+SUMIF('03_Eventos_pagamentos'!$E$766:$E$836,A17,'03_Eventos_pagamentos'!$O$766:$O$836)</f>
        <v/>
      </c>
      <c r="D17" s="48">
        <f>COUNTIF('03_Eventos_pagamentos'!$E$702:$E$763,'04_TOTALIZADORA'!A17)</f>
        <v/>
      </c>
      <c r="E17" s="1427">
        <f>SUMIF('03_Eventos_pagamentos'!$E$702:$E$763,A17,'03_Eventos_pagamentos'!$O$702:$O$763)</f>
        <v/>
      </c>
      <c r="F17" s="1431">
        <f>C17+E17+F16</f>
        <v/>
      </c>
      <c r="G17" s="1448">
        <f>C17+E17-M17</f>
        <v/>
      </c>
      <c r="H17" s="1452">
        <f>SUMIF('03_Eventos_pagamentos'!$E$702:$E$763,F17,'03_Eventos_pagamentos'!$O$702:$O$763)</f>
        <v/>
      </c>
      <c r="I17" s="1452">
        <f>G17-H17</f>
        <v/>
      </c>
      <c r="J17" s="1450">
        <f>I17+M17</f>
        <v/>
      </c>
      <c r="K17" s="1425">
        <f>SUMIF('03_Eventos_pagamentos'!$P$11:$P$843,A18,'03_Eventos_pagamentos'!$Q$11:$Q$843)</f>
        <v/>
      </c>
      <c r="L17" s="1432">
        <f>K17+L16</f>
        <v/>
      </c>
      <c r="M17" s="1427">
        <f>SUMIFS( '03_Eventos_pagamentos'!$O$11:$O$843,'03_Eventos_pagamentos'!$E$11:$E$843,A17,'03_Eventos_pagamentos'!$I$11:$I$843,"FAT. DIRETO")</f>
        <v/>
      </c>
      <c r="N17" s="1432">
        <f>K17+M17+N16</f>
        <v/>
      </c>
      <c r="O17" s="1431" t="n"/>
      <c r="P17" s="1431">
        <f>O17+P16</f>
        <v/>
      </c>
      <c r="Q17" s="1438" t="n"/>
      <c r="R17" s="1438" t="n"/>
      <c r="S17" s="1433" t="n"/>
      <c r="T17" s="1434" t="n"/>
      <c r="U17" s="1434" t="n"/>
      <c r="V17" s="1434" t="n"/>
      <c r="W17" s="1434" t="n"/>
      <c r="X17" s="1435" t="n"/>
    </row>
    <row r="18">
      <c r="A18" s="523" t="n">
        <v>5</v>
      </c>
      <c r="B18" s="48">
        <f>SUM(COUNTIF('03_Eventos_pagamentos'!$E$11:$E$697,'04_TOTALIZADORA'!A18)+COUNTIF('03_Eventos_pagamentos'!$E$766:$E$836,'04_TOTALIZADORA'!A18))</f>
        <v/>
      </c>
      <c r="C18" s="1422">
        <f>SUMIF('03_Eventos_pagamentos'!$E$11:$E$699,A18,'03_Eventos_pagamentos'!$O$11:$O$697)+SUMIF('03_Eventos_pagamentos'!$E$766:$E$836,A18,'03_Eventos_pagamentos'!$O$766:$O$836)</f>
        <v/>
      </c>
      <c r="D18" s="48">
        <f>COUNTIF('03_Eventos_pagamentos'!$E$702:$E$763,'04_TOTALIZADORA'!A18)</f>
        <v/>
      </c>
      <c r="E18" s="1427">
        <f>SUMIF('03_Eventos_pagamentos'!$E$702:$E$763,A18,'03_Eventos_pagamentos'!$O$702:$O$763)</f>
        <v/>
      </c>
      <c r="F18" s="1431">
        <f>C18+E18+F17</f>
        <v/>
      </c>
      <c r="G18" s="1448">
        <f>C18+E18-M18</f>
        <v/>
      </c>
      <c r="H18" s="1452">
        <f>SUMIF('03_Eventos_pagamentos'!$E$702:$E$763,F18,'03_Eventos_pagamentos'!$O$702:$O$763)</f>
        <v/>
      </c>
      <c r="I18" s="1452">
        <f>G18-H18</f>
        <v/>
      </c>
      <c r="J18" s="1450">
        <f>I18+M18</f>
        <v/>
      </c>
      <c r="K18" s="1425">
        <f>SUMIF('03_Eventos_pagamentos'!$P$11:$P$843,A19,'03_Eventos_pagamentos'!$Q$11:$Q$843)</f>
        <v/>
      </c>
      <c r="L18" s="1432">
        <f>K18+L17</f>
        <v/>
      </c>
      <c r="M18" s="1427">
        <f>SUMIFS( '03_Eventos_pagamentos'!$O$11:$O$843,'03_Eventos_pagamentos'!$E$11:$E$843,A18,'03_Eventos_pagamentos'!$I$11:$I$843,"FAT. DIRETO")</f>
        <v/>
      </c>
      <c r="N18" s="1432">
        <f>K18+M18+N17</f>
        <v/>
      </c>
      <c r="O18" s="1431" t="n"/>
      <c r="P18" s="1431">
        <f>O18+P17</f>
        <v/>
      </c>
      <c r="Q18" s="1438" t="n"/>
      <c r="R18" s="1438" t="n"/>
      <c r="S18" s="1433" t="n"/>
      <c r="T18" s="1434" t="n"/>
      <c r="U18" s="1434" t="n"/>
      <c r="V18" s="1434" t="n"/>
      <c r="W18" s="1434" t="n"/>
      <c r="X18" s="1435" t="n"/>
    </row>
    <row r="19">
      <c r="A19" s="523" t="n">
        <v>6</v>
      </c>
      <c r="B19" s="48">
        <f>SUM(COUNTIF('03_Eventos_pagamentos'!$E$11:$E$697,'04_TOTALIZADORA'!A19)+COUNTIF('03_Eventos_pagamentos'!$E$766:$E$836,'04_TOTALIZADORA'!A19))</f>
        <v/>
      </c>
      <c r="C19" s="1422">
        <f>SUMIF('03_Eventos_pagamentos'!$E$11:$E$699,A19,'03_Eventos_pagamentos'!$O$11:$O$697)+SUMIF('03_Eventos_pagamentos'!$E$766:$E$836,A19,'03_Eventos_pagamentos'!$O$766:$O$836)</f>
        <v/>
      </c>
      <c r="D19" s="48">
        <f>COUNTIF('03_Eventos_pagamentos'!$E$702:$E$763,'04_TOTALIZADORA'!A19)</f>
        <v/>
      </c>
      <c r="E19" s="1427">
        <f>SUMIF('03_Eventos_pagamentos'!$E$702:$E$763,A19,'03_Eventos_pagamentos'!$O$702:$O$763)</f>
        <v/>
      </c>
      <c r="F19" s="1431">
        <f>C19+E19+F18</f>
        <v/>
      </c>
      <c r="G19" s="1448">
        <f>C19+E19-M19</f>
        <v/>
      </c>
      <c r="H19" s="1452">
        <f>SUMIF('03_Eventos_pagamentos'!$E$702:$E$763,F19,'03_Eventos_pagamentos'!$O$702:$O$763)</f>
        <v/>
      </c>
      <c r="I19" s="1452">
        <f>G19-H19</f>
        <v/>
      </c>
      <c r="J19" s="1450">
        <f>I19+M19</f>
        <v/>
      </c>
      <c r="K19" s="1425">
        <f>SUMIF('03_Eventos_pagamentos'!$P$11:$P$843,A20,'03_Eventos_pagamentos'!$Q$11:$Q$843)</f>
        <v/>
      </c>
      <c r="L19" s="1432">
        <f>K19+L18</f>
        <v/>
      </c>
      <c r="M19" s="1427">
        <f>SUMIFS( '03_Eventos_pagamentos'!$O$11:$O$843,'03_Eventos_pagamentos'!$E$11:$E$843,A19,'03_Eventos_pagamentos'!$I$11:$I$843,"FAT. DIRETO")</f>
        <v/>
      </c>
      <c r="N19" s="1432">
        <f>K19+M19+N18</f>
        <v/>
      </c>
      <c r="O19" s="1431" t="n"/>
      <c r="P19" s="1431">
        <f>O19+P18</f>
        <v/>
      </c>
      <c r="Q19" s="1438" t="n"/>
      <c r="R19" s="1438" t="n"/>
      <c r="S19" s="1433" t="n"/>
      <c r="T19" s="1434" t="n"/>
      <c r="U19" s="1434" t="n"/>
      <c r="V19" s="1434" t="n"/>
      <c r="W19" s="1434" t="n"/>
      <c r="X19" s="1435" t="n"/>
    </row>
    <row r="20">
      <c r="A20" s="523" t="n">
        <v>7</v>
      </c>
      <c r="B20" s="48">
        <f>SUM(COUNTIF('03_Eventos_pagamentos'!$E$11:$E$697,'04_TOTALIZADORA'!A20)+COUNTIF('03_Eventos_pagamentos'!$E$766:$E$836,'04_TOTALIZADORA'!A20))</f>
        <v/>
      </c>
      <c r="C20" s="1422">
        <f>SUMIF('03_Eventos_pagamentos'!$E$11:$E$699,A20,'03_Eventos_pagamentos'!$O$11:$O$697)+SUMIF('03_Eventos_pagamentos'!$E$766:$E$836,A20,'03_Eventos_pagamentos'!$O$766:$O$836)</f>
        <v/>
      </c>
      <c r="D20" s="48">
        <f>COUNTIF('03_Eventos_pagamentos'!$E$702:$E$763,'04_TOTALIZADORA'!A20)</f>
        <v/>
      </c>
      <c r="E20" s="1427">
        <f>SUMIF('03_Eventos_pagamentos'!$E$702:$E$763,A20,'03_Eventos_pagamentos'!$O$702:$O$763)</f>
        <v/>
      </c>
      <c r="F20" s="1431">
        <f>C20+E20+F19</f>
        <v/>
      </c>
      <c r="G20" s="1448">
        <f>C20+E20-M20</f>
        <v/>
      </c>
      <c r="H20" s="1452">
        <f>SUMIF('03_Eventos_pagamentos'!$E$702:$E$763,F20,'03_Eventos_pagamentos'!$O$702:$O$763)</f>
        <v/>
      </c>
      <c r="I20" s="1452">
        <f>G20-H20</f>
        <v/>
      </c>
      <c r="J20" s="1450">
        <f>I20+M20</f>
        <v/>
      </c>
      <c r="K20" s="1425">
        <f>SUMIF('03_Eventos_pagamentos'!$P$11:$P$843,A21,'03_Eventos_pagamentos'!$Q$11:$Q$843)</f>
        <v/>
      </c>
      <c r="L20" s="1432">
        <f>K20+L19</f>
        <v/>
      </c>
      <c r="M20" s="1427">
        <f>SUMIFS( '03_Eventos_pagamentos'!$O$11:$O$843,'03_Eventos_pagamentos'!$E$11:$E$843,A20,'03_Eventos_pagamentos'!$I$11:$I$843,"FAT. DIRETO")</f>
        <v/>
      </c>
      <c r="N20" s="1432">
        <f>K20+M20+N19</f>
        <v/>
      </c>
      <c r="O20" s="1431" t="n"/>
      <c r="P20" s="1431">
        <f>O20+P19</f>
        <v/>
      </c>
      <c r="Q20" s="1438" t="n"/>
      <c r="R20" s="1438" t="n"/>
      <c r="S20" s="1433" t="n"/>
      <c r="T20" s="1434" t="n"/>
      <c r="U20" s="1434" t="n"/>
      <c r="V20" s="1434" t="n"/>
      <c r="W20" s="1434" t="n"/>
      <c r="X20" s="1435" t="n"/>
    </row>
    <row r="21">
      <c r="A21" s="523" t="n">
        <v>8</v>
      </c>
      <c r="B21" s="48">
        <f>SUM(COUNTIF('03_Eventos_pagamentos'!$E$11:$E$697,'04_TOTALIZADORA'!A21)+COUNTIF('03_Eventos_pagamentos'!$E$766:$E$836,'04_TOTALIZADORA'!A21))</f>
        <v/>
      </c>
      <c r="C21" s="1422">
        <f>SUMIF('03_Eventos_pagamentos'!$E$11:$E$699,A21,'03_Eventos_pagamentos'!$O$11:$O$697)+SUMIF('03_Eventos_pagamentos'!$E$766:$E$836,A21,'03_Eventos_pagamentos'!$O$766:$O$836)</f>
        <v/>
      </c>
      <c r="D21" s="48">
        <f>COUNTIF('03_Eventos_pagamentos'!$E$702:$E$763,'04_TOTALIZADORA'!A21)</f>
        <v/>
      </c>
      <c r="E21" s="1427">
        <f>SUMIF('03_Eventos_pagamentos'!$E$702:$E$763,A21,'03_Eventos_pagamentos'!$O$702:$O$763)</f>
        <v/>
      </c>
      <c r="F21" s="1431">
        <f>C21+E21+F20</f>
        <v/>
      </c>
      <c r="G21" s="1448">
        <f>C21+E21-M21</f>
        <v/>
      </c>
      <c r="H21" s="1452">
        <f>SUMIF('03_Eventos_pagamentos'!$E$702:$E$763,F21,'03_Eventos_pagamentos'!$O$702:$O$763)</f>
        <v/>
      </c>
      <c r="I21" s="1452">
        <f>G21-H21</f>
        <v/>
      </c>
      <c r="J21" s="1450">
        <f>I21+M21</f>
        <v/>
      </c>
      <c r="K21" s="1425">
        <f>SUMIF('03_Eventos_pagamentos'!$P$11:$P$843,A22,'03_Eventos_pagamentos'!$Q$11:$Q$843)</f>
        <v/>
      </c>
      <c r="L21" s="1432">
        <f>K21+L20</f>
        <v/>
      </c>
      <c r="M21" s="1427">
        <f>SUMIFS( '03_Eventos_pagamentos'!$O$11:$O$843,'03_Eventos_pagamentos'!$E$11:$E$843,A21,'03_Eventos_pagamentos'!$I$11:$I$843,"FAT. DIRETO")</f>
        <v/>
      </c>
      <c r="N21" s="1432">
        <f>K21+M21+N20</f>
        <v/>
      </c>
      <c r="O21" s="1431" t="n"/>
      <c r="P21" s="1431">
        <f>O21+P20</f>
        <v/>
      </c>
      <c r="Q21" s="1438" t="n"/>
      <c r="R21" s="1438" t="n"/>
      <c r="S21" s="1433" t="n"/>
      <c r="T21" s="1434" t="n"/>
      <c r="U21" s="1434" t="n"/>
      <c r="V21" s="1434" t="n"/>
      <c r="W21" s="1434" t="n"/>
      <c r="X21" s="1435" t="n"/>
    </row>
    <row r="22">
      <c r="A22" s="523" t="n">
        <v>9</v>
      </c>
      <c r="B22" s="48">
        <f>SUM(COUNTIF('03_Eventos_pagamentos'!$E$11:$E$697,'04_TOTALIZADORA'!A22)+COUNTIF('03_Eventos_pagamentos'!$E$766:$E$836,'04_TOTALIZADORA'!A22))</f>
        <v/>
      </c>
      <c r="C22" s="1422">
        <f>SUMIF('03_Eventos_pagamentos'!$E$11:$E$699,A22,'03_Eventos_pagamentos'!$O$11:$O$697)+SUMIF('03_Eventos_pagamentos'!$E$766:$E$836,A22,'03_Eventos_pagamentos'!$O$766:$O$836)</f>
        <v/>
      </c>
      <c r="D22" s="48">
        <f>COUNTIF('03_Eventos_pagamentos'!$E$702:$E$763,'04_TOTALIZADORA'!A22)</f>
        <v/>
      </c>
      <c r="E22" s="1427">
        <f>SUMIF('03_Eventos_pagamentos'!$E$702:$E$763,A22,'03_Eventos_pagamentos'!$O$702:$O$763)</f>
        <v/>
      </c>
      <c r="F22" s="1431">
        <f>C22+E22+F21</f>
        <v/>
      </c>
      <c r="G22" s="1448">
        <f>C22+E22-M22</f>
        <v/>
      </c>
      <c r="H22" s="1452">
        <f>SUMIF('03_Eventos_pagamentos'!$E$702:$E$763,F22,'03_Eventos_pagamentos'!$O$702:$O$763)</f>
        <v/>
      </c>
      <c r="I22" s="1452">
        <f>G22-H22</f>
        <v/>
      </c>
      <c r="J22" s="1450">
        <f>I22+M22</f>
        <v/>
      </c>
      <c r="K22" s="1425">
        <f>SUMIF('03_Eventos_pagamentos'!$P$11:$P$843,A23,'03_Eventos_pagamentos'!$Q$11:$Q$843)</f>
        <v/>
      </c>
      <c r="L22" s="1432">
        <f>K22+L21</f>
        <v/>
      </c>
      <c r="M22" s="1427">
        <f>SUMIFS( '03_Eventos_pagamentos'!$O$11:$O$843,'03_Eventos_pagamentos'!$E$11:$E$843,A22,'03_Eventos_pagamentos'!$I$11:$I$843,"FAT. DIRETO")</f>
        <v/>
      </c>
      <c r="N22" s="1432">
        <f>K22+M22+N21</f>
        <v/>
      </c>
      <c r="O22" s="1431" t="n"/>
      <c r="P22" s="1431">
        <f>O22+P21</f>
        <v/>
      </c>
      <c r="Q22" s="1438" t="n"/>
      <c r="R22" s="1438" t="n"/>
      <c r="S22" s="1433" t="n"/>
      <c r="T22" s="1434" t="n"/>
      <c r="U22" s="1434" t="n"/>
      <c r="V22" s="1434" t="n"/>
      <c r="W22" s="1434" t="n"/>
      <c r="X22" s="1435" t="n"/>
    </row>
    <row r="23">
      <c r="A23" s="523" t="n">
        <v>10</v>
      </c>
      <c r="B23" s="48">
        <f>SUM(COUNTIF('03_Eventos_pagamentos'!$E$11:$E$697,'04_TOTALIZADORA'!A23)+COUNTIF('03_Eventos_pagamentos'!$E$766:$E$836,'04_TOTALIZADORA'!A23))</f>
        <v/>
      </c>
      <c r="C23" s="1422">
        <f>SUMIF('03_Eventos_pagamentos'!$E$11:$E$699,A23,'03_Eventos_pagamentos'!$O$11:$O$697)+SUMIF('03_Eventos_pagamentos'!$E$766:$E$836,A23,'03_Eventos_pagamentos'!$O$766:$O$836)</f>
        <v/>
      </c>
      <c r="D23" s="48">
        <f>COUNTIF('03_Eventos_pagamentos'!$E$702:$E$763,'04_TOTALIZADORA'!A23)</f>
        <v/>
      </c>
      <c r="E23" s="1427">
        <f>SUMIF('03_Eventos_pagamentos'!$E$702:$E$763,A23,'03_Eventos_pagamentos'!$O$702:$O$763)</f>
        <v/>
      </c>
      <c r="F23" s="1431">
        <f>C23+E23+F22</f>
        <v/>
      </c>
      <c r="G23" s="1448">
        <f>C23+E23-M23</f>
        <v/>
      </c>
      <c r="H23" s="1452">
        <f>SUMIF('03_Eventos_pagamentos'!$E$702:$E$763,F23,'03_Eventos_pagamentos'!$O$702:$O$763)</f>
        <v/>
      </c>
      <c r="I23" s="1452">
        <f>G23-H23</f>
        <v/>
      </c>
      <c r="J23" s="1450">
        <f>I23+M23</f>
        <v/>
      </c>
      <c r="K23" s="1425">
        <f>SUMIF('03_Eventos_pagamentos'!$P$11:$P$843,A24,'03_Eventos_pagamentos'!$Q$11:$Q$843)</f>
        <v/>
      </c>
      <c r="L23" s="1432">
        <f>K23+L22</f>
        <v/>
      </c>
      <c r="M23" s="1427">
        <f>SUMIFS( '03_Eventos_pagamentos'!$O$11:$O$843,'03_Eventos_pagamentos'!$E$11:$E$843,A23,'03_Eventos_pagamentos'!$I$11:$I$843,"FAT. DIRETO")</f>
        <v/>
      </c>
      <c r="N23" s="1432">
        <f>K23+M23+N22</f>
        <v/>
      </c>
      <c r="O23" s="1431" t="n"/>
      <c r="P23" s="1431">
        <f>O23+P22</f>
        <v/>
      </c>
      <c r="Q23" s="1438" t="n"/>
      <c r="R23" s="1438" t="n"/>
      <c r="S23" s="1433" t="n"/>
      <c r="T23" s="1434" t="n"/>
      <c r="U23" s="1434" t="n"/>
      <c r="V23" s="1434" t="n"/>
      <c r="W23" s="1434" t="n"/>
      <c r="X23" s="1435" t="n"/>
    </row>
    <row r="24">
      <c r="A24" s="523" t="n">
        <v>11</v>
      </c>
      <c r="B24" s="48">
        <f>SUM(COUNTIF('03_Eventos_pagamentos'!$E$11:$E$697,'04_TOTALIZADORA'!A24)+COUNTIF('03_Eventos_pagamentos'!$E$766:$E$836,'04_TOTALIZADORA'!A24))</f>
        <v/>
      </c>
      <c r="C24" s="1422">
        <f>SUMIF('03_Eventos_pagamentos'!$E$11:$E$699,A24,'03_Eventos_pagamentos'!$O$11:$O$697)+SUMIF('03_Eventos_pagamentos'!$E$766:$E$836,A24,'03_Eventos_pagamentos'!$O$766:$O$836)</f>
        <v/>
      </c>
      <c r="D24" s="48">
        <f>COUNTIF('03_Eventos_pagamentos'!$E$702:$E$763,'04_TOTALIZADORA'!A24)</f>
        <v/>
      </c>
      <c r="E24" s="1427">
        <f>SUMIF('03_Eventos_pagamentos'!$E$702:$E$763,A24,'03_Eventos_pagamentos'!$O$702:$O$763)</f>
        <v/>
      </c>
      <c r="F24" s="1431">
        <f>C24+E24+F23</f>
        <v/>
      </c>
      <c r="G24" s="1448">
        <f>C24+E24-M24</f>
        <v/>
      </c>
      <c r="H24" s="1452">
        <f>SUMIF('03_Eventos_pagamentos'!$E$702:$E$763,F24,'03_Eventos_pagamentos'!$O$702:$O$763)</f>
        <v/>
      </c>
      <c r="I24" s="1452">
        <f>G24-H24</f>
        <v/>
      </c>
      <c r="J24" s="1450">
        <f>I24+M24</f>
        <v/>
      </c>
      <c r="K24" s="1425">
        <f>SUMIF('03_Eventos_pagamentos'!$P$11:$P$843,A25,'03_Eventos_pagamentos'!$Q$11:$Q$843)</f>
        <v/>
      </c>
      <c r="L24" s="1432">
        <f>K24+L23</f>
        <v/>
      </c>
      <c r="M24" s="1427">
        <f>SUMIFS( '03_Eventos_pagamentos'!$O$11:$O$843,'03_Eventos_pagamentos'!$E$11:$E$843,A24,'03_Eventos_pagamentos'!$I$11:$I$843,"FAT. DIRETO")</f>
        <v/>
      </c>
      <c r="N24" s="1432">
        <f>K24+M24+N23</f>
        <v/>
      </c>
      <c r="O24" s="1431" t="n"/>
      <c r="P24" s="1431">
        <f>O24+P23</f>
        <v/>
      </c>
      <c r="Q24" s="1438" t="n"/>
      <c r="R24" s="1438" t="n"/>
      <c r="S24" s="1433" t="n"/>
      <c r="T24" s="1434" t="n"/>
      <c r="U24" s="1434" t="n"/>
      <c r="V24" s="1434" t="n"/>
      <c r="W24" s="1434" t="n"/>
      <c r="X24" s="1435" t="n"/>
    </row>
    <row r="25">
      <c r="A25" s="523" t="n">
        <v>12</v>
      </c>
      <c r="B25" s="48">
        <f>SUM(COUNTIF('03_Eventos_pagamentos'!$E$11:$E$697,'04_TOTALIZADORA'!A25)+COUNTIF('03_Eventos_pagamentos'!$E$766:$E$836,'04_TOTALIZADORA'!A25))</f>
        <v/>
      </c>
      <c r="C25" s="1422">
        <f>SUMIF('03_Eventos_pagamentos'!$E$11:$E$699,A25,'03_Eventos_pagamentos'!$O$11:$O$697)+SUMIF('03_Eventos_pagamentos'!$E$766:$E$836,A25,'03_Eventos_pagamentos'!$O$766:$O$836)</f>
        <v/>
      </c>
      <c r="D25" s="48">
        <f>COUNTIF('03_Eventos_pagamentos'!$E$702:$E$763,'04_TOTALIZADORA'!A25)</f>
        <v/>
      </c>
      <c r="E25" s="1427">
        <f>SUMIF('03_Eventos_pagamentos'!$E$702:$E$763,A25,'03_Eventos_pagamentos'!$O$702:$O$763)</f>
        <v/>
      </c>
      <c r="F25" s="1431">
        <f>C25+E25+F24</f>
        <v/>
      </c>
      <c r="G25" s="1448">
        <f>C25+E25-M25</f>
        <v/>
      </c>
      <c r="H25" s="1452">
        <f>SUMIF('03_Eventos_pagamentos'!$E$702:$E$763,F25,'03_Eventos_pagamentos'!$O$702:$O$763)</f>
        <v/>
      </c>
      <c r="I25" s="1452">
        <f>G25-H25</f>
        <v/>
      </c>
      <c r="J25" s="1450">
        <f>I25+M25</f>
        <v/>
      </c>
      <c r="K25" s="1425">
        <f>SUMIF('03_Eventos_pagamentos'!$P$11:$P$843,A26,'03_Eventos_pagamentos'!$Q$11:$Q$843)</f>
        <v/>
      </c>
      <c r="L25" s="1432">
        <f>K25+L24</f>
        <v/>
      </c>
      <c r="M25" s="1427">
        <f>SUMIFS( '03_Eventos_pagamentos'!$O$11:$O$843,'03_Eventos_pagamentos'!$E$11:$E$843,A25,'03_Eventos_pagamentos'!$I$11:$I$843,"FAT. DIRETO")</f>
        <v/>
      </c>
      <c r="N25" s="1432">
        <f>K25+M25+N24</f>
        <v/>
      </c>
      <c r="O25" s="1431" t="n"/>
      <c r="P25" s="1431">
        <f>O25+P24</f>
        <v/>
      </c>
      <c r="Q25" s="1438" t="n"/>
      <c r="R25" s="1438" t="n"/>
      <c r="S25" s="1433" t="n"/>
      <c r="T25" s="1434" t="n"/>
      <c r="U25" s="1434" t="n"/>
      <c r="V25" s="1434" t="n"/>
      <c r="W25" s="1434" t="n"/>
      <c r="X25" s="1435" t="n"/>
    </row>
    <row r="26">
      <c r="A26" s="523" t="n">
        <v>13</v>
      </c>
      <c r="B26" s="48">
        <f>SUM(COUNTIF('03_Eventos_pagamentos'!$E$11:$E$697,'04_TOTALIZADORA'!A26)+COUNTIF('03_Eventos_pagamentos'!$E$766:$E$836,'04_TOTALIZADORA'!A26))</f>
        <v/>
      </c>
      <c r="C26" s="1422">
        <f>SUMIF('03_Eventos_pagamentos'!$E$11:$E$699,A26,'03_Eventos_pagamentos'!$O$11:$O$697)+SUMIF('03_Eventos_pagamentos'!$E$766:$E$836,A26,'03_Eventos_pagamentos'!$O$766:$O$836)</f>
        <v/>
      </c>
      <c r="D26" s="48">
        <f>COUNTIF('03_Eventos_pagamentos'!$E$702:$E$763,'04_TOTALIZADORA'!A26)</f>
        <v/>
      </c>
      <c r="E26" s="1427">
        <f>SUMIF('03_Eventos_pagamentos'!$E$702:$E$763,A26,'03_Eventos_pagamentos'!$O$702:$O$763)</f>
        <v/>
      </c>
      <c r="F26" s="1431">
        <f>C26+E26+F25</f>
        <v/>
      </c>
      <c r="G26" s="1448">
        <f>C26+E26-M26</f>
        <v/>
      </c>
      <c r="H26" s="1452">
        <f>SUMIF('03_Eventos_pagamentos'!$E$702:$E$763,F26,'03_Eventos_pagamentos'!$O$702:$O$763)</f>
        <v/>
      </c>
      <c r="I26" s="1452">
        <f>G26-H26</f>
        <v/>
      </c>
      <c r="J26" s="1450">
        <f>I26+M26</f>
        <v/>
      </c>
      <c r="K26" s="1425">
        <f>SUMIF('03_Eventos_pagamentos'!$P$11:$P$843,A27,'03_Eventos_pagamentos'!$Q$11:$Q$843)</f>
        <v/>
      </c>
      <c r="L26" s="1432">
        <f>K26+L25</f>
        <v/>
      </c>
      <c r="M26" s="1427">
        <f>SUMIFS( '03_Eventos_pagamentos'!$O$11:$O$843,'03_Eventos_pagamentos'!$E$11:$E$843,A26,'03_Eventos_pagamentos'!$I$11:$I$843,"FAT. DIRETO")</f>
        <v/>
      </c>
      <c r="N26" s="1432">
        <f>K26+M26+N25</f>
        <v/>
      </c>
      <c r="O26" s="1431" t="n"/>
      <c r="P26" s="1431">
        <f>O26+P25</f>
        <v/>
      </c>
      <c r="Q26" s="1438" t="n"/>
      <c r="R26" s="1438" t="n"/>
      <c r="S26" s="1433" t="n"/>
      <c r="T26" s="1434" t="n"/>
      <c r="U26" s="1434" t="n"/>
      <c r="V26" s="1434" t="n"/>
      <c r="W26" s="1434" t="n"/>
      <c r="X26" s="1435" t="n"/>
    </row>
    <row r="27">
      <c r="A27" s="523" t="n">
        <v>14</v>
      </c>
      <c r="B27" s="48">
        <f>SUM(COUNTIF('03_Eventos_pagamentos'!$E$11:$E$697,'04_TOTALIZADORA'!A27)+COUNTIF('03_Eventos_pagamentos'!$E$766:$E$836,'04_TOTALIZADORA'!A27))</f>
        <v/>
      </c>
      <c r="C27" s="1422">
        <f>SUMIF('03_Eventos_pagamentos'!$E$11:$E$699,A27,'03_Eventos_pagamentos'!$O$11:$O$697)+SUMIF('03_Eventos_pagamentos'!$E$766:$E$836,A27,'03_Eventos_pagamentos'!$O$766:$O$836)</f>
        <v/>
      </c>
      <c r="D27" s="48">
        <f>COUNTIF('03_Eventos_pagamentos'!$E$702:$E$763,'04_TOTALIZADORA'!A27)</f>
        <v/>
      </c>
      <c r="E27" s="1427">
        <f>SUMIF('03_Eventos_pagamentos'!$E$702:$E$763,A27,'03_Eventos_pagamentos'!$O$702:$O$763)</f>
        <v/>
      </c>
      <c r="F27" s="1431">
        <f>C27+E27+F26</f>
        <v/>
      </c>
      <c r="G27" s="1448">
        <f>C27+E27-M27</f>
        <v/>
      </c>
      <c r="H27" s="1452">
        <f>SUMIF('03_Eventos_pagamentos'!$E$702:$E$763,F27,'03_Eventos_pagamentos'!$O$702:$O$763)</f>
        <v/>
      </c>
      <c r="I27" s="1452">
        <f>G27-H27</f>
        <v/>
      </c>
      <c r="J27" s="1450">
        <f>I27+M27</f>
        <v/>
      </c>
      <c r="K27" s="1425">
        <f>SUMIF('03_Eventos_pagamentos'!$P$11:$P$843,A28,'03_Eventos_pagamentos'!$Q$11:$Q$843)</f>
        <v/>
      </c>
      <c r="L27" s="1432">
        <f>K27+L26</f>
        <v/>
      </c>
      <c r="M27" s="1427">
        <f>SUMIFS( '03_Eventos_pagamentos'!$O$11:$O$843,'03_Eventos_pagamentos'!$E$11:$E$843,A27,'03_Eventos_pagamentos'!$I$11:$I$843,"FAT. DIRETO")</f>
        <v/>
      </c>
      <c r="N27" s="1432">
        <f>K27+M27+N26</f>
        <v/>
      </c>
      <c r="O27" s="1431" t="n"/>
      <c r="P27" s="1431">
        <f>O27+P26</f>
        <v/>
      </c>
      <c r="Q27" s="1438" t="n"/>
      <c r="R27" s="1438" t="n"/>
      <c r="S27" s="1433" t="n"/>
      <c r="T27" s="1434" t="n"/>
      <c r="U27" s="1434" t="n"/>
      <c r="V27" s="1434" t="n"/>
      <c r="W27" s="1434" t="n"/>
      <c r="X27" s="1435" t="n"/>
    </row>
    <row r="28">
      <c r="A28" s="523" t="n">
        <v>15</v>
      </c>
      <c r="B28" s="48">
        <f>SUM(COUNTIF('03_Eventos_pagamentos'!$E$11:$E$697,'04_TOTALIZADORA'!A28)+COUNTIF('03_Eventos_pagamentos'!$E$766:$E$836,'04_TOTALIZADORA'!A28))</f>
        <v/>
      </c>
      <c r="C28" s="1422">
        <f>SUMIF('03_Eventos_pagamentos'!$E$11:$E$699,A28,'03_Eventos_pagamentos'!$O$11:$O$697)+SUMIF('03_Eventos_pagamentos'!$E$766:$E$836,A28,'03_Eventos_pagamentos'!$O$766:$O$836)</f>
        <v/>
      </c>
      <c r="D28" s="48">
        <f>COUNTIF('03_Eventos_pagamentos'!$E$702:$E$763,'04_TOTALIZADORA'!A28)</f>
        <v/>
      </c>
      <c r="E28" s="1427">
        <f>SUMIF('03_Eventos_pagamentos'!$E$702:$E$763,A28,'03_Eventos_pagamentos'!$O$702:$O$763)</f>
        <v/>
      </c>
      <c r="F28" s="1431">
        <f>C28+E28+F27</f>
        <v/>
      </c>
      <c r="G28" s="1448">
        <f>C28+E28-M28</f>
        <v/>
      </c>
      <c r="H28" s="1452">
        <f>SUMIF('03_Eventos_pagamentos'!$E$702:$E$763,F28,'03_Eventos_pagamentos'!$O$702:$O$763)</f>
        <v/>
      </c>
      <c r="I28" s="1452">
        <f>G28-H28</f>
        <v/>
      </c>
      <c r="J28" s="1450">
        <f>I28+M28</f>
        <v/>
      </c>
      <c r="K28" s="1425">
        <f>SUMIF('03_Eventos_pagamentos'!$P$11:$P$843,A29,'03_Eventos_pagamentos'!$Q$11:$Q$843)</f>
        <v/>
      </c>
      <c r="L28" s="1432">
        <f>K28+L27</f>
        <v/>
      </c>
      <c r="M28" s="1427">
        <f>SUMIFS( '03_Eventos_pagamentos'!$O$11:$O$843,'03_Eventos_pagamentos'!$E$11:$E$843,A28,'03_Eventos_pagamentos'!$I$11:$I$843,"FAT. DIRETO")</f>
        <v/>
      </c>
      <c r="N28" s="1432">
        <f>K28+M28+N27</f>
        <v/>
      </c>
      <c r="O28" s="1431">
        <f>0.85*412245.2</f>
        <v/>
      </c>
      <c r="P28" s="1431">
        <f>O28+P27</f>
        <v/>
      </c>
      <c r="Q28" s="1438" t="n"/>
      <c r="R28" s="1438" t="n"/>
      <c r="S28" s="1433" t="n"/>
      <c r="T28" s="1434" t="n"/>
      <c r="U28" s="1434" t="n"/>
      <c r="V28" s="1434" t="n"/>
      <c r="W28" s="1434" t="n"/>
      <c r="X28" s="1435" t="n"/>
    </row>
    <row r="29">
      <c r="A29" s="523" t="n">
        <v>16</v>
      </c>
      <c r="B29" s="48">
        <f>SUM(COUNTIF('03_Eventos_pagamentos'!$E$11:$E$697,'04_TOTALIZADORA'!A29)+COUNTIF('03_Eventos_pagamentos'!$E$766:$E$836,'04_TOTALIZADORA'!A29))</f>
        <v/>
      </c>
      <c r="C29" s="1422">
        <f>SUMIF('03_Eventos_pagamentos'!$E$11:$E$699,A29,'03_Eventos_pagamentos'!$O$11:$O$697)+SUMIF('03_Eventos_pagamentos'!$E$766:$E$836,A29,'03_Eventos_pagamentos'!$O$766:$O$836)</f>
        <v/>
      </c>
      <c r="D29" s="48">
        <f>COUNTIF('03_Eventos_pagamentos'!$E$702:$E$763,'04_TOTALIZADORA'!A29)</f>
        <v/>
      </c>
      <c r="E29" s="1427">
        <f>SUMIF('03_Eventos_pagamentos'!$E$702:$E$763,A29,'03_Eventos_pagamentos'!$O$702:$O$763)</f>
        <v/>
      </c>
      <c r="F29" s="1431">
        <f>C29+E29+F28</f>
        <v/>
      </c>
      <c r="G29" s="1448">
        <f>C29+E29-M29</f>
        <v/>
      </c>
      <c r="H29" s="1452">
        <f>G29*0.15</f>
        <v/>
      </c>
      <c r="I29" s="1452">
        <f>G29-H29</f>
        <v/>
      </c>
      <c r="J29" s="1450">
        <f>I29+M29</f>
        <v/>
      </c>
      <c r="K29" s="1425">
        <f>SUMIF('03_Eventos_pagamentos'!$P$11:$P$843,A30,'03_Eventos_pagamentos'!$Q$11:$Q$843)</f>
        <v/>
      </c>
      <c r="L29" s="1432">
        <f>K29+L28</f>
        <v/>
      </c>
      <c r="M29" s="1427">
        <f>SUMIFS( '03_Eventos_pagamentos'!$O$11:$O$843,'03_Eventos_pagamentos'!$E$11:$E$843,A29,'03_Eventos_pagamentos'!$I$11:$I$843,"FAT. DIRETO")</f>
        <v/>
      </c>
      <c r="N29" s="1432">
        <f>K29+M29+N28</f>
        <v/>
      </c>
      <c r="O29" s="1431" t="n"/>
      <c r="P29" s="1431">
        <f>O29+P28</f>
        <v/>
      </c>
      <c r="Q29" s="1453" t="n"/>
      <c r="R29" s="1453" t="n"/>
      <c r="S29" s="1433" t="n"/>
      <c r="T29" s="1434" t="n"/>
      <c r="U29" s="1434" t="n"/>
      <c r="V29" s="1434" t="n"/>
      <c r="W29" s="1434" t="n"/>
      <c r="X29" s="1435" t="n"/>
    </row>
    <row r="30">
      <c r="A30" s="523" t="n">
        <v>17</v>
      </c>
      <c r="B30" s="48">
        <f>SUM(COUNTIF('03_Eventos_pagamentos'!$E$11:$E$697,'04_TOTALIZADORA'!A30)+COUNTIF('03_Eventos_pagamentos'!$E$766:$E$836,'04_TOTALIZADORA'!A30))</f>
        <v/>
      </c>
      <c r="C30" s="1422">
        <f>SUMIF('03_Eventos_pagamentos'!$E$11:$E$699,A30,'03_Eventos_pagamentos'!$O$11:$O$697)+SUMIF('03_Eventos_pagamentos'!$E$766:$E$836,A30,'03_Eventos_pagamentos'!$O$766:$O$836)</f>
        <v/>
      </c>
      <c r="D30" s="48">
        <f>COUNTIF('03_Eventos_pagamentos'!$E$702:$E$763,'04_TOTALIZADORA'!A30)</f>
        <v/>
      </c>
      <c r="E30" s="1427">
        <f>SUMIF('03_Eventos_pagamentos'!$E$702:$E$763,A30,'03_Eventos_pagamentos'!$O$702:$O$763)</f>
        <v/>
      </c>
      <c r="F30" s="1431">
        <f>C30+E30+F29</f>
        <v/>
      </c>
      <c r="G30" s="1448">
        <f>C30+E30-M30</f>
        <v/>
      </c>
      <c r="H30" s="1452">
        <f>G30*0.15</f>
        <v/>
      </c>
      <c r="I30" s="1452">
        <f>G30-H30</f>
        <v/>
      </c>
      <c r="J30" s="1450">
        <f>I30+M30</f>
        <v/>
      </c>
      <c r="K30" s="1425">
        <f>SUMIF('03_Eventos_pagamentos'!$P$11:$P$843,A31,'03_Eventos_pagamentos'!$Q$11:$Q$843)</f>
        <v/>
      </c>
      <c r="L30" s="1432">
        <f>K30+L29</f>
        <v/>
      </c>
      <c r="M30" s="1427">
        <f>SUMIFS( '03_Eventos_pagamentos'!$O$11:$O$843,'03_Eventos_pagamentos'!$E$11:$E$843,A30,'03_Eventos_pagamentos'!$I$11:$I$843,"FAT. DIRETO")</f>
        <v/>
      </c>
      <c r="N30" s="1432">
        <f>K30+M30+N29</f>
        <v/>
      </c>
      <c r="O30" s="1431">
        <f>0.85*800224.32</f>
        <v/>
      </c>
      <c r="P30" s="1431">
        <f>O30+P29</f>
        <v/>
      </c>
      <c r="Q30" s="1431" t="n">
        <v>1724103.73</v>
      </c>
      <c r="R30" s="1431">
        <f>R14+Q30</f>
        <v/>
      </c>
      <c r="S30" s="1433" t="n"/>
      <c r="T30" s="1434" t="n"/>
      <c r="U30" s="1434" t="n"/>
      <c r="V30" s="1434" t="n"/>
      <c r="W30" s="1434" t="n"/>
      <c r="X30" s="1435" t="n"/>
    </row>
    <row r="31">
      <c r="A31" s="523" t="n">
        <v>18</v>
      </c>
      <c r="B31" s="48">
        <f>SUM(COUNTIF('03_Eventos_pagamentos'!$E$11:$E$697,'04_TOTALIZADORA'!A31)+COUNTIF('03_Eventos_pagamentos'!$E$766:$E$836,'04_TOTALIZADORA'!A31))</f>
        <v/>
      </c>
      <c r="C31" s="1422">
        <f>SUMIF('03_Eventos_pagamentos'!$E$11:$E$699,A31,'03_Eventos_pagamentos'!$O$11:$O$697)+SUMIF('03_Eventos_pagamentos'!$E$766:$E$836,A31,'03_Eventos_pagamentos'!$O$766:$O$836)</f>
        <v/>
      </c>
      <c r="D31" s="48">
        <f>COUNTIF('03_Eventos_pagamentos'!$E$702:$E$763,'04_TOTALIZADORA'!A31)</f>
        <v/>
      </c>
      <c r="E31" s="1427">
        <f>SUMIF('03_Eventos_pagamentos'!$E$702:$E$763,A31,'03_Eventos_pagamentos'!$O$702:$O$763)</f>
        <v/>
      </c>
      <c r="F31" s="1431">
        <f>C31+E31+F30</f>
        <v/>
      </c>
      <c r="G31" s="1448">
        <f>C31+E31-M31</f>
        <v/>
      </c>
      <c r="H31" s="1452">
        <f>G31*0.15</f>
        <v/>
      </c>
      <c r="I31" s="1452">
        <f>G31-H31</f>
        <v/>
      </c>
      <c r="J31" s="1450">
        <f>I31+M31</f>
        <v/>
      </c>
      <c r="K31" s="1425">
        <f>SUMIF('03_Eventos_pagamentos'!$P$11:$P$843,A32,'03_Eventos_pagamentos'!$Q$11:$Q$843)</f>
        <v/>
      </c>
      <c r="L31" s="1432">
        <f>K31+L30</f>
        <v/>
      </c>
      <c r="M31" s="1427">
        <f>SUMIFS( '03_Eventos_pagamentos'!$O$11:$O$843,'03_Eventos_pagamentos'!$E$11:$E$843,A31,'03_Eventos_pagamentos'!$I$11:$I$843,"FAT. DIRETO")</f>
        <v/>
      </c>
      <c r="N31" s="1432">
        <f>K31+M31+N30</f>
        <v/>
      </c>
      <c r="O31" s="1431" t="n"/>
      <c r="P31" s="1431">
        <f>O31+P30</f>
        <v/>
      </c>
      <c r="Q31" s="1431" t="n">
        <v>996943.88</v>
      </c>
      <c r="R31" s="1431">
        <f>R30+Q31</f>
        <v/>
      </c>
      <c r="S31" s="1433" t="n"/>
      <c r="T31" s="1434" t="n"/>
      <c r="U31" s="1434" t="n"/>
      <c r="V31" s="1434" t="n"/>
      <c r="W31" s="1434" t="n"/>
      <c r="X31" s="1435" t="n"/>
    </row>
    <row r="32">
      <c r="A32" s="523" t="n">
        <v>19</v>
      </c>
      <c r="B32" s="48">
        <f>SUM(COUNTIF('03_Eventos_pagamentos'!$E$11:$E$697,'04_TOTALIZADORA'!A32)+COUNTIF('03_Eventos_pagamentos'!$E$766:$E$836,'04_TOTALIZADORA'!A32))</f>
        <v/>
      </c>
      <c r="C32" s="1422">
        <f>SUMIF('03_Eventos_pagamentos'!$E$11:$E$699,A32,'03_Eventos_pagamentos'!$O$11:$O$697)+SUMIF('03_Eventos_pagamentos'!$E$766:$E$836,A32,'03_Eventos_pagamentos'!$O$766:$O$836)</f>
        <v/>
      </c>
      <c r="D32" s="48">
        <f>COUNTIF('03_Eventos_pagamentos'!$E$702:$E$763,'04_TOTALIZADORA'!A32)</f>
        <v/>
      </c>
      <c r="E32" s="1427">
        <f>SUMIF('03_Eventos_pagamentos'!$E$702:$E$763,A32,'03_Eventos_pagamentos'!$O$702:$O$763)</f>
        <v/>
      </c>
      <c r="F32" s="1431">
        <f>C32+E32+F31</f>
        <v/>
      </c>
      <c r="G32" s="1448">
        <f>C32+E32-M32</f>
        <v/>
      </c>
      <c r="H32" s="1452">
        <f>G32*0.15</f>
        <v/>
      </c>
      <c r="I32" s="1452">
        <f>G32-H32</f>
        <v/>
      </c>
      <c r="J32" s="1450">
        <f>I32+M32</f>
        <v/>
      </c>
      <c r="K32" s="1425">
        <f>SUMIF('03_Eventos_pagamentos'!$P$11:$P$843,A33,'03_Eventos_pagamentos'!$Q$11:$Q$843)</f>
        <v/>
      </c>
      <c r="L32" s="1432">
        <f>K32+L31</f>
        <v/>
      </c>
      <c r="M32" s="1427">
        <f>SUMIFS( '03_Eventos_pagamentos'!$O$11:$O$843,'03_Eventos_pagamentos'!$E$11:$E$843,A32,'03_Eventos_pagamentos'!$I$11:$I$843,"FAT. DIRETO")</f>
        <v/>
      </c>
      <c r="N32" s="1432">
        <f>K32+M32+N31</f>
        <v/>
      </c>
      <c r="O32" s="1431">
        <f>0.85*213547.66</f>
        <v/>
      </c>
      <c r="P32" s="1431">
        <f>O32+P31</f>
        <v/>
      </c>
      <c r="Q32" s="1431" t="n">
        <v>900062.6800000001</v>
      </c>
      <c r="R32" s="1431">
        <f>R31+Q32</f>
        <v/>
      </c>
      <c r="S32" s="1433" t="n"/>
      <c r="T32" s="1434" t="n"/>
      <c r="U32" s="1434" t="n"/>
      <c r="V32" s="1434" t="n"/>
      <c r="W32" s="1434" t="n"/>
      <c r="X32" s="1435" t="n"/>
    </row>
    <row r="33">
      <c r="A33" s="523" t="n">
        <v>20</v>
      </c>
      <c r="B33" s="48">
        <f>SUM(COUNTIF('03_Eventos_pagamentos'!$E$11:$E$697,'04_TOTALIZADORA'!A33)+COUNTIF('03_Eventos_pagamentos'!$E$766:$E$836,'04_TOTALIZADORA'!A33))</f>
        <v/>
      </c>
      <c r="C33" s="1422">
        <f>SUMIF('03_Eventos_pagamentos'!$E$11:$E$699,A33,'03_Eventos_pagamentos'!$O$11:$O$697)+SUMIF('03_Eventos_pagamentos'!$E$766:$E$836,A33,'03_Eventos_pagamentos'!$O$766:$O$836)</f>
        <v/>
      </c>
      <c r="D33" s="48">
        <f>COUNTIF('03_Eventos_pagamentos'!$E$702:$E$763,'04_TOTALIZADORA'!A33)</f>
        <v/>
      </c>
      <c r="E33" s="1427">
        <f>SUMIF('03_Eventos_pagamentos'!$E$702:$E$763,A33,'03_Eventos_pagamentos'!$O$702:$O$763)</f>
        <v/>
      </c>
      <c r="F33" s="1431">
        <f>C33+E33+F32</f>
        <v/>
      </c>
      <c r="G33" s="1448">
        <f>C33+E33-M33</f>
        <v/>
      </c>
      <c r="H33" s="1452">
        <f>G33*0.15</f>
        <v/>
      </c>
      <c r="I33" s="1452">
        <f>G33-H33</f>
        <v/>
      </c>
      <c r="J33" s="1450">
        <f>I33+M33</f>
        <v/>
      </c>
      <c r="K33" s="1425">
        <f>SUMIF('03_Eventos_pagamentos'!$P$11:$P$843,A34,'03_Eventos_pagamentos'!$Q$11:$Q$843)</f>
        <v/>
      </c>
      <c r="L33" s="1432">
        <f>K33+L32</f>
        <v/>
      </c>
      <c r="M33" s="1427">
        <f>SUMIFS( '03_Eventos_pagamentos'!$O$11:$O$843,'03_Eventos_pagamentos'!$E$11:$E$843,A33,'03_Eventos_pagamentos'!$I$11:$I$843,"FAT. DIRETO")</f>
        <v/>
      </c>
      <c r="N33" s="1432">
        <f>K33+M33+N32</f>
        <v/>
      </c>
      <c r="O33" s="1431" t="n"/>
      <c r="P33" s="1431">
        <f>O33+P32</f>
        <v/>
      </c>
      <c r="Q33" s="1431" t="n">
        <v>623444.52</v>
      </c>
      <c r="R33" s="1431">
        <f>R32+Q33</f>
        <v/>
      </c>
      <c r="S33" s="1433" t="n"/>
      <c r="T33" s="1434" t="n"/>
      <c r="U33" s="1434" t="n"/>
      <c r="V33" s="1434" t="n"/>
      <c r="W33" s="1434" t="n"/>
      <c r="X33" s="1435" t="n"/>
    </row>
    <row r="34">
      <c r="A34" s="523" t="n">
        <v>21</v>
      </c>
      <c r="B34" s="48">
        <f>SUM(COUNTIF('03_Eventos_pagamentos'!$E$11:$E$697,'04_TOTALIZADORA'!A34)+COUNTIF('03_Eventos_pagamentos'!$E$766:$E$836,'04_TOTALIZADORA'!A34))</f>
        <v/>
      </c>
      <c r="C34" s="1422">
        <f>SUMIF('03_Eventos_pagamentos'!$E$11:$E$699,A34,'03_Eventos_pagamentos'!$O$11:$O$697)+SUMIF('03_Eventos_pagamentos'!$E$766:$E$836,A34,'03_Eventos_pagamentos'!$O$766:$O$836)</f>
        <v/>
      </c>
      <c r="D34" s="48">
        <f>COUNTIF('03_Eventos_pagamentos'!$E$702:$E$763,'04_TOTALIZADORA'!A34)</f>
        <v/>
      </c>
      <c r="E34" s="1427">
        <f>SUMIF('03_Eventos_pagamentos'!$E$702:$E$763,A34,'03_Eventos_pagamentos'!$O$702:$O$763)</f>
        <v/>
      </c>
      <c r="F34" s="1431">
        <f>C34+E34+F33</f>
        <v/>
      </c>
      <c r="G34" s="1448">
        <f>C34+E34-M34</f>
        <v/>
      </c>
      <c r="H34" s="1452">
        <f>G34*0.15</f>
        <v/>
      </c>
      <c r="I34" s="1452">
        <f>G34-H34</f>
        <v/>
      </c>
      <c r="J34" s="1450">
        <f>I34+M34</f>
        <v/>
      </c>
      <c r="K34" s="1425">
        <f>SUMIF('03_Eventos_pagamentos'!$P$11:$P$843,A35,'03_Eventos_pagamentos'!$Q$11:$Q$843)</f>
        <v/>
      </c>
      <c r="L34" s="1432">
        <f>K34+L33</f>
        <v/>
      </c>
      <c r="M34" s="1427">
        <f>SUMIFS( '03_Eventos_pagamentos'!$O$11:$O$843,'03_Eventos_pagamentos'!$E$11:$E$843,A34,'03_Eventos_pagamentos'!$I$11:$I$843,"FAT. DIRETO")</f>
        <v/>
      </c>
      <c r="N34" s="1432">
        <f>K34+M34+N33</f>
        <v/>
      </c>
      <c r="O34" s="1431" t="n"/>
      <c r="P34" s="1431">
        <f>O34+P33</f>
        <v/>
      </c>
      <c r="Q34" s="1431" t="n">
        <v>628101.5</v>
      </c>
      <c r="R34" s="1431">
        <f>R33+Q34</f>
        <v/>
      </c>
      <c r="S34" s="1433" t="n"/>
      <c r="T34" s="1434" t="n"/>
      <c r="U34" s="1434" t="n"/>
      <c r="V34" s="1434" t="n"/>
      <c r="W34" s="1434" t="n"/>
      <c r="X34" s="1435" t="n"/>
    </row>
    <row r="35">
      <c r="A35" s="523" t="n">
        <v>22</v>
      </c>
      <c r="B35" s="48">
        <f>SUM(COUNTIF('03_Eventos_pagamentos'!$E$11:$E$697,'04_TOTALIZADORA'!A35)+COUNTIF('03_Eventos_pagamentos'!$E$766:$E$836,'04_TOTALIZADORA'!A35))</f>
        <v/>
      </c>
      <c r="C35" s="1422">
        <f>SUMIF('03_Eventos_pagamentos'!$E$11:$E$699,A35,'03_Eventos_pagamentos'!$O$11:$O$697)+SUMIF('03_Eventos_pagamentos'!$E$766:$E$836,A35,'03_Eventos_pagamentos'!$O$766:$O$836)</f>
        <v/>
      </c>
      <c r="D35" s="48">
        <f>COUNTIF('03_Eventos_pagamentos'!$E$702:$E$763,'04_TOTALIZADORA'!A35)</f>
        <v/>
      </c>
      <c r="E35" s="1427">
        <f>SUMIF('03_Eventos_pagamentos'!$E$702:$E$763,A35,'03_Eventos_pagamentos'!$O$702:$O$763)</f>
        <v/>
      </c>
      <c r="F35" s="1431">
        <f>C35+E35+F34</f>
        <v/>
      </c>
      <c r="G35" s="1448">
        <f>C35+E35-M35</f>
        <v/>
      </c>
      <c r="H35" s="1452">
        <f>G35*0.15</f>
        <v/>
      </c>
      <c r="I35" s="1452">
        <f>G35-H35</f>
        <v/>
      </c>
      <c r="J35" s="1450">
        <f>I35+M35</f>
        <v/>
      </c>
      <c r="K35" s="1425">
        <f>SUMIF('03_Eventos_pagamentos'!$P$11:$P$843,A36,'03_Eventos_pagamentos'!$Q$11:$Q$843)</f>
        <v/>
      </c>
      <c r="L35" s="1432">
        <f>K35+L34</f>
        <v/>
      </c>
      <c r="M35" s="1427">
        <f>SUMIFS( '03_Eventos_pagamentos'!$O$11:$O$843,'03_Eventos_pagamentos'!$E$11:$E$843,A35,'03_Eventos_pagamentos'!$I$11:$I$843,"FAT. DIRETO")</f>
        <v/>
      </c>
      <c r="N35" s="1432">
        <f>K35+M35+N34</f>
        <v/>
      </c>
      <c r="O35" s="1431" t="n"/>
      <c r="P35" s="1431">
        <f>O35+P34</f>
        <v/>
      </c>
      <c r="Q35" s="1431" t="n">
        <v>899398.5</v>
      </c>
      <c r="R35" s="1431">
        <f>R34+Q35</f>
        <v/>
      </c>
      <c r="S35" s="1433" t="n"/>
      <c r="T35" s="1434" t="n"/>
      <c r="U35" s="1434" t="n"/>
      <c r="V35" s="1434" t="n"/>
      <c r="W35" s="1434" t="n"/>
      <c r="X35" s="1435" t="n"/>
    </row>
    <row r="36">
      <c r="A36" s="523" t="n">
        <v>23</v>
      </c>
      <c r="B36" s="48">
        <f>SUM(COUNTIF('03_Eventos_pagamentos'!$E$11:$E$697,'04_TOTALIZADORA'!A36)+COUNTIF('03_Eventos_pagamentos'!$E$766:$E$836,'04_TOTALIZADORA'!A36))</f>
        <v/>
      </c>
      <c r="C36" s="1422">
        <f>SUMIF('03_Eventos_pagamentos'!$E$11:$E$699,A36,'03_Eventos_pagamentos'!$O$11:$O$697)+SUMIF('03_Eventos_pagamentos'!$E$766:$E$836,A36,'03_Eventos_pagamentos'!$O$766:$O$836)</f>
        <v/>
      </c>
      <c r="D36" s="48">
        <f>COUNTIF('03_Eventos_pagamentos'!$E$702:$E$763,'04_TOTALIZADORA'!A36)</f>
        <v/>
      </c>
      <c r="E36" s="1427">
        <f>SUMIF('03_Eventos_pagamentos'!$E$702:$E$763,A36,'03_Eventos_pagamentos'!$O$702:$O$763)</f>
        <v/>
      </c>
      <c r="F36" s="1431">
        <f>C36+E36+F35</f>
        <v/>
      </c>
      <c r="G36" s="1448">
        <f>C36+E36-M36</f>
        <v/>
      </c>
      <c r="H36" s="1452">
        <f>G36*0.15</f>
        <v/>
      </c>
      <c r="I36" s="1452">
        <f>G36-H36</f>
        <v/>
      </c>
      <c r="J36" s="1450">
        <f>I36+M36</f>
        <v/>
      </c>
      <c r="K36" s="1425">
        <f>SUMIF('03_Eventos_pagamentos'!$P$11:$P$843,A37,'03_Eventos_pagamentos'!$Q$11:$Q$843)</f>
        <v/>
      </c>
      <c r="L36" s="1432">
        <f>K36+L35</f>
        <v/>
      </c>
      <c r="M36" s="1427">
        <f>SUMIFS( '03_Eventos_pagamentos'!$O$11:$O$843,'03_Eventos_pagamentos'!$E$11:$E$843,A36,'03_Eventos_pagamentos'!$I$11:$I$843,"FAT. DIRETO")</f>
        <v/>
      </c>
      <c r="N36" s="1432">
        <f>K36+M36+N35</f>
        <v/>
      </c>
      <c r="O36" s="1431" t="n"/>
      <c r="P36" s="1431">
        <f>O36+P35</f>
        <v/>
      </c>
      <c r="Q36" s="1431" t="n">
        <v>849378.1800000001</v>
      </c>
      <c r="R36" s="1431">
        <f>R35+Q36</f>
        <v/>
      </c>
      <c r="S36" s="1433" t="n"/>
      <c r="T36" s="1434" t="n"/>
      <c r="U36" s="1434" t="n"/>
      <c r="V36" s="1434" t="n"/>
      <c r="W36" s="1434" t="n"/>
      <c r="X36" s="1435" t="n"/>
    </row>
    <row r="37">
      <c r="A37" s="523" t="n">
        <v>24</v>
      </c>
      <c r="B37" s="48">
        <f>SUM(COUNTIF('03_Eventos_pagamentos'!$E$11:$E$697,'04_TOTALIZADORA'!A37)+COUNTIF('03_Eventos_pagamentos'!$E$766:$E$836,'04_TOTALIZADORA'!A37))</f>
        <v/>
      </c>
      <c r="C37" s="1422">
        <f>SUMIF('03_Eventos_pagamentos'!$E$11:$E$699,A37,'03_Eventos_pagamentos'!$O$11:$O$697)+SUMIF('03_Eventos_pagamentos'!$E$766:$E$836,A37,'03_Eventos_pagamentos'!$O$766:$O$836)</f>
        <v/>
      </c>
      <c r="D37" s="48">
        <f>COUNTIF('03_Eventos_pagamentos'!$E$702:$E$763,'04_TOTALIZADORA'!A37)</f>
        <v/>
      </c>
      <c r="E37" s="1427">
        <f>SUMIF('03_Eventos_pagamentos'!$E$702:$E$763,A37,'03_Eventos_pagamentos'!$O$702:$O$763)</f>
        <v/>
      </c>
      <c r="F37" s="1431">
        <f>C37+E37+F36</f>
        <v/>
      </c>
      <c r="G37" s="1448">
        <f>C37+E37-M37</f>
        <v/>
      </c>
      <c r="H37" s="1452">
        <f>G37*0.15</f>
        <v/>
      </c>
      <c r="I37" s="1452">
        <f>G37-H37</f>
        <v/>
      </c>
      <c r="J37" s="1450">
        <f>I37+M37</f>
        <v/>
      </c>
      <c r="K37" s="1425">
        <f>SUMIF('03_Eventos_pagamentos'!$P$11:$P$843,A38,'03_Eventos_pagamentos'!$Q$11:$Q$843)</f>
        <v/>
      </c>
      <c r="L37" s="1432">
        <f>K37+L36</f>
        <v/>
      </c>
      <c r="M37" s="1427">
        <f>SUMIFS( '03_Eventos_pagamentos'!$O$11:$O$843,'03_Eventos_pagamentos'!$E$11:$E$843,A37,'03_Eventos_pagamentos'!$I$11:$I$843,"FAT. DIRETO")</f>
        <v/>
      </c>
      <c r="N37" s="1432">
        <f>K37+M37+N36</f>
        <v/>
      </c>
      <c r="O37" s="1431" t="n"/>
      <c r="P37" s="1431">
        <f>O37+P36</f>
        <v/>
      </c>
      <c r="Q37" s="1431" t="n">
        <v>186000</v>
      </c>
      <c r="R37" s="1431">
        <f>R36+Q37</f>
        <v/>
      </c>
      <c r="S37" s="1433" t="n"/>
      <c r="T37" s="1434" t="n"/>
      <c r="U37" s="1434" t="n"/>
      <c r="V37" s="1434" t="n"/>
      <c r="W37" s="1434" t="n"/>
      <c r="X37" s="1435" t="n"/>
    </row>
    <row r="38">
      <c r="A38" s="523" t="n">
        <v>25</v>
      </c>
      <c r="B38" s="48">
        <f>SUM(COUNTIF('03_Eventos_pagamentos'!$E$11:$E$697,'04_TOTALIZADORA'!A38)+COUNTIF('03_Eventos_pagamentos'!$E$766:$E$836,'04_TOTALIZADORA'!A38))</f>
        <v/>
      </c>
      <c r="C38" s="1422">
        <f>SUMIF('03_Eventos_pagamentos'!$E$11:$E$699,A38,'03_Eventos_pagamentos'!$O$11:$O$697)+SUMIF('03_Eventos_pagamentos'!$E$766:$E$836,A38,'03_Eventos_pagamentos'!$O$766:$O$836)</f>
        <v/>
      </c>
      <c r="D38" s="48">
        <f>COUNTIF('03_Eventos_pagamentos'!$E$702:$E$763,'04_TOTALIZADORA'!A38)</f>
        <v/>
      </c>
      <c r="E38" s="1427">
        <f>SUMIF('03_Eventos_pagamentos'!$E$702:$E$763,A38,'03_Eventos_pagamentos'!$O$702:$O$763)</f>
        <v/>
      </c>
      <c r="F38" s="1431">
        <f>C38+E38+F37</f>
        <v/>
      </c>
      <c r="G38" s="1448">
        <f>C38+E38-M38</f>
        <v/>
      </c>
      <c r="H38" s="1452">
        <f>G38*0.15</f>
        <v/>
      </c>
      <c r="I38" s="1452">
        <f>G38-H38</f>
        <v/>
      </c>
      <c r="J38" s="1450">
        <f>I38+M38</f>
        <v/>
      </c>
      <c r="K38" s="1425">
        <f>SUMIF('03_Eventos_pagamentos'!$P$11:$P$843,A39,'03_Eventos_pagamentos'!$Q$11:$Q$843)</f>
        <v/>
      </c>
      <c r="L38" s="1432">
        <f>K38+L37</f>
        <v/>
      </c>
      <c r="M38" s="1427">
        <f>SUMIFS( '03_Eventos_pagamentos'!$O$11:$O$843,'03_Eventos_pagamentos'!$E$11:$E$843,A38,'03_Eventos_pagamentos'!$I$11:$I$843,"FAT. DIRETO")</f>
        <v/>
      </c>
      <c r="N38" s="1432">
        <f>K38+M38+N37</f>
        <v/>
      </c>
      <c r="O38" s="1431" t="n"/>
      <c r="P38" s="1431">
        <f>O38+P37</f>
        <v/>
      </c>
      <c r="Q38" s="1431" t="n">
        <v>569901.22</v>
      </c>
      <c r="R38" s="1431">
        <f>R37+Q38</f>
        <v/>
      </c>
      <c r="S38" s="1433" t="n"/>
      <c r="T38" s="1434" t="n"/>
      <c r="U38" s="1434" t="n"/>
      <c r="V38" s="1434" t="n"/>
      <c r="W38" s="1434" t="n"/>
      <c r="X38" s="1435" t="n"/>
    </row>
    <row r="39">
      <c r="A39" s="523" t="n">
        <v>26</v>
      </c>
      <c r="B39" s="48">
        <f>SUM(COUNTIF('03_Eventos_pagamentos'!$E$11:$E$697,'04_TOTALIZADORA'!A39)+COUNTIF('03_Eventos_pagamentos'!$E$766:$E$836,'04_TOTALIZADORA'!A39))</f>
        <v/>
      </c>
      <c r="C39" s="1422">
        <f>SUMIF('03_Eventos_pagamentos'!$E$11:$E$699,A39,'03_Eventos_pagamentos'!$O$11:$O$697)+SUMIF('03_Eventos_pagamentos'!$E$766:$E$836,A39,'03_Eventos_pagamentos'!$O$766:$O$836)</f>
        <v/>
      </c>
      <c r="D39" s="48">
        <f>COUNTIF('03_Eventos_pagamentos'!$E$702:$E$763,'04_TOTALIZADORA'!A39)</f>
        <v/>
      </c>
      <c r="E39" s="1427">
        <f>SUMIF('03_Eventos_pagamentos'!$E$702:$E$763,A39,'03_Eventos_pagamentos'!$O$702:$O$763)</f>
        <v/>
      </c>
      <c r="F39" s="1431">
        <f>C39+E39+F38</f>
        <v/>
      </c>
      <c r="G39" s="1448">
        <f>C39+E39-M39</f>
        <v/>
      </c>
      <c r="H39" s="1452">
        <f>G39*0.15</f>
        <v/>
      </c>
      <c r="I39" s="1452">
        <f>G39-H39</f>
        <v/>
      </c>
      <c r="J39" s="1450">
        <f>I39+M39</f>
        <v/>
      </c>
      <c r="K39" s="1425">
        <f>SUMIF('03_Eventos_pagamentos'!$P$11:$P$843,A40,'03_Eventos_pagamentos'!$Q$11:$Q$843)</f>
        <v/>
      </c>
      <c r="L39" s="1432">
        <f>K39+L38</f>
        <v/>
      </c>
      <c r="M39" s="1427">
        <f>SUMIFS( '03_Eventos_pagamentos'!$O$11:$O$843,'03_Eventos_pagamentos'!$E$11:$E$843,A39,'03_Eventos_pagamentos'!$I$11:$I$843,"FAT. DIRETO")</f>
        <v/>
      </c>
      <c r="N39" s="1432">
        <f>K39+M39+N38</f>
        <v/>
      </c>
      <c r="O39" s="1431" t="n"/>
      <c r="P39" s="1431">
        <f>O39+P38</f>
        <v/>
      </c>
      <c r="Q39" s="1431" t="n"/>
      <c r="R39" s="1431">
        <f>R38+Q39</f>
        <v/>
      </c>
      <c r="S39" s="1433" t="n"/>
      <c r="T39" s="1434" t="n"/>
      <c r="U39" s="1434" t="n"/>
      <c r="V39" s="1434" t="n"/>
      <c r="W39" s="1434" t="n"/>
      <c r="X39" s="1435" t="n"/>
    </row>
    <row r="40">
      <c r="A40" s="523" t="n">
        <v>27</v>
      </c>
      <c r="B40" s="48">
        <f>SUM(COUNTIF('03_Eventos_pagamentos'!$E$11:$E$697,'04_TOTALIZADORA'!A40)+COUNTIF('03_Eventos_pagamentos'!$E$766:$E$836,'04_TOTALIZADORA'!A40))</f>
        <v/>
      </c>
      <c r="C40" s="1422">
        <f>SUMIF('03_Eventos_pagamentos'!$E$11:$E$699,A40,'03_Eventos_pagamentos'!$O$11:$O$697)+SUMIF('03_Eventos_pagamentos'!$E$766:$E$836,A40,'03_Eventos_pagamentos'!$O$766:$O$836)</f>
        <v/>
      </c>
      <c r="D40" s="48">
        <f>COUNTIF('03_Eventos_pagamentos'!$E$702:$E$763,'04_TOTALIZADORA'!A40)</f>
        <v/>
      </c>
      <c r="E40" s="1427">
        <f>SUMIF('03_Eventos_pagamentos'!$E$702:$E$763,A40,'03_Eventos_pagamentos'!$O$702:$O$763)</f>
        <v/>
      </c>
      <c r="F40" s="1431">
        <f>C40+E40+F39</f>
        <v/>
      </c>
      <c r="G40" s="1448">
        <f>C40+E40-M40</f>
        <v/>
      </c>
      <c r="H40" s="1452">
        <f>G40*0.15</f>
        <v/>
      </c>
      <c r="I40" s="1452">
        <f>G40-H40</f>
        <v/>
      </c>
      <c r="J40" s="1450">
        <f>I40+M40</f>
        <v/>
      </c>
      <c r="K40" s="1425">
        <f>SUMIF('03_Eventos_pagamentos'!$P$11:$P$843,A41,'03_Eventos_pagamentos'!$Q$11:$Q$843)</f>
        <v/>
      </c>
      <c r="L40" s="1432">
        <f>K40+L39</f>
        <v/>
      </c>
      <c r="M40" s="1427">
        <f>SUMIFS( '03_Eventos_pagamentos'!$O$11:$O$843,'03_Eventos_pagamentos'!$E$11:$E$843,A40,'03_Eventos_pagamentos'!$I$11:$I$843,"FAT. DIRETO")</f>
        <v/>
      </c>
      <c r="N40" s="1432">
        <f>K40+M40+N39</f>
        <v/>
      </c>
      <c r="O40" s="1431" t="n"/>
      <c r="P40" s="1431">
        <f>O40+P39</f>
        <v/>
      </c>
      <c r="Q40" s="1431" t="n"/>
      <c r="R40" s="1431">
        <f>R39+Q40</f>
        <v/>
      </c>
      <c r="S40" s="1433" t="n"/>
      <c r="T40" s="1434" t="n"/>
      <c r="U40" s="1434" t="n"/>
      <c r="V40" s="1434" t="n"/>
      <c r="W40" s="1434" t="n"/>
      <c r="X40" s="1435" t="n"/>
    </row>
    <row r="41">
      <c r="A41" s="523" t="n">
        <v>28</v>
      </c>
      <c r="B41" s="48">
        <f>SUM(COUNTIF('03_Eventos_pagamentos'!$E$11:$E$697,'04_TOTALIZADORA'!A41)+COUNTIF('03_Eventos_pagamentos'!$E$766:$E$836,'04_TOTALIZADORA'!A41))</f>
        <v/>
      </c>
      <c r="C41" s="1422">
        <f>SUMIF('03_Eventos_pagamentos'!$E$11:$E$699,A41,'03_Eventos_pagamentos'!$O$11:$O$697)+SUMIF('03_Eventos_pagamentos'!$E$766:$E$836,A41,'03_Eventos_pagamentos'!$O$766:$O$836)</f>
        <v/>
      </c>
      <c r="D41" s="48">
        <f>COUNTIF('03_Eventos_pagamentos'!$E$702:$E$763,'04_TOTALIZADORA'!A41)</f>
        <v/>
      </c>
      <c r="E41" s="1427">
        <f>SUMIF('03_Eventos_pagamentos'!$E$702:$E$763,A41,'03_Eventos_pagamentos'!$O$702:$O$763)</f>
        <v/>
      </c>
      <c r="F41" s="1431">
        <f>C41+E41+F40</f>
        <v/>
      </c>
      <c r="G41" s="1448">
        <f>C41+E41-M41</f>
        <v/>
      </c>
      <c r="H41" s="1452">
        <f>G41*0.15</f>
        <v/>
      </c>
      <c r="I41" s="1452">
        <f>G41-H41</f>
        <v/>
      </c>
      <c r="J41" s="1450">
        <f>I41+M41</f>
        <v/>
      </c>
      <c r="K41" s="1425">
        <f>SUMIF('03_Eventos_pagamentos'!$P$11:$P$843,A42,'03_Eventos_pagamentos'!$Q$11:$Q$843)</f>
        <v/>
      </c>
      <c r="L41" s="1432">
        <f>K41+L40</f>
        <v/>
      </c>
      <c r="M41" s="1427">
        <f>SUMIFS( '03_Eventos_pagamentos'!$O$11:$O$843,'03_Eventos_pagamentos'!$E$11:$E$843,A41,'03_Eventos_pagamentos'!$I$11:$I$843,"FAT. DIRETO")</f>
        <v/>
      </c>
      <c r="N41" s="1432">
        <f>K41+M41+N40</f>
        <v/>
      </c>
      <c r="O41" s="1431" t="n"/>
      <c r="P41" s="1431">
        <f>O41+P40</f>
        <v/>
      </c>
      <c r="Q41" s="1431" t="n"/>
      <c r="R41" s="1431">
        <f>R40+Q41</f>
        <v/>
      </c>
      <c r="S41" s="1433" t="n"/>
      <c r="T41" s="1434" t="n"/>
      <c r="U41" s="1434" t="n"/>
      <c r="V41" s="1434" t="n"/>
      <c r="W41" s="1434" t="n"/>
      <c r="X41" s="1435" t="n"/>
    </row>
    <row r="42">
      <c r="A42" s="523" t="n">
        <v>29</v>
      </c>
      <c r="B42" s="48">
        <f>SUM(COUNTIF('03_Eventos_pagamentos'!$E$11:$E$697,'04_TOTALIZADORA'!A42)+COUNTIF('03_Eventos_pagamentos'!$E$766:$E$836,'04_TOTALIZADORA'!A42))</f>
        <v/>
      </c>
      <c r="C42" s="1422">
        <f>SUMIF('03_Eventos_pagamentos'!$E$11:$E$699,A42,'03_Eventos_pagamentos'!$O$11:$O$697)+SUMIF('03_Eventos_pagamentos'!$E$766:$E$836,A42,'03_Eventos_pagamentos'!$O$766:$O$836)</f>
        <v/>
      </c>
      <c r="D42" s="48">
        <f>COUNTIF('03_Eventos_pagamentos'!$E$702:$E$763,'04_TOTALIZADORA'!A42)</f>
        <v/>
      </c>
      <c r="E42" s="1427">
        <f>SUMIF('03_Eventos_pagamentos'!$E$702:$E$763,A42,'03_Eventos_pagamentos'!$O$702:$O$763)</f>
        <v/>
      </c>
      <c r="F42" s="1431">
        <f>C42+E42+F41</f>
        <v/>
      </c>
      <c r="G42" s="1448">
        <f>C42+E42-M42</f>
        <v/>
      </c>
      <c r="H42" s="1452">
        <f>G42*0.15</f>
        <v/>
      </c>
      <c r="I42" s="1452">
        <f>G42-H42</f>
        <v/>
      </c>
      <c r="J42" s="1450">
        <f>I42+M42</f>
        <v/>
      </c>
      <c r="K42" s="1425">
        <f>SUMIF('03_Eventos_pagamentos'!$P$11:$P$843,A43,'03_Eventos_pagamentos'!$Q$11:$Q$843)</f>
        <v/>
      </c>
      <c r="L42" s="1432">
        <f>K42+L41</f>
        <v/>
      </c>
      <c r="M42" s="1427">
        <f>SUMIFS( '03_Eventos_pagamentos'!$O$11:$O$843,'03_Eventos_pagamentos'!$E$11:$E$843,A42,'03_Eventos_pagamentos'!$I$11:$I$843,"FAT. DIRETO")</f>
        <v/>
      </c>
      <c r="N42" s="1432">
        <f>K42+M42+N41</f>
        <v/>
      </c>
      <c r="O42" s="1431" t="n"/>
      <c r="P42" s="1431">
        <f>O42+P41</f>
        <v/>
      </c>
      <c r="Q42" s="1431" t="n"/>
      <c r="R42" s="1431">
        <f>R41+Q42</f>
        <v/>
      </c>
      <c r="S42" s="1433" t="n"/>
      <c r="T42" s="1434" t="n"/>
      <c r="U42" s="1434" t="n"/>
      <c r="V42" s="1434" t="n"/>
      <c r="W42" s="1434" t="n"/>
      <c r="X42" s="1435" t="n"/>
    </row>
    <row r="43">
      <c r="A43" s="523" t="n">
        <v>30</v>
      </c>
      <c r="B43" s="48">
        <f>SUM(COUNTIF('03_Eventos_pagamentos'!$E$11:$E$697,'04_TOTALIZADORA'!A43)+COUNTIF('03_Eventos_pagamentos'!$E$766:$E$836,'04_TOTALIZADORA'!A43))</f>
        <v/>
      </c>
      <c r="C43" s="1422">
        <f>SUMIF('03_Eventos_pagamentos'!$E$11:$E$699,A43,'03_Eventos_pagamentos'!$O$11:$O$697)+SUMIF('03_Eventos_pagamentos'!$E$766:$E$836,A43,'03_Eventos_pagamentos'!$O$766:$O$836)</f>
        <v/>
      </c>
      <c r="D43" s="48">
        <f>COUNTIF('03_Eventos_pagamentos'!$E$702:$E$763,'04_TOTALIZADORA'!A43)</f>
        <v/>
      </c>
      <c r="E43" s="1427">
        <f>SUMIF('03_Eventos_pagamentos'!$E$702:$E$763,A43,'03_Eventos_pagamentos'!$O$702:$O$763)</f>
        <v/>
      </c>
      <c r="F43" s="1431">
        <f>C43+E43+F42</f>
        <v/>
      </c>
      <c r="G43" s="1448">
        <f>C43+E43-M43</f>
        <v/>
      </c>
      <c r="H43" s="1452">
        <f>G43*0.15</f>
        <v/>
      </c>
      <c r="I43" s="1452">
        <f>G43-H43</f>
        <v/>
      </c>
      <c r="J43" s="1450">
        <f>I43+M43</f>
        <v/>
      </c>
      <c r="K43" s="1425">
        <f>SUMIF('03_Eventos_pagamentos'!$P$11:$P$843,A44,'03_Eventos_pagamentos'!$Q$11:$Q$843)</f>
        <v/>
      </c>
      <c r="L43" s="1432">
        <f>K43+L42</f>
        <v/>
      </c>
      <c r="M43" s="1427">
        <f>SUMIFS( '03_Eventos_pagamentos'!$O$11:$O$843,'03_Eventos_pagamentos'!$E$11:$E$843,A43,'03_Eventos_pagamentos'!$I$11:$I$843,"FAT. DIRETO")</f>
        <v/>
      </c>
      <c r="N43" s="1432">
        <f>K43+M43+N42</f>
        <v/>
      </c>
      <c r="O43" s="1431" t="n"/>
      <c r="P43" s="1431">
        <f>O43+P42</f>
        <v/>
      </c>
      <c r="Q43" s="1431" t="n"/>
      <c r="R43" s="1431">
        <f>R42+Q43</f>
        <v/>
      </c>
      <c r="S43" s="1433" t="n"/>
      <c r="T43" s="1434" t="n"/>
      <c r="U43" s="1434" t="n"/>
      <c r="V43" s="1434" t="n"/>
      <c r="W43" s="1434" t="n"/>
      <c r="X43" s="1435" t="n"/>
    </row>
    <row r="44">
      <c r="A44" s="523" t="n">
        <v>31</v>
      </c>
      <c r="B44" s="48">
        <f>SUM(COUNTIF('03_Eventos_pagamentos'!$E$11:$E$697,'04_TOTALIZADORA'!A44)+COUNTIF('03_Eventos_pagamentos'!$E$766:$E$836,'04_TOTALIZADORA'!A44))</f>
        <v/>
      </c>
      <c r="C44" s="1422">
        <f>SUMIF('03_Eventos_pagamentos'!$E$11:$E$699,A44,'03_Eventos_pagamentos'!$O$11:$O$697)+SUMIF('03_Eventos_pagamentos'!$E$766:$E$836,A44,'03_Eventos_pagamentos'!$O$766:$O$836)</f>
        <v/>
      </c>
      <c r="D44" s="48">
        <f>COUNTIF('03_Eventos_pagamentos'!$E$702:$E$763,'04_TOTALIZADORA'!A44)</f>
        <v/>
      </c>
      <c r="E44" s="1427">
        <f>SUMIF('03_Eventos_pagamentos'!$E$702:$E$763,A44,'03_Eventos_pagamentos'!$O$702:$O$763)</f>
        <v/>
      </c>
      <c r="F44" s="1431">
        <f>C44+E44+F43</f>
        <v/>
      </c>
      <c r="G44" s="1448">
        <f>C44+E44-M44</f>
        <v/>
      </c>
      <c r="H44" s="1452">
        <f>G44*0.15</f>
        <v/>
      </c>
      <c r="I44" s="1452">
        <f>G44-H44</f>
        <v/>
      </c>
      <c r="J44" s="1450">
        <f>I44+M44</f>
        <v/>
      </c>
      <c r="K44" s="1425">
        <f>SUMIF('03_Eventos_pagamentos'!$P$11:$P$843,A45,'03_Eventos_pagamentos'!$Q$11:$Q$843)</f>
        <v/>
      </c>
      <c r="L44" s="1432">
        <f>K44+L43</f>
        <v/>
      </c>
      <c r="M44" s="1427">
        <f>SUMIFS( '03_Eventos_pagamentos'!$O$11:$O$843,'03_Eventos_pagamentos'!$E$11:$E$843,A44,'03_Eventos_pagamentos'!$I$11:$I$843,"FAT. DIRETO")</f>
        <v/>
      </c>
      <c r="N44" s="1432">
        <f>K44+M44+N43</f>
        <v/>
      </c>
      <c r="O44" s="1431" t="n"/>
      <c r="P44" s="1431">
        <f>O44+P43</f>
        <v/>
      </c>
      <c r="Q44" s="1431" t="n"/>
      <c r="R44" s="1431">
        <f>R43+Q44</f>
        <v/>
      </c>
      <c r="S44" s="1433" t="n"/>
      <c r="T44" s="1434" t="n"/>
      <c r="U44" s="1434" t="n"/>
      <c r="V44" s="1434" t="n"/>
      <c r="W44" s="1434" t="n"/>
      <c r="X44" s="1435" t="n"/>
    </row>
    <row r="45">
      <c r="A45" s="523" t="n">
        <v>32</v>
      </c>
      <c r="B45" s="48">
        <f>SUM(COUNTIF('03_Eventos_pagamentos'!$E$11:$E$697,'04_TOTALIZADORA'!A45)+COUNTIF('03_Eventos_pagamentos'!$E$766:$E$836,'04_TOTALIZADORA'!A45))</f>
        <v/>
      </c>
      <c r="C45" s="1422">
        <f>SUMIF('03_Eventos_pagamentos'!$E$11:$E$699,A45,'03_Eventos_pagamentos'!$O$11:$O$697)+SUMIF('03_Eventos_pagamentos'!$E$766:$E$836,A45,'03_Eventos_pagamentos'!$O$766:$O$836)</f>
        <v/>
      </c>
      <c r="D45" s="48">
        <f>COUNTIF('03_Eventos_pagamentos'!$E$702:$E$763,'04_TOTALIZADORA'!A45)</f>
        <v/>
      </c>
      <c r="E45" s="1427">
        <f>SUMIF('03_Eventos_pagamentos'!$E$702:$E$763,A45,'03_Eventos_pagamentos'!$O$702:$O$763)</f>
        <v/>
      </c>
      <c r="F45" s="1431">
        <f>C45+E45+F44</f>
        <v/>
      </c>
      <c r="G45" s="1448">
        <f>C45+E45-M45</f>
        <v/>
      </c>
      <c r="H45" s="1452">
        <f>G45*0.15</f>
        <v/>
      </c>
      <c r="I45" s="1452">
        <f>G45-H45</f>
        <v/>
      </c>
      <c r="J45" s="1450">
        <f>I45+M45</f>
        <v/>
      </c>
      <c r="K45" s="1425">
        <f>SUMIF('03_Eventos_pagamentos'!$P$11:$P$843,A46,'03_Eventos_pagamentos'!$Q$11:$Q$843)</f>
        <v/>
      </c>
      <c r="L45" s="1432">
        <f>K45+L44</f>
        <v/>
      </c>
      <c r="M45" s="1427">
        <f>SUMIFS( '03_Eventos_pagamentos'!$O$11:$O$843,'03_Eventos_pagamentos'!$E$11:$E$843,A45,'03_Eventos_pagamentos'!$I$11:$I$843,"FAT. DIRETO")</f>
        <v/>
      </c>
      <c r="N45" s="1432">
        <f>K45+M45+N44</f>
        <v/>
      </c>
      <c r="O45" s="1431" t="n"/>
      <c r="P45" s="1431">
        <f>O45+P44</f>
        <v/>
      </c>
      <c r="Q45" s="1431" t="n">
        <v>113319.2</v>
      </c>
      <c r="R45" s="1431">
        <f>R44+Q45</f>
        <v/>
      </c>
      <c r="S45" s="1433" t="n"/>
      <c r="T45" s="1434" t="n"/>
      <c r="U45" s="1434" t="n"/>
      <c r="V45" s="1434" t="n"/>
      <c r="W45" s="1434" t="n"/>
      <c r="X45" s="1435" t="n"/>
    </row>
    <row r="46">
      <c r="A46" s="523" t="n">
        <v>33</v>
      </c>
      <c r="B46" s="48">
        <f>SUM(COUNTIF('03_Eventos_pagamentos'!$E$11:$E$697,'04_TOTALIZADORA'!A46)+COUNTIF('03_Eventos_pagamentos'!$E$766:$E$836,'04_TOTALIZADORA'!A46))</f>
        <v/>
      </c>
      <c r="C46" s="1422">
        <f>SUMIF('03_Eventos_pagamentos'!$E$11:$E$699,A46,'03_Eventos_pagamentos'!$O$11:$O$697)+SUMIF('03_Eventos_pagamentos'!$E$766:$E$836,A46,'03_Eventos_pagamentos'!$O$766:$O$836)</f>
        <v/>
      </c>
      <c r="D46" s="48">
        <f>COUNTIF('03_Eventos_pagamentos'!$E$702:$E$763,'04_TOTALIZADORA'!A46)</f>
        <v/>
      </c>
      <c r="E46" s="1427">
        <f>SUMIF('03_Eventos_pagamentos'!$E$702:$E$763,A46,'03_Eventos_pagamentos'!$O$702:$O$763)</f>
        <v/>
      </c>
      <c r="F46" s="1431">
        <f>C46+E46+F45</f>
        <v/>
      </c>
      <c r="G46" s="1448">
        <f>C46+E46-M46</f>
        <v/>
      </c>
      <c r="H46" s="1452">
        <f>G46*0.15</f>
        <v/>
      </c>
      <c r="I46" s="1452">
        <f>G46-H46</f>
        <v/>
      </c>
      <c r="J46" s="1450">
        <f>I46+M46</f>
        <v/>
      </c>
      <c r="K46" s="1425">
        <f>SUMIF('03_Eventos_pagamentos'!$P$11:$P$843,A47,'03_Eventos_pagamentos'!$Q$11:$Q$843)</f>
        <v/>
      </c>
      <c r="L46" s="1432">
        <f>K46+L45</f>
        <v/>
      </c>
      <c r="M46" s="1427">
        <f>SUMIFS( '03_Eventos_pagamentos'!$O$11:$O$843,'03_Eventos_pagamentos'!$E$11:$E$843,A46,'03_Eventos_pagamentos'!$I$11:$I$843,"FAT. DIRETO")</f>
        <v/>
      </c>
      <c r="N46" s="1432">
        <f>K46+M46+N45</f>
        <v/>
      </c>
      <c r="O46" s="1431" t="n"/>
      <c r="P46" s="1431">
        <f>O46+P45</f>
        <v/>
      </c>
      <c r="Q46" s="1431" t="n"/>
      <c r="R46" s="1431">
        <f>R45+Q46</f>
        <v/>
      </c>
      <c r="S46" s="1433" t="n"/>
      <c r="T46" s="1434" t="n"/>
      <c r="U46" s="1434" t="n"/>
      <c r="V46" s="1434" t="n"/>
      <c r="W46" s="1434" t="n"/>
      <c r="X46" s="1435" t="n"/>
    </row>
    <row r="47">
      <c r="A47" s="523" t="n">
        <v>34</v>
      </c>
      <c r="B47" s="48">
        <f>SUM(COUNTIF('03_Eventos_pagamentos'!$E$11:$E$697,'04_TOTALIZADORA'!A47)+COUNTIF('03_Eventos_pagamentos'!$E$766:$E$836,'04_TOTALIZADORA'!A47))</f>
        <v/>
      </c>
      <c r="C47" s="1422">
        <f>SUMIF('03_Eventos_pagamentos'!$E$11:$E$699,A47,'03_Eventos_pagamentos'!$O$11:$O$697)+SUMIF('03_Eventos_pagamentos'!$E$766:$E$836,A47,'03_Eventos_pagamentos'!$O$766:$O$836)</f>
        <v/>
      </c>
      <c r="D47" s="48">
        <f>COUNTIF('03_Eventos_pagamentos'!$E$702:$E$763,'04_TOTALIZADORA'!A47)</f>
        <v/>
      </c>
      <c r="E47" s="1427">
        <f>SUMIF('03_Eventos_pagamentos'!$E$702:$E$763,A47,'03_Eventos_pagamentos'!$O$702:$O$763)</f>
        <v/>
      </c>
      <c r="F47" s="1431">
        <f>C47+E47+F46</f>
        <v/>
      </c>
      <c r="G47" s="1448">
        <f>C47+E47-M47</f>
        <v/>
      </c>
      <c r="H47" s="1452">
        <f>G47*0.15</f>
        <v/>
      </c>
      <c r="I47" s="1452">
        <f>G47-H47</f>
        <v/>
      </c>
      <c r="J47" s="1450">
        <f>I47+M47</f>
        <v/>
      </c>
      <c r="K47" s="1425">
        <f>SUMIF('03_Eventos_pagamentos'!$P$11:$P$843,A48,'03_Eventos_pagamentos'!$Q$11:$Q$843)</f>
        <v/>
      </c>
      <c r="L47" s="1432">
        <f>K47+L46</f>
        <v/>
      </c>
      <c r="M47" s="1427">
        <f>SUMIFS( '03_Eventos_pagamentos'!$O$11:$O$843,'03_Eventos_pagamentos'!$E$11:$E$843,A47,'03_Eventos_pagamentos'!$I$11:$I$843,"FAT. DIRETO")</f>
        <v/>
      </c>
      <c r="N47" s="1432">
        <f>K47+M47+N46</f>
        <v/>
      </c>
      <c r="O47" s="1431" t="n"/>
      <c r="P47" s="1431">
        <f>O47+P46</f>
        <v/>
      </c>
      <c r="Q47" s="1431" t="n"/>
      <c r="R47" s="1431">
        <f>R46+Q47</f>
        <v/>
      </c>
      <c r="S47" s="1433" t="n"/>
      <c r="T47" s="1434" t="n"/>
      <c r="U47" s="1434" t="n"/>
      <c r="V47" s="1434" t="n"/>
      <c r="W47" s="1434" t="n"/>
      <c r="X47" s="1435" t="n"/>
    </row>
    <row r="48">
      <c r="A48" s="523" t="n">
        <v>35</v>
      </c>
      <c r="B48" s="48">
        <f>SUM(COUNTIF('03_Eventos_pagamentos'!$E$11:$E$697,'04_TOTALIZADORA'!A48)+COUNTIF('03_Eventos_pagamentos'!$E$766:$E$836,'04_TOTALIZADORA'!A48))</f>
        <v/>
      </c>
      <c r="C48" s="1422">
        <f>SUMIF('03_Eventos_pagamentos'!$E$11:$E$699,A48,'03_Eventos_pagamentos'!$O$11:$O$697)+SUMIF('03_Eventos_pagamentos'!$E$766:$E$836,A48,'03_Eventos_pagamentos'!$O$766:$O$836)</f>
        <v/>
      </c>
      <c r="D48" s="48">
        <f>COUNTIF('03_Eventos_pagamentos'!$E$702:$E$763,'04_TOTALIZADORA'!A48)</f>
        <v/>
      </c>
      <c r="E48" s="1427">
        <f>SUMIF('03_Eventos_pagamentos'!$E$702:$E$763,A48,'03_Eventos_pagamentos'!$O$702:$O$763)</f>
        <v/>
      </c>
      <c r="F48" s="1431">
        <f>C48+E48+F47</f>
        <v/>
      </c>
      <c r="G48" s="1448">
        <f>C48+E48-M48</f>
        <v/>
      </c>
      <c r="H48" s="1452">
        <f>I14-SUM(H29:H47)</f>
        <v/>
      </c>
      <c r="I48" s="1452">
        <f>G48-H48</f>
        <v/>
      </c>
      <c r="J48" s="1450">
        <f>I48+M48</f>
        <v/>
      </c>
      <c r="K48" s="1425">
        <f>SUMIF('03_Eventos_pagamentos'!$P$11:$P$843,A49,'03_Eventos_pagamentos'!$Q$11:$Q$843)</f>
        <v/>
      </c>
      <c r="L48" s="1432">
        <f>K48+L47</f>
        <v/>
      </c>
      <c r="M48" s="1427">
        <f>SUMIFS( '03_Eventos_pagamentos'!$O$11:$O$843,'03_Eventos_pagamentos'!$E$11:$E$843,A48,'03_Eventos_pagamentos'!$I$11:$I$843,"FAT. DIRETO")</f>
        <v/>
      </c>
      <c r="N48" s="1432">
        <f>K48+M48+N47</f>
        <v/>
      </c>
      <c r="O48" s="1431" t="n"/>
      <c r="P48" s="1431">
        <f>O48+P47</f>
        <v/>
      </c>
      <c r="Q48" s="1431" t="n"/>
      <c r="R48" s="1431">
        <f>R47+Q48</f>
        <v/>
      </c>
      <c r="S48" s="1433" t="n"/>
      <c r="T48" s="1434" t="n"/>
      <c r="U48" s="1434" t="n"/>
      <c r="V48" s="1434" t="n"/>
      <c r="W48" s="1434" t="n"/>
      <c r="X48" s="1435" t="n"/>
    </row>
    <row r="49">
      <c r="A49" s="523" t="n">
        <v>36</v>
      </c>
      <c r="B49" s="48">
        <f>SUM(COUNTIF('03_Eventos_pagamentos'!$E$11:$E$697,'04_TOTALIZADORA'!A49)+COUNTIF('03_Eventos_pagamentos'!$E$766:$E$836,'04_TOTALIZADORA'!A49))</f>
        <v/>
      </c>
      <c r="C49" s="1422">
        <f>SUMIF('03_Eventos_pagamentos'!$E$11:$E$699,A49,'03_Eventos_pagamentos'!$O$11:$O$697)+SUMIF('03_Eventos_pagamentos'!$E$766:$E$836,A49,'03_Eventos_pagamentos'!$O$766:$O$836)</f>
        <v/>
      </c>
      <c r="D49" s="48">
        <f>COUNTIF('03_Eventos_pagamentos'!$E$702:$E$763,'04_TOTALIZADORA'!A49)</f>
        <v/>
      </c>
      <c r="E49" s="1427">
        <f>SUMIF('03_Eventos_pagamentos'!$E$702:$E$763,A49,'03_Eventos_pagamentos'!$O$702:$O$763)</f>
        <v/>
      </c>
      <c r="F49" s="1431">
        <f>C49+E49+F48</f>
        <v/>
      </c>
      <c r="G49" s="1448">
        <f>C49+E49-M49</f>
        <v/>
      </c>
      <c r="H49" s="1452">
        <f>SUMIF('03_Eventos_pagamentos'!$E$702:$E$763,F49,'03_Eventos_pagamentos'!$O$702:$O$763)</f>
        <v/>
      </c>
      <c r="I49" s="1452">
        <f>G49-H49</f>
        <v/>
      </c>
      <c r="J49" s="1450">
        <f>I49+M49</f>
        <v/>
      </c>
      <c r="K49" s="1425">
        <f>SUMIF('03_Eventos_pagamentos'!$P$11:$P$843,A50,'03_Eventos_pagamentos'!$Q$11:$Q$843)</f>
        <v/>
      </c>
      <c r="L49" s="1432">
        <f>K49+L48</f>
        <v/>
      </c>
      <c r="M49" s="1427">
        <f>SUMIFS( '03_Eventos_pagamentos'!$O$11:$O$843,'03_Eventos_pagamentos'!$E$11:$E$843,A49,'03_Eventos_pagamentos'!$I$11:$I$843,"FAT. DIRETO")</f>
        <v/>
      </c>
      <c r="N49" s="1432">
        <f>K49+M49+N48</f>
        <v/>
      </c>
      <c r="O49" s="1431" t="n"/>
      <c r="P49" s="1431">
        <f>O49+P48</f>
        <v/>
      </c>
      <c r="Q49" s="1431" t="n"/>
      <c r="R49" s="1431">
        <f>R48+Q49</f>
        <v/>
      </c>
      <c r="S49" s="1433" t="n"/>
      <c r="T49" s="1434" t="n"/>
      <c r="U49" s="1434" t="n"/>
      <c r="V49" s="1434" t="n"/>
      <c r="W49" s="1434" t="n"/>
      <c r="X49" s="1435" t="n"/>
    </row>
    <row r="50">
      <c r="A50" s="523" t="n">
        <v>37</v>
      </c>
      <c r="B50" s="48">
        <f>SUM(COUNTIF('03_Eventos_pagamentos'!$E$11:$E$697,'04_TOTALIZADORA'!A50)+COUNTIF('03_Eventos_pagamentos'!$E$766:$E$836,'04_TOTALIZADORA'!A50))</f>
        <v/>
      </c>
      <c r="C50" s="1422">
        <f>SUMIF('03_Eventos_pagamentos'!$E$11:$E$699,A50,'03_Eventos_pagamentos'!$O$11:$O$697)+SUMIF('03_Eventos_pagamentos'!$E$766:$E$836,A50,'03_Eventos_pagamentos'!$O$766:$O$836)</f>
        <v/>
      </c>
      <c r="D50" s="48">
        <f>COUNTIF('03_Eventos_pagamentos'!$E$702:$E$763,'04_TOTALIZADORA'!A50)</f>
        <v/>
      </c>
      <c r="E50" s="1427">
        <f>SUMIF('03_Eventos_pagamentos'!$E$702:$E$763,A50,'03_Eventos_pagamentos'!$O$702:$O$763)</f>
        <v/>
      </c>
      <c r="F50" s="1431">
        <f>C50+E50+F49</f>
        <v/>
      </c>
      <c r="G50" s="1448">
        <f>C50+E50-M50</f>
        <v/>
      </c>
      <c r="H50" s="1452">
        <f>SUMIF('03_Eventos_pagamentos'!$E$702:$E$763,F50,'03_Eventos_pagamentos'!$O$702:$O$763)</f>
        <v/>
      </c>
      <c r="I50" s="1452">
        <f>G50-H50</f>
        <v/>
      </c>
      <c r="J50" s="1450">
        <f>I50+M50</f>
        <v/>
      </c>
      <c r="K50" s="1425">
        <f>SUMIF('03_Eventos_pagamentos'!$P$11:$P$843,A51,'03_Eventos_pagamentos'!$Q$11:$Q$843)</f>
        <v/>
      </c>
      <c r="L50" s="1432">
        <f>K50+L49</f>
        <v/>
      </c>
      <c r="M50" s="1427">
        <f>SUMIFS( '03_Eventos_pagamentos'!$O$11:$O$843,'03_Eventos_pagamentos'!$E$11:$E$843,A50,'03_Eventos_pagamentos'!$I$11:$I$843,"FAT. DIRETO")</f>
        <v/>
      </c>
      <c r="N50" s="1432">
        <f>K50+M50+N49</f>
        <v/>
      </c>
      <c r="O50" s="1431" t="n"/>
      <c r="P50" s="1431">
        <f>O50+P49</f>
        <v/>
      </c>
      <c r="Q50" s="1431" t="n"/>
      <c r="R50" s="1431">
        <f>R49+Q50</f>
        <v/>
      </c>
      <c r="S50" s="1433" t="n"/>
      <c r="T50" s="1434" t="n"/>
      <c r="U50" s="1434" t="n"/>
      <c r="V50" s="1434" t="n"/>
      <c r="W50" s="1434" t="n"/>
      <c r="X50" s="1435" t="n"/>
    </row>
    <row r="51">
      <c r="A51" s="523" t="n">
        <v>38</v>
      </c>
      <c r="B51" s="48">
        <f>SUM(COUNTIF('03_Eventos_pagamentos'!$E$11:$E$697,'04_TOTALIZADORA'!A51)+COUNTIF('03_Eventos_pagamentos'!$E$766:$E$836,'04_TOTALIZADORA'!A51))</f>
        <v/>
      </c>
      <c r="C51" s="1422">
        <f>SUMIF('03_Eventos_pagamentos'!$E$11:$E$699,A51,'03_Eventos_pagamentos'!$O$11:$O$697)+SUMIF('03_Eventos_pagamentos'!$E$766:$E$836,A51,'03_Eventos_pagamentos'!$O$766:$O$836)</f>
        <v/>
      </c>
      <c r="D51" s="48">
        <f>COUNTIF('03_Eventos_pagamentos'!$E$702:$E$763,'04_TOTALIZADORA'!A51)</f>
        <v/>
      </c>
      <c r="E51" s="1427">
        <f>SUMIF('03_Eventos_pagamentos'!$E$702:$E$763,A51,'03_Eventos_pagamentos'!$O$702:$O$763)</f>
        <v/>
      </c>
      <c r="F51" s="1431">
        <f>C51+E51+F50</f>
        <v/>
      </c>
      <c r="G51" s="1448">
        <f>C51+E51-M51</f>
        <v/>
      </c>
      <c r="H51" s="1452">
        <f>SUMIF('03_Eventos_pagamentos'!$E$702:$E$763,F51,'03_Eventos_pagamentos'!$O$702:$O$763)</f>
        <v/>
      </c>
      <c r="I51" s="1452">
        <f>G51-H51</f>
        <v/>
      </c>
      <c r="J51" s="1450">
        <f>I51+M51</f>
        <v/>
      </c>
      <c r="K51" s="1425">
        <f>SUMIF('03_Eventos_pagamentos'!$P$11:$P$843,A52,'03_Eventos_pagamentos'!$Q$11:$Q$843)</f>
        <v/>
      </c>
      <c r="L51" s="1432">
        <f>K51+L50</f>
        <v/>
      </c>
      <c r="M51" s="1427">
        <f>SUMIFS( '03_Eventos_pagamentos'!$O$11:$O$843,'03_Eventos_pagamentos'!$E$11:$E$843,A51,'03_Eventos_pagamentos'!$I$11:$I$843,"FAT. DIRETO")</f>
        <v/>
      </c>
      <c r="N51" s="1432">
        <f>K51+M51+N50</f>
        <v/>
      </c>
      <c r="O51" s="1431" t="n"/>
      <c r="P51" s="1431">
        <f>O51+P50</f>
        <v/>
      </c>
      <c r="Q51" s="1431" t="n"/>
      <c r="R51" s="1431">
        <f>R50+Q51</f>
        <v/>
      </c>
      <c r="S51" s="1433" t="n"/>
      <c r="T51" s="1434" t="n"/>
      <c r="U51" s="1434" t="n"/>
      <c r="V51" s="1434" t="n"/>
      <c r="W51" s="1434" t="n"/>
      <c r="X51" s="1435" t="n"/>
    </row>
    <row r="52">
      <c r="A52" s="523" t="n">
        <v>39</v>
      </c>
      <c r="B52" s="48">
        <f>SUM(COUNTIF('03_Eventos_pagamentos'!$E$11:$E$697,'04_TOTALIZADORA'!A52)+COUNTIF('03_Eventos_pagamentos'!$E$766:$E$836,'04_TOTALIZADORA'!A52))</f>
        <v/>
      </c>
      <c r="C52" s="1422">
        <f>SUMIF('03_Eventos_pagamentos'!$E$11:$E$699,A52,'03_Eventos_pagamentos'!$O$11:$O$697)+SUMIF('03_Eventos_pagamentos'!$E$766:$E$836,A52,'03_Eventos_pagamentos'!$O$766:$O$836)</f>
        <v/>
      </c>
      <c r="D52" s="48">
        <f>COUNTIF('03_Eventos_pagamentos'!$E$702:$E$763,'04_TOTALIZADORA'!A52)</f>
        <v/>
      </c>
      <c r="E52" s="1427">
        <f>SUMIF('03_Eventos_pagamentos'!$E$702:$E$763,A52,'03_Eventos_pagamentos'!$O$702:$O$763)</f>
        <v/>
      </c>
      <c r="F52" s="1431">
        <f>C52+E52+F51</f>
        <v/>
      </c>
      <c r="G52" s="1448">
        <f>C52+E52-M52</f>
        <v/>
      </c>
      <c r="H52" s="1452">
        <f>SUMIF('03_Eventos_pagamentos'!$E$702:$E$763,F52,'03_Eventos_pagamentos'!$O$702:$O$763)</f>
        <v/>
      </c>
      <c r="I52" s="1452">
        <f>G52-H52</f>
        <v/>
      </c>
      <c r="J52" s="1450">
        <f>I52+M52</f>
        <v/>
      </c>
      <c r="K52" s="1425">
        <f>SUMIF('03_Eventos_pagamentos'!$P$11:$P$843,A53,'03_Eventos_pagamentos'!$Q$11:$Q$843)</f>
        <v/>
      </c>
      <c r="L52" s="1432">
        <f>K52+L51</f>
        <v/>
      </c>
      <c r="M52" s="1427">
        <f>SUMIFS( '03_Eventos_pagamentos'!$O$11:$O$843,'03_Eventos_pagamentos'!$E$11:$E$843,A52,'03_Eventos_pagamentos'!$I$11:$I$843,"FAT. DIRETO")</f>
        <v/>
      </c>
      <c r="N52" s="1432">
        <f>K52+M52+N51</f>
        <v/>
      </c>
      <c r="O52" s="1431" t="n"/>
      <c r="P52" s="1431">
        <f>O52+P51</f>
        <v/>
      </c>
      <c r="Q52" s="1431" t="n"/>
      <c r="R52" s="1431">
        <f>R51+Q52</f>
        <v/>
      </c>
      <c r="S52" s="1433" t="n"/>
      <c r="T52" s="1434" t="n"/>
      <c r="U52" s="1434" t="n"/>
      <c r="V52" s="1434" t="n"/>
      <c r="W52" s="1434" t="n"/>
      <c r="X52" s="1435" t="n"/>
    </row>
    <row r="53">
      <c r="A53" s="523" t="n">
        <v>40</v>
      </c>
      <c r="B53" s="48">
        <f>SUM(COUNTIF('03_Eventos_pagamentos'!$E$11:$E$697,'04_TOTALIZADORA'!A53)+COUNTIF('03_Eventos_pagamentos'!$E$766:$E$836,'04_TOTALIZADORA'!A53))</f>
        <v/>
      </c>
      <c r="C53" s="1422">
        <f>SUMIF('03_Eventos_pagamentos'!$E$11:$E$699,A53,'03_Eventos_pagamentos'!$O$11:$O$697)+SUMIF('03_Eventos_pagamentos'!$E$766:$E$836,A53,'03_Eventos_pagamentos'!$O$766:$O$836)</f>
        <v/>
      </c>
      <c r="D53" s="48">
        <f>COUNTIF('03_Eventos_pagamentos'!$E$702:$E$763,'04_TOTALIZADORA'!A53)</f>
        <v/>
      </c>
      <c r="E53" s="1427">
        <f>SUMIF('03_Eventos_pagamentos'!$E$702:$E$763,A53,'03_Eventos_pagamentos'!$O$702:$O$763)</f>
        <v/>
      </c>
      <c r="F53" s="1431">
        <f>C53+E53+F52</f>
        <v/>
      </c>
      <c r="G53" s="1448">
        <f>C53+E53-M53</f>
        <v/>
      </c>
      <c r="H53" s="1452">
        <f>SUMIF('03_Eventos_pagamentos'!$E$702:$E$763,F53,'03_Eventos_pagamentos'!$O$702:$O$763)</f>
        <v/>
      </c>
      <c r="I53" s="1452">
        <f>G53-H53</f>
        <v/>
      </c>
      <c r="J53" s="1450">
        <f>I53+M53</f>
        <v/>
      </c>
      <c r="K53" s="1425">
        <f>SUMIF('03_Eventos_pagamentos'!$P$11:$P$843,A54,'03_Eventos_pagamentos'!$Q$11:$Q$843)</f>
        <v/>
      </c>
      <c r="L53" s="1432">
        <f>K53+L52</f>
        <v/>
      </c>
      <c r="M53" s="1427">
        <f>SUMIFS( '03_Eventos_pagamentos'!$O$11:$O$843,'03_Eventos_pagamentos'!$E$11:$E$843,A53,'03_Eventos_pagamentos'!$I$11:$I$843,"FAT. DIRETO")</f>
        <v/>
      </c>
      <c r="N53" s="1432">
        <f>K53+M53+N52</f>
        <v/>
      </c>
      <c r="O53" s="1431" t="n"/>
      <c r="P53" s="1431">
        <f>O53+P52</f>
        <v/>
      </c>
      <c r="Q53" s="1431" t="n"/>
      <c r="R53" s="1431">
        <f>R52+Q53</f>
        <v/>
      </c>
      <c r="S53" s="1433" t="n"/>
      <c r="T53" s="1434" t="n"/>
      <c r="U53" s="1434" t="n"/>
      <c r="V53" s="1434" t="n"/>
      <c r="W53" s="1434" t="n"/>
      <c r="X53" s="1435" t="n"/>
    </row>
    <row r="54">
      <c r="A54" s="523" t="n">
        <v>41</v>
      </c>
      <c r="B54" s="48">
        <f>SUM(COUNTIF('03_Eventos_pagamentos'!$E$11:$E$697,'04_TOTALIZADORA'!A54)+COUNTIF('03_Eventos_pagamentos'!$E$766:$E$836,'04_TOTALIZADORA'!A54))</f>
        <v/>
      </c>
      <c r="C54" s="1422">
        <f>SUMIF('03_Eventos_pagamentos'!$E$11:$E$699,A54,'03_Eventos_pagamentos'!$O$11:$O$697)+SUMIF('03_Eventos_pagamentos'!$E$766:$E$836,A54,'03_Eventos_pagamentos'!$O$766:$O$836)</f>
        <v/>
      </c>
      <c r="D54" s="48">
        <f>COUNTIF('03_Eventos_pagamentos'!$E$702:$E$763,'04_TOTALIZADORA'!A54)</f>
        <v/>
      </c>
      <c r="E54" s="1427">
        <f>SUMIF('03_Eventos_pagamentos'!$E$702:$E$763,A54,'03_Eventos_pagamentos'!$O$702:$O$763)</f>
        <v/>
      </c>
      <c r="F54" s="1431">
        <f>C54+E54+F53</f>
        <v/>
      </c>
      <c r="G54" s="1448">
        <f>C54+E54-M54</f>
        <v/>
      </c>
      <c r="H54" s="1452">
        <f>SUMIF('03_Eventos_pagamentos'!$E$702:$E$763,F54,'03_Eventos_pagamentos'!$O$702:$O$763)</f>
        <v/>
      </c>
      <c r="I54" s="1452">
        <f>G54-H54</f>
        <v/>
      </c>
      <c r="J54" s="1450">
        <f>I54+M54</f>
        <v/>
      </c>
      <c r="K54" s="1425">
        <f>SUMIF('03_Eventos_pagamentos'!$P$11:$P$843,A55,'03_Eventos_pagamentos'!$Q$11:$Q$843)</f>
        <v/>
      </c>
      <c r="L54" s="1432">
        <f>K54+L53</f>
        <v/>
      </c>
      <c r="M54" s="1427">
        <f>SUMIFS( '03_Eventos_pagamentos'!$O$11:$O$843,'03_Eventos_pagamentos'!$E$11:$E$843,A54,'03_Eventos_pagamentos'!$I$11:$I$843,"FAT. DIRETO")</f>
        <v/>
      </c>
      <c r="N54" s="1432">
        <f>K54+M54+N53</f>
        <v/>
      </c>
      <c r="O54" s="1431" t="n"/>
      <c r="P54" s="1431">
        <f>O54+P53</f>
        <v/>
      </c>
      <c r="Q54" s="1431" t="n"/>
      <c r="R54" s="1431">
        <f>R53+Q54</f>
        <v/>
      </c>
      <c r="S54" s="1433" t="n"/>
      <c r="T54" s="1434" t="n"/>
      <c r="U54" s="1434" t="n"/>
      <c r="V54" s="1434" t="n"/>
      <c r="W54" s="1434" t="n"/>
      <c r="X54" s="1435" t="n"/>
    </row>
    <row r="55">
      <c r="A55" s="523" t="n">
        <v>42</v>
      </c>
      <c r="B55" s="48">
        <f>SUM(COUNTIF('03_Eventos_pagamentos'!$E$11:$E$697,'04_TOTALIZADORA'!A55)+COUNTIF('03_Eventos_pagamentos'!$E$766:$E$836,'04_TOTALIZADORA'!A55))</f>
        <v/>
      </c>
      <c r="C55" s="1422">
        <f>SUMIF('03_Eventos_pagamentos'!$E$11:$E$699,A55,'03_Eventos_pagamentos'!$O$11:$O$697)+SUMIF('03_Eventos_pagamentos'!$E$766:$E$836,A55,'03_Eventos_pagamentos'!$O$766:$O$836)</f>
        <v/>
      </c>
      <c r="D55" s="48">
        <f>COUNTIF('03_Eventos_pagamentos'!$E$702:$E$763,'04_TOTALIZADORA'!A55)</f>
        <v/>
      </c>
      <c r="E55" s="1427">
        <f>SUMIF('03_Eventos_pagamentos'!$E$702:$E$763,A55,'03_Eventos_pagamentos'!$O$702:$O$763)</f>
        <v/>
      </c>
      <c r="F55" s="1431">
        <f>C55+E55+F54</f>
        <v/>
      </c>
      <c r="G55" s="1448">
        <f>C55+E55-M55</f>
        <v/>
      </c>
      <c r="H55" s="1452">
        <f>SUMIF('03_Eventos_pagamentos'!$E$702:$E$763,F55,'03_Eventos_pagamentos'!$O$702:$O$763)</f>
        <v/>
      </c>
      <c r="I55" s="1452">
        <f>G55-H55</f>
        <v/>
      </c>
      <c r="J55" s="1450">
        <f>I55+M55</f>
        <v/>
      </c>
      <c r="K55" s="1425">
        <f>SUMIF('03_Eventos_pagamentos'!$P$11:$P$843,A56,'03_Eventos_pagamentos'!$Q$11:$Q$843)</f>
        <v/>
      </c>
      <c r="L55" s="1432">
        <f>K55+L54</f>
        <v/>
      </c>
      <c r="M55" s="1427">
        <f>SUMIFS( '03_Eventos_pagamentos'!$O$11:$O$843,'03_Eventos_pagamentos'!$E$11:$E$843,A55,'03_Eventos_pagamentos'!$I$11:$I$843,"FAT. DIRETO")</f>
        <v/>
      </c>
      <c r="N55" s="1432">
        <f>K55+M55+N54</f>
        <v/>
      </c>
      <c r="O55" s="1431" t="n"/>
      <c r="P55" s="1431">
        <f>O55+P54</f>
        <v/>
      </c>
      <c r="Q55" s="1431" t="n">
        <v>113319.22</v>
      </c>
      <c r="R55" s="1431">
        <f>R54+Q55</f>
        <v/>
      </c>
      <c r="S55" s="1433" t="n"/>
      <c r="T55" s="1434" t="n"/>
      <c r="U55" s="1434" t="n"/>
      <c r="V55" s="1434" t="n"/>
      <c r="W55" s="1434" t="n"/>
      <c r="X55" s="1435" t="n"/>
    </row>
    <row r="56">
      <c r="A56" s="523" t="n">
        <v>43</v>
      </c>
      <c r="B56" s="48">
        <f>SUM(COUNTIF('03_Eventos_pagamentos'!$E$11:$E$697,'04_TOTALIZADORA'!A56)+COUNTIF('03_Eventos_pagamentos'!$E$766:$E$836,'04_TOTALIZADORA'!A56))</f>
        <v/>
      </c>
      <c r="C56" s="1422">
        <f>SUMIF('03_Eventos_pagamentos'!$E$11:$E$699,A56,'03_Eventos_pagamentos'!$O$11:$O$697)+SUMIF('03_Eventos_pagamentos'!$E$766:$E$836,A56,'03_Eventos_pagamentos'!$O$766:$O$836)</f>
        <v/>
      </c>
      <c r="D56" s="48">
        <f>COUNTIF('03_Eventos_pagamentos'!$E$702:$E$763,'04_TOTALIZADORA'!A56)</f>
        <v/>
      </c>
      <c r="E56" s="1427">
        <f>SUMIF('03_Eventos_pagamentos'!$E$702:$E$763,A56,'03_Eventos_pagamentos'!$O$702:$O$763)</f>
        <v/>
      </c>
      <c r="F56" s="1431">
        <f>C56+E56+F55</f>
        <v/>
      </c>
      <c r="G56" s="1448">
        <f>C56+E56-M56</f>
        <v/>
      </c>
      <c r="H56" s="1452">
        <f>SUMIF('03_Eventos_pagamentos'!$E$702:$E$763,F56,'03_Eventos_pagamentos'!$O$702:$O$763)</f>
        <v/>
      </c>
      <c r="I56" s="1452">
        <f>G56-H56</f>
        <v/>
      </c>
      <c r="J56" s="1450">
        <f>I56+M56</f>
        <v/>
      </c>
      <c r="K56" s="1425">
        <f>SUMIF('03_Eventos_pagamentos'!$P$11:$P$843,A57,'03_Eventos_pagamentos'!$Q$11:$Q$843)</f>
        <v/>
      </c>
      <c r="L56" s="1432">
        <f>K56+L55</f>
        <v/>
      </c>
      <c r="M56" s="1427">
        <f>SUMIFS( '03_Eventos_pagamentos'!$O$11:$O$843,'03_Eventos_pagamentos'!$E$11:$E$843,A56,'03_Eventos_pagamentos'!$I$11:$I$843,"FAT. DIRETO")</f>
        <v/>
      </c>
      <c r="N56" s="1432">
        <f>K56+M56+N55</f>
        <v/>
      </c>
      <c r="O56" s="1431" t="n"/>
      <c r="P56" s="1431">
        <f>O56+P55</f>
        <v/>
      </c>
      <c r="Q56" s="1431" t="n"/>
      <c r="R56" s="1431">
        <f>R55+Q56</f>
        <v/>
      </c>
      <c r="S56" s="1433" t="n"/>
      <c r="T56" s="1434" t="n"/>
      <c r="U56" s="1434" t="n"/>
      <c r="V56" s="1434" t="n"/>
      <c r="W56" s="1434" t="n"/>
      <c r="X56" s="1435" t="n"/>
    </row>
    <row r="57">
      <c r="A57" s="523" t="n">
        <v>44</v>
      </c>
      <c r="B57" s="48">
        <f>SUM(COUNTIF('03_Eventos_pagamentos'!$E$11:$E$697,'04_TOTALIZADORA'!A57)+COUNTIF('03_Eventos_pagamentos'!$E$766:$E$836,'04_TOTALIZADORA'!A57))</f>
        <v/>
      </c>
      <c r="C57" s="1422">
        <f>SUMIF('03_Eventos_pagamentos'!$E$11:$E$699,A57,'03_Eventos_pagamentos'!$O$11:$O$697)+SUMIF('03_Eventos_pagamentos'!$E$766:$E$836,A57,'03_Eventos_pagamentos'!$O$766:$O$836)</f>
        <v/>
      </c>
      <c r="D57" s="48">
        <f>COUNTIF('03_Eventos_pagamentos'!$E$702:$E$763,'04_TOTALIZADORA'!A57)</f>
        <v/>
      </c>
      <c r="E57" s="1427">
        <f>SUMIF('03_Eventos_pagamentos'!$E$702:$E$763,A57,'03_Eventos_pagamentos'!$O$702:$O$763)</f>
        <v/>
      </c>
      <c r="F57" s="1431">
        <f>C57+E57+F56</f>
        <v/>
      </c>
      <c r="G57" s="1448">
        <f>C57+E57-M57</f>
        <v/>
      </c>
      <c r="H57" s="1452">
        <f>SUMIF('03_Eventos_pagamentos'!$E$702:$E$763,F57,'03_Eventos_pagamentos'!$O$702:$O$763)</f>
        <v/>
      </c>
      <c r="I57" s="1452">
        <f>G57-H57</f>
        <v/>
      </c>
      <c r="J57" s="1450">
        <f>I57+M57</f>
        <v/>
      </c>
      <c r="K57" s="1425">
        <f>SUMIF('03_Eventos_pagamentos'!$P$11:$P$843,A58,'03_Eventos_pagamentos'!$Q$11:$Q$843)</f>
        <v/>
      </c>
      <c r="L57" s="1432">
        <f>K57+L56</f>
        <v/>
      </c>
      <c r="M57" s="1427">
        <f>SUMIFS( '03_Eventos_pagamentos'!$O$11:$O$843,'03_Eventos_pagamentos'!$E$11:$E$843,A57,'03_Eventos_pagamentos'!$I$11:$I$843,"FAT. DIRETO")</f>
        <v/>
      </c>
      <c r="N57" s="1432">
        <f>K57+M57+N56</f>
        <v/>
      </c>
      <c r="O57" s="1431" t="n"/>
      <c r="P57" s="1431">
        <f>O57+P56</f>
        <v/>
      </c>
      <c r="Q57" s="1431" t="n"/>
      <c r="R57" s="1431">
        <f>R56+Q57</f>
        <v/>
      </c>
      <c r="S57" s="1433" t="n"/>
      <c r="T57" s="1434" t="n"/>
      <c r="U57" s="1434" t="n"/>
      <c r="V57" s="1434" t="n"/>
      <c r="W57" s="1434" t="n"/>
      <c r="X57" s="1435" t="n"/>
    </row>
    <row r="58">
      <c r="A58" s="523" t="n">
        <v>45</v>
      </c>
      <c r="B58" s="48">
        <f>SUM(COUNTIF('03_Eventos_pagamentos'!$E$11:$E$697,'04_TOTALIZADORA'!A58)+COUNTIF('03_Eventos_pagamentos'!$E$766:$E$836,'04_TOTALIZADORA'!A58))</f>
        <v/>
      </c>
      <c r="C58" s="1422">
        <f>SUMIF('03_Eventos_pagamentos'!$E$11:$E$699,A58,'03_Eventos_pagamentos'!$O$11:$O$697)+SUMIF('03_Eventos_pagamentos'!$E$766:$E$836,A58,'03_Eventos_pagamentos'!$O$766:$O$836)</f>
        <v/>
      </c>
      <c r="D58" s="48">
        <f>COUNTIF('03_Eventos_pagamentos'!$E$702:$E$763,'04_TOTALIZADORA'!A58)</f>
        <v/>
      </c>
      <c r="E58" s="1427">
        <f>SUMIF('03_Eventos_pagamentos'!$E$702:$E$763,A58,'03_Eventos_pagamentos'!$O$702:$O$763)</f>
        <v/>
      </c>
      <c r="F58" s="1431">
        <f>C58+E58+F57</f>
        <v/>
      </c>
      <c r="G58" s="1448">
        <f>C58+E58-M58</f>
        <v/>
      </c>
      <c r="H58" s="1452">
        <f>SUMIF('03_Eventos_pagamentos'!$E$702:$E$763,F58,'03_Eventos_pagamentos'!$O$702:$O$763)</f>
        <v/>
      </c>
      <c r="I58" s="1452">
        <f>G58-H58</f>
        <v/>
      </c>
      <c r="J58" s="1450">
        <f>I58+M58</f>
        <v/>
      </c>
      <c r="K58" s="1425">
        <f>SUMIF('03_Eventos_pagamentos'!$P$11:$P$843,A59,'03_Eventos_pagamentos'!$Q$11:$Q$843)</f>
        <v/>
      </c>
      <c r="L58" s="1432">
        <f>K58+L57</f>
        <v/>
      </c>
      <c r="M58" s="1427">
        <f>SUMIFS( '03_Eventos_pagamentos'!$O$11:$O$843,'03_Eventos_pagamentos'!$E$11:$E$843,A58,'03_Eventos_pagamentos'!$I$11:$I$843,"FAT. DIRETO")</f>
        <v/>
      </c>
      <c r="N58" s="1432">
        <f>K58+M58+N57</f>
        <v/>
      </c>
      <c r="O58" s="1431" t="n"/>
      <c r="P58" s="1431">
        <f>O58+P57</f>
        <v/>
      </c>
      <c r="Q58" s="1431" t="n"/>
      <c r="R58" s="1431">
        <f>R57+Q58</f>
        <v/>
      </c>
      <c r="S58" s="1433" t="n"/>
      <c r="T58" s="1434" t="n"/>
      <c r="U58" s="1434" t="n"/>
      <c r="V58" s="1434" t="n"/>
      <c r="W58" s="1434" t="n"/>
      <c r="X58" s="1435" t="n"/>
    </row>
    <row r="59">
      <c r="A59" s="523" t="n">
        <v>46</v>
      </c>
      <c r="B59" s="48">
        <f>SUM(COUNTIF('03_Eventos_pagamentos'!$E$11:$E$697,'04_TOTALIZADORA'!A59)+COUNTIF('03_Eventos_pagamentos'!$E$766:$E$836,'04_TOTALIZADORA'!A59))</f>
        <v/>
      </c>
      <c r="C59" s="1422">
        <f>SUMIF('03_Eventos_pagamentos'!$E$11:$E$699,A59,'03_Eventos_pagamentos'!$O$11:$O$697)+SUMIF('03_Eventos_pagamentos'!$E$766:$E$836,A59,'03_Eventos_pagamentos'!$O$766:$O$836)</f>
        <v/>
      </c>
      <c r="D59" s="48">
        <f>COUNTIF('03_Eventos_pagamentos'!$E$702:$E$763,'04_TOTALIZADORA'!A59)</f>
        <v/>
      </c>
      <c r="E59" s="1427">
        <f>SUMIF('03_Eventos_pagamentos'!$E$702:$E$763,A59,'03_Eventos_pagamentos'!$O$702:$O$763)</f>
        <v/>
      </c>
      <c r="F59" s="1431">
        <f>C59+E59+F58</f>
        <v/>
      </c>
      <c r="G59" s="1448">
        <f>C59+E59-M59</f>
        <v/>
      </c>
      <c r="H59" s="1452">
        <f>SUMIF('03_Eventos_pagamentos'!$E$702:$E$763,F59,'03_Eventos_pagamentos'!$O$702:$O$763)</f>
        <v/>
      </c>
      <c r="I59" s="1452">
        <f>G59-H59</f>
        <v/>
      </c>
      <c r="J59" s="1450">
        <f>I59+M59</f>
        <v/>
      </c>
      <c r="K59" s="1425">
        <f>SUMIF('03_Eventos_pagamentos'!$P$11:$P$843,A60,'03_Eventos_pagamentos'!$Q$11:$Q$843)</f>
        <v/>
      </c>
      <c r="L59" s="1432">
        <f>K59+L58</f>
        <v/>
      </c>
      <c r="M59" s="1427">
        <f>SUMIFS( '03_Eventos_pagamentos'!$O$11:$O$843,'03_Eventos_pagamentos'!$E$11:$E$843,A59,'03_Eventos_pagamentos'!$I$11:$I$843,"FAT. DIRETO")</f>
        <v/>
      </c>
      <c r="N59" s="1432">
        <f>K59+M59+N58</f>
        <v/>
      </c>
      <c r="O59" s="1431" t="n"/>
      <c r="P59" s="1431">
        <f>O59+P58</f>
        <v/>
      </c>
      <c r="Q59" s="1431" t="n"/>
      <c r="R59" s="1431">
        <f>R58+Q59</f>
        <v/>
      </c>
      <c r="S59" s="1433" t="n"/>
      <c r="T59" s="1434" t="n"/>
      <c r="U59" s="1434" t="n"/>
      <c r="V59" s="1434" t="n"/>
      <c r="W59" s="1434" t="n"/>
      <c r="X59" s="1435" t="n"/>
    </row>
    <row r="60">
      <c r="A60" s="523" t="n">
        <v>47</v>
      </c>
      <c r="B60" s="48">
        <f>SUM(COUNTIF('03_Eventos_pagamentos'!$E$11:$E$697,'04_TOTALIZADORA'!A60)+COUNTIF('03_Eventos_pagamentos'!$E$766:$E$836,'04_TOTALIZADORA'!A60))</f>
        <v/>
      </c>
      <c r="C60" s="1422">
        <f>SUMIF('03_Eventos_pagamentos'!$E$11:$E$699,A60,'03_Eventos_pagamentos'!$O$11:$O$697)+SUMIF('03_Eventos_pagamentos'!$E$766:$E$836,A60,'03_Eventos_pagamentos'!$O$766:$O$836)</f>
        <v/>
      </c>
      <c r="D60" s="48">
        <f>COUNTIF('03_Eventos_pagamentos'!$E$702:$E$763,'04_TOTALIZADORA'!A60)</f>
        <v/>
      </c>
      <c r="E60" s="1427">
        <f>SUMIF('03_Eventos_pagamentos'!$E$702:$E$763,A60,'03_Eventos_pagamentos'!$O$702:$O$763)</f>
        <v/>
      </c>
      <c r="F60" s="1431">
        <f>C60+E60+F59</f>
        <v/>
      </c>
      <c r="G60" s="1448">
        <f>C60+E60-M60</f>
        <v/>
      </c>
      <c r="H60" s="1452">
        <f>SUMIF('03_Eventos_pagamentos'!$E$702:$E$763,F60,'03_Eventos_pagamentos'!$O$702:$O$763)</f>
        <v/>
      </c>
      <c r="I60" s="1452">
        <f>G60-H60</f>
        <v/>
      </c>
      <c r="J60" s="1450">
        <f>I60+M60</f>
        <v/>
      </c>
      <c r="K60" s="1425">
        <f>SUMIF('03_Eventos_pagamentos'!$P$11:$P$843,A61,'03_Eventos_pagamentos'!$Q$11:$Q$843)</f>
        <v/>
      </c>
      <c r="L60" s="1432">
        <f>K60+L59</f>
        <v/>
      </c>
      <c r="M60" s="1427">
        <f>SUMIFS( '03_Eventos_pagamentos'!$O$11:$O$843,'03_Eventos_pagamentos'!$E$11:$E$843,A60,'03_Eventos_pagamentos'!$I$11:$I$843,"FAT. DIRETO")</f>
        <v/>
      </c>
      <c r="N60" s="1432">
        <f>K60+M60+N59</f>
        <v/>
      </c>
      <c r="O60" s="1431" t="n"/>
      <c r="P60" s="1431">
        <f>O60+P59</f>
        <v/>
      </c>
      <c r="Q60" s="1431" t="n"/>
      <c r="R60" s="1431">
        <f>R59+Q60</f>
        <v/>
      </c>
      <c r="S60" s="1433" t="n"/>
      <c r="T60" s="1434" t="n"/>
      <c r="U60" s="1434" t="n"/>
      <c r="V60" s="1434" t="n"/>
      <c r="W60" s="1434" t="n"/>
      <c r="X60" s="1435" t="n"/>
    </row>
    <row r="61">
      <c r="A61" s="523" t="n">
        <v>48</v>
      </c>
      <c r="B61" s="48">
        <f>SUM(COUNTIF('03_Eventos_pagamentos'!$E$11:$E$697,'04_TOTALIZADORA'!A61)+COUNTIF('03_Eventos_pagamentos'!$E$766:$E$836,'04_TOTALIZADORA'!A61))</f>
        <v/>
      </c>
      <c r="C61" s="1422">
        <f>SUMIF('03_Eventos_pagamentos'!$E$11:$E$699,A61,'03_Eventos_pagamentos'!$O$11:$O$697)+SUMIF('03_Eventos_pagamentos'!$E$766:$E$836,A61,'03_Eventos_pagamentos'!$O$766:$O$836)</f>
        <v/>
      </c>
      <c r="D61" s="48">
        <f>COUNTIF('03_Eventos_pagamentos'!$E$702:$E$763,'04_TOTALIZADORA'!A61)</f>
        <v/>
      </c>
      <c r="E61" s="1427">
        <f>SUMIF('03_Eventos_pagamentos'!$E$702:$E$763,A61,'03_Eventos_pagamentos'!$O$702:$O$763)</f>
        <v/>
      </c>
      <c r="F61" s="1431">
        <f>C61+E61+F60</f>
        <v/>
      </c>
      <c r="G61" s="1448">
        <f>C61+E61-M61</f>
        <v/>
      </c>
      <c r="H61" s="1452">
        <f>SUMIF('03_Eventos_pagamentos'!$E$702:$E$763,F61,'03_Eventos_pagamentos'!$O$702:$O$763)</f>
        <v/>
      </c>
      <c r="I61" s="1452">
        <f>G61-H61</f>
        <v/>
      </c>
      <c r="J61" s="1450">
        <f>I61+M61</f>
        <v/>
      </c>
      <c r="K61" s="1425">
        <f>SUMIF('03_Eventos_pagamentos'!$P$11:$P$843,A62,'03_Eventos_pagamentos'!$Q$11:$Q$843)</f>
        <v/>
      </c>
      <c r="L61" s="1432">
        <f>K61+L60</f>
        <v/>
      </c>
      <c r="M61" s="1427">
        <f>SUMIFS( '03_Eventos_pagamentos'!$O$11:$O$843,'03_Eventos_pagamentos'!$E$11:$E$843,A61,'03_Eventos_pagamentos'!$I$11:$I$843,"FAT. DIRETO")</f>
        <v/>
      </c>
      <c r="N61" s="1432">
        <f>K61+M61+N60</f>
        <v/>
      </c>
      <c r="O61" s="1431" t="n"/>
      <c r="P61" s="1431">
        <f>O61+P60</f>
        <v/>
      </c>
      <c r="Q61" s="1431" t="n"/>
      <c r="R61" s="1431">
        <f>R60+Q61</f>
        <v/>
      </c>
      <c r="S61" s="1433" t="n"/>
      <c r="T61" s="1434" t="n"/>
      <c r="U61" s="1434" t="n"/>
      <c r="V61" s="1434" t="n"/>
      <c r="W61" s="1434" t="n"/>
      <c r="X61" s="1435" t="n"/>
    </row>
    <row r="62">
      <c r="A62" s="523" t="n">
        <v>49</v>
      </c>
      <c r="B62" s="48">
        <f>SUM(COUNTIF('03_Eventos_pagamentos'!$E$11:$E$697,'04_TOTALIZADORA'!A62)+COUNTIF('03_Eventos_pagamentos'!$E$766:$E$836,'04_TOTALIZADORA'!A62))</f>
        <v/>
      </c>
      <c r="C62" s="1422">
        <f>SUMIF('03_Eventos_pagamentos'!$E$11:$E$699,A62,'03_Eventos_pagamentos'!$O$11:$O$697)+SUMIF('03_Eventos_pagamentos'!$E$766:$E$836,A62,'03_Eventos_pagamentos'!$O$766:$O$836)</f>
        <v/>
      </c>
      <c r="D62" s="48">
        <f>COUNTIF('03_Eventos_pagamentos'!$E$702:$E$763,'04_TOTALIZADORA'!A62)</f>
        <v/>
      </c>
      <c r="E62" s="1427">
        <f>SUMIF('03_Eventos_pagamentos'!$E$702:$E$763,A62,'03_Eventos_pagamentos'!$O$702:$O$763)</f>
        <v/>
      </c>
      <c r="F62" s="1431">
        <f>C62+E62+F61</f>
        <v/>
      </c>
      <c r="G62" s="1448">
        <f>C62+E62-M62</f>
        <v/>
      </c>
      <c r="H62" s="1452">
        <f>SUMIF('03_Eventos_pagamentos'!$E$702:$E$763,F62,'03_Eventos_pagamentos'!$O$702:$O$763)</f>
        <v/>
      </c>
      <c r="I62" s="1452">
        <f>G62-H62</f>
        <v/>
      </c>
      <c r="J62" s="1450">
        <f>I62+M62</f>
        <v/>
      </c>
      <c r="K62" s="1425">
        <f>SUMIF('03_Eventos_pagamentos'!$P$11:$P$843,A63,'03_Eventos_pagamentos'!$Q$11:$Q$843)</f>
        <v/>
      </c>
      <c r="L62" s="1432">
        <f>K62+L61</f>
        <v/>
      </c>
      <c r="M62" s="1427">
        <f>SUMIFS( '03_Eventos_pagamentos'!$O$11:$O$843,'03_Eventos_pagamentos'!$E$11:$E$843,A62,'03_Eventos_pagamentos'!$I$11:$I$843,"FAT. DIRETO")</f>
        <v/>
      </c>
      <c r="N62" s="1432">
        <f>K62+M62+N61</f>
        <v/>
      </c>
      <c r="O62" s="1431" t="n"/>
      <c r="P62" s="1431">
        <f>O62+P61</f>
        <v/>
      </c>
      <c r="Q62" s="1431" t="n"/>
      <c r="R62" s="1431">
        <f>R61+Q62</f>
        <v/>
      </c>
      <c r="S62" s="1433" t="n"/>
      <c r="T62" s="1434" t="n"/>
      <c r="U62" s="1434" t="n"/>
      <c r="V62" s="1434" t="n"/>
      <c r="W62" s="1434" t="n"/>
      <c r="X62" s="1435" t="n"/>
    </row>
    <row r="63">
      <c r="A63" s="523" t="n">
        <v>50</v>
      </c>
      <c r="B63" s="48">
        <f>SUM(COUNTIF('03_Eventos_pagamentos'!$E$11:$E$697,'04_TOTALIZADORA'!A63)+COUNTIF('03_Eventos_pagamentos'!$E$766:$E$836,'04_TOTALIZADORA'!A63))</f>
        <v/>
      </c>
      <c r="C63" s="1422">
        <f>SUMIF('03_Eventos_pagamentos'!$E$11:$E$699,A63,'03_Eventos_pagamentos'!$O$11:$O$697)+SUMIF('03_Eventos_pagamentos'!$E$766:$E$836,A63,'03_Eventos_pagamentos'!$O$766:$O$836)</f>
        <v/>
      </c>
      <c r="D63" s="48">
        <f>COUNTIF('03_Eventos_pagamentos'!$E$702:$E$763,'04_TOTALIZADORA'!A63)</f>
        <v/>
      </c>
      <c r="E63" s="1427">
        <f>SUMIF('03_Eventos_pagamentos'!$E$702:$E$763,A63,'03_Eventos_pagamentos'!$O$702:$O$763)</f>
        <v/>
      </c>
      <c r="F63" s="1431">
        <f>C63+E63+F62</f>
        <v/>
      </c>
      <c r="G63" s="1448">
        <f>C63+E63-M63</f>
        <v/>
      </c>
      <c r="H63" s="1452">
        <f>SUMIF('03_Eventos_pagamentos'!$E$702:$E$763,F63,'03_Eventos_pagamentos'!$O$702:$O$763)</f>
        <v/>
      </c>
      <c r="I63" s="1452">
        <f>G63-H63</f>
        <v/>
      </c>
      <c r="J63" s="1450">
        <f>I63+M63</f>
        <v/>
      </c>
      <c r="K63" s="1425">
        <f>SUMIF('03_Eventos_pagamentos'!$P$11:$P$843,A64,'03_Eventos_pagamentos'!$Q$11:$Q$843)</f>
        <v/>
      </c>
      <c r="L63" s="1432">
        <f>K63+L62</f>
        <v/>
      </c>
      <c r="M63" s="1427">
        <f>SUMIFS( '03_Eventos_pagamentos'!$O$11:$O$843,'03_Eventos_pagamentos'!$E$11:$E$843,A63,'03_Eventos_pagamentos'!$I$11:$I$843,"FAT. DIRETO")</f>
        <v/>
      </c>
      <c r="N63" s="1432">
        <f>K63+M63+N62</f>
        <v/>
      </c>
      <c r="O63" s="1431" t="n"/>
      <c r="P63" s="1431">
        <f>O63+P62</f>
        <v/>
      </c>
      <c r="Q63" s="1431" t="n"/>
      <c r="R63" s="1431">
        <f>R62+Q63</f>
        <v/>
      </c>
      <c r="S63" s="1433" t="n"/>
      <c r="T63" s="1434" t="n"/>
      <c r="U63" s="1434" t="n"/>
      <c r="V63" s="1434" t="n"/>
      <c r="W63" s="1434" t="n"/>
      <c r="X63" s="1435" t="n"/>
      <c r="AB63" s="1327" t="n"/>
    </row>
    <row r="64">
      <c r="A64" s="523" t="n">
        <v>51</v>
      </c>
      <c r="B64" s="48">
        <f>SUM(COUNTIF('03_Eventos_pagamentos'!$E$11:$E$697,'04_TOTALIZADORA'!A64)+COUNTIF('03_Eventos_pagamentos'!$E$766:$E$836,'04_TOTALIZADORA'!A64))</f>
        <v/>
      </c>
      <c r="C64" s="1422">
        <f>SUMIF('03_Eventos_pagamentos'!$E$11:$E$699,A64,'03_Eventos_pagamentos'!$O$11:$O$697)+SUMIF('03_Eventos_pagamentos'!$E$766:$E$836,A64,'03_Eventos_pagamentos'!$O$766:$O$836)</f>
        <v/>
      </c>
      <c r="D64" s="48">
        <f>COUNTIF('03_Eventos_pagamentos'!$E$702:$E$763,'04_TOTALIZADORA'!A64)</f>
        <v/>
      </c>
      <c r="E64" s="1427">
        <f>SUMIF('03_Eventos_pagamentos'!$E$702:$E$763,A64,'03_Eventos_pagamentos'!$O$702:$O$763)</f>
        <v/>
      </c>
      <c r="F64" s="1431">
        <f>C64+E64+F63</f>
        <v/>
      </c>
      <c r="G64" s="1448">
        <f>C64+E64-M64</f>
        <v/>
      </c>
      <c r="H64" s="1452">
        <f>SUMIF('03_Eventos_pagamentos'!$E$702:$E$763,F64,'03_Eventos_pagamentos'!$O$702:$O$763)</f>
        <v/>
      </c>
      <c r="I64" s="1452">
        <f>G64-H64</f>
        <v/>
      </c>
      <c r="J64" s="1450">
        <f>I64+M64</f>
        <v/>
      </c>
      <c r="K64" s="1425">
        <f>SUMIF('03_Eventos_pagamentos'!$P$11:$P$843,A65,'03_Eventos_pagamentos'!$Q$11:$Q$843)</f>
        <v/>
      </c>
      <c r="L64" s="1432">
        <f>K64+L63</f>
        <v/>
      </c>
      <c r="M64" s="1427">
        <f>SUMIFS( '03_Eventos_pagamentos'!$O$11:$O$843,'03_Eventos_pagamentos'!$E$11:$E$843,A64,'03_Eventos_pagamentos'!$I$11:$I$843,"FAT. DIRETO")</f>
        <v/>
      </c>
      <c r="N64" s="1432">
        <f>K64+M64+N63</f>
        <v/>
      </c>
      <c r="O64" s="1431" t="n"/>
      <c r="P64" s="1431">
        <f>O64+P63</f>
        <v/>
      </c>
      <c r="Q64" s="1431" t="n"/>
      <c r="R64" s="1431">
        <f>R63+Q64</f>
        <v/>
      </c>
      <c r="S64" s="1433" t="n"/>
      <c r="T64" s="1434" t="n"/>
      <c r="U64" s="1434" t="n"/>
      <c r="V64" s="1434" t="n"/>
      <c r="W64" s="1434" t="n"/>
      <c r="X64" s="1435" t="n"/>
    </row>
    <row r="65">
      <c r="A65" s="523" t="n">
        <v>52</v>
      </c>
      <c r="B65" s="48">
        <f>SUM(COUNTIF('03_Eventos_pagamentos'!$E$11:$E$697,'04_TOTALIZADORA'!A65)+COUNTIF('03_Eventos_pagamentos'!$E$766:$E$836,'04_TOTALIZADORA'!A65))</f>
        <v/>
      </c>
      <c r="C65" s="1422">
        <f>SUMIF('03_Eventos_pagamentos'!$E$11:$E$699,A65,'03_Eventos_pagamentos'!$O$11:$O$697)+SUMIF('03_Eventos_pagamentos'!$E$766:$E$836,A65,'03_Eventos_pagamentos'!$O$766:$O$836)</f>
        <v/>
      </c>
      <c r="D65" s="48">
        <f>COUNTIF('03_Eventos_pagamentos'!$E$702:$E$763,'04_TOTALIZADORA'!A65)</f>
        <v/>
      </c>
      <c r="E65" s="1427">
        <f>SUMIF('03_Eventos_pagamentos'!$E$702:$E$763,A65,'03_Eventos_pagamentos'!$O$702:$O$763)</f>
        <v/>
      </c>
      <c r="F65" s="1431">
        <f>C65+E65+F64</f>
        <v/>
      </c>
      <c r="G65" s="1448">
        <f>C65+E65-M65</f>
        <v/>
      </c>
      <c r="H65" s="1452">
        <f>SUMIF('03_Eventos_pagamentos'!$E$702:$E$763,F65,'03_Eventos_pagamentos'!$O$702:$O$763)</f>
        <v/>
      </c>
      <c r="I65" s="1452">
        <f>G65-H65</f>
        <v/>
      </c>
      <c r="J65" s="1450">
        <f>I65+M65</f>
        <v/>
      </c>
      <c r="K65" s="1425">
        <f>SUMIF('03_Eventos_pagamentos'!$P$11:$P$843,A66,'03_Eventos_pagamentos'!$Q$11:$Q$843)</f>
        <v/>
      </c>
      <c r="L65" s="1432">
        <f>K65+L64</f>
        <v/>
      </c>
      <c r="M65" s="1427">
        <f>SUMIFS( '03_Eventos_pagamentos'!$O$11:$O$843,'03_Eventos_pagamentos'!$E$11:$E$843,A65,'03_Eventos_pagamentos'!$I$11:$I$843,"FAT. DIRETO")</f>
        <v/>
      </c>
      <c r="N65" s="1432">
        <f>K65+M65+N64</f>
        <v/>
      </c>
      <c r="O65" s="1431" t="n"/>
      <c r="P65" s="1431">
        <f>O65+P64</f>
        <v/>
      </c>
      <c r="Q65" s="1431" t="n"/>
      <c r="R65" s="1431">
        <f>R64+Q65</f>
        <v/>
      </c>
      <c r="S65" s="1433" t="n"/>
      <c r="T65" s="1434" t="n"/>
      <c r="U65" s="1434" t="n"/>
      <c r="V65" s="1434" t="n"/>
      <c r="W65" s="1434" t="n"/>
      <c r="X65" s="1435" t="n"/>
    </row>
    <row r="66">
      <c r="A66" s="523" t="n">
        <v>53</v>
      </c>
      <c r="B66" s="48">
        <f>SUM(COUNTIF('03_Eventos_pagamentos'!$E$11:$E$697,'04_TOTALIZADORA'!A66)+COUNTIF('03_Eventos_pagamentos'!$E$766:$E$836,'04_TOTALIZADORA'!A66))</f>
        <v/>
      </c>
      <c r="C66" s="1422">
        <f>SUMIF('03_Eventos_pagamentos'!$E$11:$E$699,A66,'03_Eventos_pagamentos'!$O$11:$O$697)+SUMIF('03_Eventos_pagamentos'!$E$766:$E$836,A66,'03_Eventos_pagamentos'!$O$766:$O$836)</f>
        <v/>
      </c>
      <c r="D66" s="48">
        <f>COUNTIF('03_Eventos_pagamentos'!$E$702:$E$763,'04_TOTALIZADORA'!A66)</f>
        <v/>
      </c>
      <c r="E66" s="1427">
        <f>SUMIF('03_Eventos_pagamentos'!$E$702:$E$763,A66,'03_Eventos_pagamentos'!$O$702:$O$763)</f>
        <v/>
      </c>
      <c r="F66" s="1431">
        <f>C66+E66+F65</f>
        <v/>
      </c>
      <c r="G66" s="1448">
        <f>C66+E66-M66</f>
        <v/>
      </c>
      <c r="H66" s="1452">
        <f>SUMIF('03_Eventos_pagamentos'!$E$702:$E$763,F66,'03_Eventos_pagamentos'!$O$702:$O$763)</f>
        <v/>
      </c>
      <c r="I66" s="1452">
        <f>G66-H66</f>
        <v/>
      </c>
      <c r="J66" s="1450">
        <f>I66+M66</f>
        <v/>
      </c>
      <c r="K66" s="1425">
        <f>SUMIF('03_Eventos_pagamentos'!$P$11:$P$843,A67,'03_Eventos_pagamentos'!$Q$11:$Q$843)</f>
        <v/>
      </c>
      <c r="L66" s="1432">
        <f>K66+L65</f>
        <v/>
      </c>
      <c r="M66" s="1427">
        <f>SUMIFS( '03_Eventos_pagamentos'!$O$11:$O$843,'03_Eventos_pagamentos'!$E$11:$E$843,A66,'03_Eventos_pagamentos'!$I$11:$I$843,"FAT. DIRETO")</f>
        <v/>
      </c>
      <c r="N66" s="1432">
        <f>K66+M66+N65</f>
        <v/>
      </c>
      <c r="O66" s="1431" t="n"/>
      <c r="P66" s="1431">
        <f>O66+P65</f>
        <v/>
      </c>
      <c r="Q66" s="1431" t="n">
        <v>124651.83</v>
      </c>
      <c r="R66" s="1431">
        <f>R65+Q66</f>
        <v/>
      </c>
      <c r="S66" s="1433" t="n"/>
      <c r="T66" s="1434" t="n"/>
      <c r="U66" s="1434" t="n"/>
      <c r="V66" s="1434" t="n"/>
      <c r="W66" s="1434" t="n"/>
      <c r="X66" s="1435" t="n"/>
    </row>
    <row r="67">
      <c r="A67" s="523" t="n">
        <v>54</v>
      </c>
      <c r="B67" s="48">
        <f>SUM(COUNTIF('03_Eventos_pagamentos'!$E$11:$E$697,'04_TOTALIZADORA'!A67)+COUNTIF('03_Eventos_pagamentos'!$E$766:$E$836,'04_TOTALIZADORA'!A67))</f>
        <v/>
      </c>
      <c r="C67" s="1422">
        <f>SUMIF('03_Eventos_pagamentos'!$E$11:$E$699,A67,'03_Eventos_pagamentos'!$O$11:$O$697)+SUMIF('03_Eventos_pagamentos'!$E$766:$E$836,A67,'03_Eventos_pagamentos'!$O$766:$O$836)</f>
        <v/>
      </c>
      <c r="D67" s="48">
        <f>COUNTIF('03_Eventos_pagamentos'!$E$702:$E$763,'04_TOTALIZADORA'!A67)</f>
        <v/>
      </c>
      <c r="E67" s="1427">
        <f>SUMIF('03_Eventos_pagamentos'!$E$702:$E$763,A67,'03_Eventos_pagamentos'!$O$702:$O$763)</f>
        <v/>
      </c>
      <c r="F67" s="1431">
        <f>C67+E67+F66</f>
        <v/>
      </c>
      <c r="G67" s="1448">
        <f>C67+E67-M67</f>
        <v/>
      </c>
      <c r="H67" s="1452">
        <f>SUMIF('03_Eventos_pagamentos'!$E$702:$E$763,F67,'03_Eventos_pagamentos'!$O$702:$O$763)</f>
        <v/>
      </c>
      <c r="I67" s="1452">
        <f>G67-H67</f>
        <v/>
      </c>
      <c r="J67" s="1450">
        <f>I67+M67</f>
        <v/>
      </c>
      <c r="K67" s="1425">
        <f>SUMIF('03_Eventos_pagamentos'!$P$11:$P$843,A68,'03_Eventos_pagamentos'!$Q$11:$Q$843)</f>
        <v/>
      </c>
      <c r="L67" s="1432">
        <f>K67+L66</f>
        <v/>
      </c>
      <c r="M67" s="1427">
        <f>SUMIFS( '03_Eventos_pagamentos'!$O$11:$O$843,'03_Eventos_pagamentos'!$E$11:$E$843,A67,'03_Eventos_pagamentos'!$I$11:$I$843,"FAT. DIRETO")</f>
        <v/>
      </c>
      <c r="N67" s="1432">
        <f>K67+M67+N66</f>
        <v/>
      </c>
      <c r="O67" s="1431" t="n"/>
      <c r="P67" s="1431">
        <f>O67+P66</f>
        <v/>
      </c>
      <c r="Q67" s="1431" t="n"/>
      <c r="R67" s="1431">
        <f>R66+Q67</f>
        <v/>
      </c>
      <c r="S67" s="1433" t="n"/>
      <c r="T67" s="1434" t="n"/>
      <c r="U67" s="1434" t="n"/>
      <c r="V67" s="1434" t="n"/>
      <c r="W67" s="1434" t="n"/>
      <c r="X67" s="1435" t="n"/>
    </row>
    <row r="68">
      <c r="A68" s="523" t="n">
        <v>55</v>
      </c>
      <c r="B68" s="48">
        <f>SUM(COUNTIF('03_Eventos_pagamentos'!$E$11:$E$697,'04_TOTALIZADORA'!A68)+COUNTIF('03_Eventos_pagamentos'!$E$766:$E$836,'04_TOTALIZADORA'!A68))</f>
        <v/>
      </c>
      <c r="C68" s="1422">
        <f>SUMIF('03_Eventos_pagamentos'!$E$11:$E$699,A68,'03_Eventos_pagamentos'!$O$11:$O$697)+SUMIF('03_Eventos_pagamentos'!$E$766:$E$836,A68,'03_Eventos_pagamentos'!$O$766:$O$836)</f>
        <v/>
      </c>
      <c r="D68" s="48">
        <f>COUNTIF('03_Eventos_pagamentos'!$E$702:$E$763,'04_TOTALIZADORA'!A68)</f>
        <v/>
      </c>
      <c r="E68" s="1427">
        <f>SUMIF('03_Eventos_pagamentos'!$E$702:$E$763,A68,'03_Eventos_pagamentos'!$O$702:$O$763)</f>
        <v/>
      </c>
      <c r="F68" s="1431">
        <f>C68+E68+F67</f>
        <v/>
      </c>
      <c r="G68" s="1448">
        <f>C68+E68-M68</f>
        <v/>
      </c>
      <c r="H68" s="1452">
        <f>SUMIF('03_Eventos_pagamentos'!$E$702:$E$763,F68,'03_Eventos_pagamentos'!$O$702:$O$763)</f>
        <v/>
      </c>
      <c r="I68" s="1452">
        <f>G68-H68</f>
        <v/>
      </c>
      <c r="J68" s="1450">
        <f>I68+M68</f>
        <v/>
      </c>
      <c r="K68" s="1425">
        <f>SUMIF('03_Eventos_pagamentos'!$P$11:$P$843,A69,'03_Eventos_pagamentos'!$Q$11:$Q$843)</f>
        <v/>
      </c>
      <c r="L68" s="1432">
        <f>K68+L67</f>
        <v/>
      </c>
      <c r="M68" s="1427">
        <f>SUMIFS( '03_Eventos_pagamentos'!$O$11:$O$843,'03_Eventos_pagamentos'!$E$11:$E$843,A68,'03_Eventos_pagamentos'!$I$11:$I$843,"FAT. DIRETO")</f>
        <v/>
      </c>
      <c r="N68" s="1432">
        <f>K68+M68+N67</f>
        <v/>
      </c>
      <c r="O68" s="1431" t="n"/>
      <c r="P68" s="1431">
        <f>O68+P67</f>
        <v/>
      </c>
      <c r="Q68" s="1431" t="n"/>
      <c r="R68" s="1431">
        <f>R67+Q68</f>
        <v/>
      </c>
      <c r="S68" s="1433" t="n"/>
      <c r="T68" s="1434" t="n"/>
      <c r="U68" s="1434" t="n"/>
      <c r="V68" s="1434" t="n"/>
      <c r="W68" s="1434" t="n"/>
      <c r="X68" s="1435" t="n"/>
    </row>
    <row r="69">
      <c r="A69" s="523" t="n">
        <v>56</v>
      </c>
      <c r="B69" s="48">
        <f>SUM(COUNTIF('03_Eventos_pagamentos'!$E$11:$E$697,'04_TOTALIZADORA'!A69)+COUNTIF('03_Eventos_pagamentos'!$E$766:$E$836,'04_TOTALIZADORA'!A69))</f>
        <v/>
      </c>
      <c r="C69" s="1422">
        <f>SUMIF('03_Eventos_pagamentos'!$E$11:$E$699,A69,'03_Eventos_pagamentos'!$O$11:$O$697)+SUMIF('03_Eventos_pagamentos'!$E$766:$E$836,A69,'03_Eventos_pagamentos'!$O$766:$O$836)</f>
        <v/>
      </c>
      <c r="D69" s="48">
        <f>COUNTIF('03_Eventos_pagamentos'!$E$702:$E$763,'04_TOTALIZADORA'!A69)</f>
        <v/>
      </c>
      <c r="E69" s="1427">
        <f>SUMIF('03_Eventos_pagamentos'!$E$702:$E$763,A69,'03_Eventos_pagamentos'!$O$702:$O$763)</f>
        <v/>
      </c>
      <c r="F69" s="1431">
        <f>C69+E69+F68</f>
        <v/>
      </c>
      <c r="G69" s="1448">
        <f>C69+E69-M69</f>
        <v/>
      </c>
      <c r="H69" s="1452">
        <f>SUMIF('03_Eventos_pagamentos'!$E$702:$E$763,F69,'03_Eventos_pagamentos'!$O$702:$O$763)</f>
        <v/>
      </c>
      <c r="I69" s="1452">
        <f>G69-H69</f>
        <v/>
      </c>
      <c r="J69" s="1450">
        <f>I69+M69</f>
        <v/>
      </c>
      <c r="K69" s="1425">
        <f>SUMIF('03_Eventos_pagamentos'!$P$11:$P$843,A70,'03_Eventos_pagamentos'!$Q$11:$Q$843)</f>
        <v/>
      </c>
      <c r="L69" s="1432">
        <f>K69+L68</f>
        <v/>
      </c>
      <c r="M69" s="1427">
        <f>SUMIFS( '03_Eventos_pagamentos'!$O$11:$O$843,'03_Eventos_pagamentos'!$E$11:$E$843,A69,'03_Eventos_pagamentos'!$I$11:$I$843,"FAT. DIRETO")</f>
        <v/>
      </c>
      <c r="N69" s="1432">
        <f>K69+M69+N68</f>
        <v/>
      </c>
      <c r="O69" s="1431" t="n"/>
      <c r="P69" s="1431">
        <f>O69+P68</f>
        <v/>
      </c>
      <c r="Q69" s="1431" t="n"/>
      <c r="R69" s="1431">
        <f>R68+Q69</f>
        <v/>
      </c>
      <c r="S69" s="1433" t="n"/>
      <c r="T69" s="1434" t="n"/>
      <c r="U69" s="1434" t="n"/>
      <c r="V69" s="1434" t="n"/>
      <c r="W69" s="1434" t="n"/>
      <c r="X69" s="1435" t="n"/>
    </row>
    <row r="70">
      <c r="A70" s="523" t="n">
        <v>57</v>
      </c>
      <c r="B70" s="48">
        <f>SUM(COUNTIF('03_Eventos_pagamentos'!$E$11:$E$697,'04_TOTALIZADORA'!A70)+COUNTIF('03_Eventos_pagamentos'!$E$766:$E$836,'04_TOTALIZADORA'!A70))</f>
        <v/>
      </c>
      <c r="C70" s="1422">
        <f>SUMIF('03_Eventos_pagamentos'!$E$11:$E$699,A70,'03_Eventos_pagamentos'!$O$11:$O$697)+SUMIF('03_Eventos_pagamentos'!$E$766:$E$836,A70,'03_Eventos_pagamentos'!$O$766:$O$836)</f>
        <v/>
      </c>
      <c r="D70" s="48">
        <f>COUNTIF('03_Eventos_pagamentos'!$E$702:$E$763,'04_TOTALIZADORA'!A70)</f>
        <v/>
      </c>
      <c r="E70" s="1427">
        <f>SUMIF('03_Eventos_pagamentos'!$E$702:$E$763,A70,'03_Eventos_pagamentos'!$O$702:$O$763)</f>
        <v/>
      </c>
      <c r="F70" s="1431">
        <f>C70+E70+F69</f>
        <v/>
      </c>
      <c r="G70" s="1448">
        <f>C70+E70-M70</f>
        <v/>
      </c>
      <c r="H70" s="1452">
        <f>SUMIF('03_Eventos_pagamentos'!$E$702:$E$763,F70,'03_Eventos_pagamentos'!$O$702:$O$763)</f>
        <v/>
      </c>
      <c r="I70" s="1452">
        <f>G70-H70</f>
        <v/>
      </c>
      <c r="J70" s="1450">
        <f>I70+M70</f>
        <v/>
      </c>
      <c r="K70" s="1425">
        <f>SUMIF('03_Eventos_pagamentos'!$P$11:$P$843,A71,'03_Eventos_pagamentos'!$Q$11:$Q$843)</f>
        <v/>
      </c>
      <c r="L70" s="1432">
        <f>K70+L69</f>
        <v/>
      </c>
      <c r="M70" s="1427">
        <f>SUMIFS( '03_Eventos_pagamentos'!$O$11:$O$843,'03_Eventos_pagamentos'!$E$11:$E$843,A70,'03_Eventos_pagamentos'!$I$11:$I$843,"FAT. DIRETO")</f>
        <v/>
      </c>
      <c r="N70" s="1432">
        <f>K70+M70+N69</f>
        <v/>
      </c>
      <c r="O70" s="1431" t="n"/>
      <c r="P70" s="1431">
        <f>O70+P69</f>
        <v/>
      </c>
      <c r="Q70" s="1431" t="n"/>
      <c r="R70" s="1431">
        <f>R69+Q70</f>
        <v/>
      </c>
      <c r="S70" s="1433" t="n"/>
      <c r="T70" s="1434" t="n"/>
      <c r="U70" s="1434" t="n"/>
      <c r="V70" s="1434" t="n"/>
      <c r="W70" s="1434" t="n"/>
      <c r="X70" s="1435" t="n"/>
    </row>
    <row r="71">
      <c r="A71" s="523" t="n">
        <v>58</v>
      </c>
      <c r="B71" s="48">
        <f>SUM(COUNTIF('03_Eventos_pagamentos'!$E$11:$E$697,'04_TOTALIZADORA'!A71)+COUNTIF('03_Eventos_pagamentos'!$E$766:$E$836,'04_TOTALIZADORA'!A71))</f>
        <v/>
      </c>
      <c r="C71" s="1422">
        <f>SUMIF('03_Eventos_pagamentos'!$E$11:$E$699,A71,'03_Eventos_pagamentos'!$O$11:$O$697)+SUMIF('03_Eventos_pagamentos'!$E$766:$E$836,A71,'03_Eventos_pagamentos'!$O$766:$O$836)</f>
        <v/>
      </c>
      <c r="D71" s="48">
        <f>COUNTIF('03_Eventos_pagamentos'!$E$702:$E$763,'04_TOTALIZADORA'!A71)</f>
        <v/>
      </c>
      <c r="E71" s="1427">
        <f>SUMIF('03_Eventos_pagamentos'!$E$702:$E$763,A71,'03_Eventos_pagamentos'!$O$702:$O$763)</f>
        <v/>
      </c>
      <c r="F71" s="1431">
        <f>C71+E71+F70</f>
        <v/>
      </c>
      <c r="G71" s="1448">
        <f>C71+E71-M71</f>
        <v/>
      </c>
      <c r="H71" s="1452">
        <f>SUMIF('03_Eventos_pagamentos'!$E$702:$E$763,F71,'03_Eventos_pagamentos'!$O$702:$O$763)</f>
        <v/>
      </c>
      <c r="I71" s="1452">
        <f>G71-H71</f>
        <v/>
      </c>
      <c r="J71" s="1450">
        <f>I71+M71</f>
        <v/>
      </c>
      <c r="K71" s="1425">
        <f>SUMIF('03_Eventos_pagamentos'!$P$11:$P$843,A72,'03_Eventos_pagamentos'!$Q$11:$Q$843)</f>
        <v/>
      </c>
      <c r="L71" s="1432">
        <f>K71+L70</f>
        <v/>
      </c>
      <c r="M71" s="1427">
        <f>SUMIFS( '03_Eventos_pagamentos'!$O$11:$O$843,'03_Eventos_pagamentos'!$E$11:$E$843,A71,'03_Eventos_pagamentos'!$I$11:$I$843,"FAT. DIRETO")</f>
        <v/>
      </c>
      <c r="N71" s="1432">
        <f>K71+M71+N70</f>
        <v/>
      </c>
      <c r="O71" s="1431" t="n"/>
      <c r="P71" s="1431">
        <f>O71+P70</f>
        <v/>
      </c>
      <c r="Q71" s="1431" t="n"/>
      <c r="R71" s="1431">
        <f>R70+Q71</f>
        <v/>
      </c>
      <c r="S71" s="1433" t="n"/>
      <c r="T71" s="1434" t="n"/>
      <c r="U71" s="1434" t="n"/>
      <c r="V71" s="1434" t="n"/>
      <c r="W71" s="1434" t="n"/>
      <c r="X71" s="1435" t="n"/>
    </row>
    <row r="72">
      <c r="A72" s="523" t="n">
        <v>59</v>
      </c>
      <c r="B72" s="48">
        <f>SUM(COUNTIF('03_Eventos_pagamentos'!$E$11:$E$697,'04_TOTALIZADORA'!A72)+COUNTIF('03_Eventos_pagamentos'!$E$766:$E$836,'04_TOTALIZADORA'!A72))</f>
        <v/>
      </c>
      <c r="C72" s="1422">
        <f>SUMIF('03_Eventos_pagamentos'!$E$11:$E$699,A72,'03_Eventos_pagamentos'!$O$11:$O$697)+SUMIF('03_Eventos_pagamentos'!$E$766:$E$836,A72,'03_Eventos_pagamentos'!$O$766:$O$836)</f>
        <v/>
      </c>
      <c r="D72" s="48">
        <f>COUNTIF('03_Eventos_pagamentos'!$E$702:$E$763,'04_TOTALIZADORA'!A72)</f>
        <v/>
      </c>
      <c r="E72" s="1427">
        <f>SUMIF('03_Eventos_pagamentos'!$E$702:$E$763,A72,'03_Eventos_pagamentos'!$O$702:$O$763)</f>
        <v/>
      </c>
      <c r="F72" s="1431">
        <f>C72+E72+F71</f>
        <v/>
      </c>
      <c r="G72" s="1448">
        <f>C72+E72-M72</f>
        <v/>
      </c>
      <c r="H72" s="1452">
        <f>SUMIF('03_Eventos_pagamentos'!$E$702:$E$763,F72,'03_Eventos_pagamentos'!$O$702:$O$763)</f>
        <v/>
      </c>
      <c r="I72" s="1452">
        <f>G72-H72</f>
        <v/>
      </c>
      <c r="J72" s="1450">
        <f>I72+M72</f>
        <v/>
      </c>
      <c r="K72" s="1425">
        <f>SUMIF('03_Eventos_pagamentos'!$P$11:$P$843,A73,'03_Eventos_pagamentos'!$Q$11:$Q$843)</f>
        <v/>
      </c>
      <c r="L72" s="1432">
        <f>K72+L71</f>
        <v/>
      </c>
      <c r="M72" s="1427">
        <f>SUMIFS( '03_Eventos_pagamentos'!$O$11:$O$843,'03_Eventos_pagamentos'!$E$11:$E$843,A72,'03_Eventos_pagamentos'!$I$11:$I$843,"FAT. DIRETO")</f>
        <v/>
      </c>
      <c r="N72" s="1432">
        <f>K72+M72+N71</f>
        <v/>
      </c>
      <c r="O72" s="1431" t="n"/>
      <c r="P72" s="1431">
        <f>O72+P71</f>
        <v/>
      </c>
      <c r="Q72" s="1431" t="n"/>
      <c r="R72" s="1431">
        <f>R71+Q72</f>
        <v/>
      </c>
      <c r="S72" s="1433" t="n"/>
      <c r="T72" s="1434" t="n"/>
      <c r="U72" s="1434" t="n"/>
      <c r="V72" s="1434" t="n"/>
      <c r="W72" s="1434" t="n"/>
      <c r="X72" s="1435" t="n"/>
    </row>
    <row r="73">
      <c r="A73" s="523" t="n">
        <v>60</v>
      </c>
      <c r="B73" s="48">
        <f>SUM(COUNTIF('03_Eventos_pagamentos'!$E$11:$E$697,'04_TOTALIZADORA'!A73)+COUNTIF('03_Eventos_pagamentos'!$E$766:$E$836,'04_TOTALIZADORA'!A73))</f>
        <v/>
      </c>
      <c r="C73" s="1422">
        <f>SUMIF('03_Eventos_pagamentos'!$E$11:$E$699,A73,'03_Eventos_pagamentos'!$O$11:$O$697)+SUMIF('03_Eventos_pagamentos'!$E$766:$E$836,A73,'03_Eventos_pagamentos'!$O$766:$O$836)</f>
        <v/>
      </c>
      <c r="D73" s="48">
        <f>COUNTIF('03_Eventos_pagamentos'!$E$702:$E$763,'04_TOTALIZADORA'!A73)</f>
        <v/>
      </c>
      <c r="E73" s="1427">
        <f>SUMIF('03_Eventos_pagamentos'!$E$702:$E$763,A73,'03_Eventos_pagamentos'!$O$702:$O$763)</f>
        <v/>
      </c>
      <c r="F73" s="1431">
        <f>C73+E73+F72</f>
        <v/>
      </c>
      <c r="G73" s="1448">
        <f>C73+E73-M73</f>
        <v/>
      </c>
      <c r="H73" s="1452">
        <f>SUMIF('03_Eventos_pagamentos'!$E$702:$E$763,F73,'03_Eventos_pagamentos'!$O$702:$O$763)</f>
        <v/>
      </c>
      <c r="I73" s="1452">
        <f>G73-H73</f>
        <v/>
      </c>
      <c r="J73" s="1450">
        <f>I73+M73</f>
        <v/>
      </c>
      <c r="K73" s="1425">
        <f>SUMIF('03_Eventos_pagamentos'!$P$11:$P$843,A74,'03_Eventos_pagamentos'!$Q$11:$Q$843)</f>
        <v/>
      </c>
      <c r="L73" s="1432">
        <f>K73+L72</f>
        <v/>
      </c>
      <c r="M73" s="1427">
        <f>SUMIFS( '03_Eventos_pagamentos'!$O$11:$O$843,'03_Eventos_pagamentos'!$E$11:$E$843,A73,'03_Eventos_pagamentos'!$I$11:$I$843,"FAT. DIRETO")</f>
        <v/>
      </c>
      <c r="N73" s="1432">
        <f>K73+M73+N72</f>
        <v/>
      </c>
      <c r="O73" s="1431" t="n"/>
      <c r="P73" s="1431">
        <f>O73+P72</f>
        <v/>
      </c>
      <c r="Q73" s="1431" t="n"/>
      <c r="R73" s="1431">
        <f>R72+Q73</f>
        <v/>
      </c>
      <c r="S73" s="1433" t="n"/>
      <c r="T73" s="1434" t="n"/>
      <c r="U73" s="1434" t="n"/>
      <c r="V73" s="1434" t="n"/>
      <c r="W73" s="1434" t="n"/>
      <c r="X73" s="1435" t="n"/>
    </row>
    <row r="74">
      <c r="A74" s="523" t="n">
        <v>61</v>
      </c>
      <c r="B74" s="48">
        <f>SUM(COUNTIF('03_Eventos_pagamentos'!$E$11:$E$697,'04_TOTALIZADORA'!A74)+COUNTIF('03_Eventos_pagamentos'!$E$766:$E$836,'04_TOTALIZADORA'!A74))</f>
        <v/>
      </c>
      <c r="C74" s="1422">
        <f>SUMIF('03_Eventos_pagamentos'!$E$11:$E$699,A74,'03_Eventos_pagamentos'!$O$11:$O$697)+SUMIF('03_Eventos_pagamentos'!$E$766:$E$836,A74,'03_Eventos_pagamentos'!$O$766:$O$836)</f>
        <v/>
      </c>
      <c r="D74" s="48">
        <f>COUNTIF('03_Eventos_pagamentos'!$E$702:$E$763,'04_TOTALIZADORA'!A74)</f>
        <v/>
      </c>
      <c r="E74" s="1427">
        <f>SUMIF('03_Eventos_pagamentos'!$E$702:$E$763,A74,'03_Eventos_pagamentos'!$O$702:$O$763)</f>
        <v/>
      </c>
      <c r="F74" s="1431">
        <f>C74+E74+F73</f>
        <v/>
      </c>
      <c r="G74" s="1448">
        <f>C74+E74-M74</f>
        <v/>
      </c>
      <c r="H74" s="1452">
        <f>SUMIF('03_Eventos_pagamentos'!$E$702:$E$763,F74,'03_Eventos_pagamentos'!$O$702:$O$763)</f>
        <v/>
      </c>
      <c r="I74" s="1452">
        <f>G74-H74</f>
        <v/>
      </c>
      <c r="J74" s="1450">
        <f>I74+M74</f>
        <v/>
      </c>
      <c r="K74" s="1425">
        <f>SUMIF('03_Eventos_pagamentos'!$P$11:$P$843,A75,'03_Eventos_pagamentos'!$Q$11:$Q$843)</f>
        <v/>
      </c>
      <c r="L74" s="1432">
        <f>K74+L73</f>
        <v/>
      </c>
      <c r="M74" s="1427">
        <f>SUMIFS( '03_Eventos_pagamentos'!$O$11:$O$843,'03_Eventos_pagamentos'!$E$11:$E$843,A74,'03_Eventos_pagamentos'!$I$11:$I$843,"FAT. DIRETO")</f>
        <v/>
      </c>
      <c r="N74" s="1432">
        <f>K74+M74+N73</f>
        <v/>
      </c>
      <c r="O74" s="1431" t="n"/>
      <c r="P74" s="1431">
        <f>O74+P73</f>
        <v/>
      </c>
      <c r="Q74" s="1431" t="n"/>
      <c r="R74" s="1431">
        <f>R73+Q74</f>
        <v/>
      </c>
      <c r="S74" s="1433" t="n"/>
      <c r="T74" s="1434" t="n"/>
      <c r="U74" s="1434" t="n"/>
      <c r="V74" s="1434" t="n"/>
      <c r="W74" s="1434" t="n"/>
      <c r="X74" s="1435" t="n"/>
    </row>
    <row r="75">
      <c r="A75" s="523" t="n">
        <v>62</v>
      </c>
      <c r="B75" s="48">
        <f>SUM(COUNTIF('03_Eventos_pagamentos'!$E$11:$E$697,'04_TOTALIZADORA'!A75)+COUNTIF('03_Eventos_pagamentos'!$E$766:$E$836,'04_TOTALIZADORA'!A75))</f>
        <v/>
      </c>
      <c r="C75" s="1422">
        <f>SUMIF('03_Eventos_pagamentos'!$E$11:$E$699,A75,'03_Eventos_pagamentos'!$O$11:$O$697)+SUMIF('03_Eventos_pagamentos'!$E$766:$E$836,A75,'03_Eventos_pagamentos'!$O$766:$O$836)</f>
        <v/>
      </c>
      <c r="D75" s="48">
        <f>COUNTIF('03_Eventos_pagamentos'!$E$702:$E$763,'04_TOTALIZADORA'!A75)</f>
        <v/>
      </c>
      <c r="E75" s="1427">
        <f>SUMIF('03_Eventos_pagamentos'!$E$702:$E$763,A75,'03_Eventos_pagamentos'!$O$702:$O$763)</f>
        <v/>
      </c>
      <c r="F75" s="1431">
        <f>C75+E75+F74</f>
        <v/>
      </c>
      <c r="G75" s="1448">
        <f>C75+E75-M75</f>
        <v/>
      </c>
      <c r="H75" s="1452">
        <f>SUMIF('03_Eventos_pagamentos'!$E$702:$E$763,F75,'03_Eventos_pagamentos'!$O$702:$O$763)</f>
        <v/>
      </c>
      <c r="I75" s="1452">
        <f>G75-H75</f>
        <v/>
      </c>
      <c r="J75" s="1450">
        <f>I75+M75</f>
        <v/>
      </c>
      <c r="K75" s="1425">
        <f>SUMIF('03_Eventos_pagamentos'!$P$11:$P$843,A76,'03_Eventos_pagamentos'!$Q$11:$Q$843)</f>
        <v/>
      </c>
      <c r="L75" s="1432">
        <f>K75+L74</f>
        <v/>
      </c>
      <c r="M75" s="1427">
        <f>SUMIFS( '03_Eventos_pagamentos'!$O$11:$O$843,'03_Eventos_pagamentos'!$E$11:$E$843,A75,'03_Eventos_pagamentos'!$I$11:$I$843,"FAT. DIRETO")</f>
        <v/>
      </c>
      <c r="N75" s="1432">
        <f>K75+M75+N74</f>
        <v/>
      </c>
      <c r="O75" s="1431" t="n"/>
      <c r="P75" s="1431">
        <f>O75+P74</f>
        <v/>
      </c>
      <c r="Q75" s="1431" t="n"/>
      <c r="R75" s="1431">
        <f>R74+Q75</f>
        <v/>
      </c>
      <c r="S75" s="1433" t="n"/>
      <c r="T75" s="1434" t="n"/>
      <c r="U75" s="1434" t="n"/>
      <c r="V75" s="1434" t="n"/>
      <c r="W75" s="1434" t="n"/>
      <c r="X75" s="1435" t="n"/>
    </row>
    <row r="76">
      <c r="A76" s="523" t="n">
        <v>63</v>
      </c>
      <c r="B76" s="48">
        <f>SUM(COUNTIF('03_Eventos_pagamentos'!$E$11:$E$697,'04_TOTALIZADORA'!A76)+COUNTIF('03_Eventos_pagamentos'!$E$766:$E$836,'04_TOTALIZADORA'!A76))</f>
        <v/>
      </c>
      <c r="C76" s="1422">
        <f>SUMIF('03_Eventos_pagamentos'!$E$11:$E$699,A76,'03_Eventos_pagamentos'!$O$11:$O$697)+SUMIF('03_Eventos_pagamentos'!$E$766:$E$836,A76,'03_Eventos_pagamentos'!$O$766:$O$836)</f>
        <v/>
      </c>
      <c r="D76" s="48">
        <f>COUNTIF('03_Eventos_pagamentos'!$E$702:$E$763,'04_TOTALIZADORA'!A76)</f>
        <v/>
      </c>
      <c r="E76" s="1427">
        <f>SUMIF('03_Eventos_pagamentos'!$E$702:$E$763,A76,'03_Eventos_pagamentos'!$O$702:$O$763)</f>
        <v/>
      </c>
      <c r="F76" s="1431">
        <f>C76+E76+F75</f>
        <v/>
      </c>
      <c r="G76" s="1448">
        <f>C76+E76-M76</f>
        <v/>
      </c>
      <c r="H76" s="1452">
        <f>SUMIF('03_Eventos_pagamentos'!$E$702:$E$763,F76,'03_Eventos_pagamentos'!$O$702:$O$763)</f>
        <v/>
      </c>
      <c r="I76" s="1452">
        <f>G76-H76</f>
        <v/>
      </c>
      <c r="J76" s="1450">
        <f>I76+M76</f>
        <v/>
      </c>
      <c r="K76" s="1425">
        <f>SUMIF('03_Eventos_pagamentos'!$P$11:$P$843,A77,'03_Eventos_pagamentos'!$Q$11:$Q$843)</f>
        <v/>
      </c>
      <c r="L76" s="1432">
        <f>K76+L75</f>
        <v/>
      </c>
      <c r="M76" s="1427">
        <f>SUMIFS( '03_Eventos_pagamentos'!$O$11:$O$843,'03_Eventos_pagamentos'!$E$11:$E$843,A76,'03_Eventos_pagamentos'!$I$11:$I$843,"FAT. DIRETO")</f>
        <v/>
      </c>
      <c r="N76" s="1432">
        <f>K76+M76+N75</f>
        <v/>
      </c>
      <c r="O76" s="1431" t="n"/>
      <c r="P76" s="1431">
        <f>O76+P75</f>
        <v/>
      </c>
      <c r="Q76" s="1431" t="n"/>
      <c r="R76" s="1431">
        <f>R75+Q76</f>
        <v/>
      </c>
      <c r="S76" s="1433" t="n"/>
      <c r="T76" s="1434" t="n"/>
      <c r="U76" s="1434" t="n"/>
      <c r="V76" s="1434" t="n"/>
      <c r="W76" s="1434" t="n"/>
      <c r="X76" s="1435" t="n"/>
    </row>
    <row r="77">
      <c r="A77" s="523" t="n">
        <v>64</v>
      </c>
      <c r="B77" s="48">
        <f>SUM(COUNTIF('03_Eventos_pagamentos'!$E$11:$E$697,'04_TOTALIZADORA'!A77)+COUNTIF('03_Eventos_pagamentos'!$E$766:$E$836,'04_TOTALIZADORA'!A77))</f>
        <v/>
      </c>
      <c r="C77" s="1422">
        <f>SUMIF('03_Eventos_pagamentos'!$E$11:$E$699,A77,'03_Eventos_pagamentos'!$O$11:$O$697)+SUMIF('03_Eventos_pagamentos'!$E$766:$E$836,A77,'03_Eventos_pagamentos'!$O$766:$O$836)</f>
        <v/>
      </c>
      <c r="D77" s="48">
        <f>COUNTIF('03_Eventos_pagamentos'!$E$702:$E$763,'04_TOTALIZADORA'!A77)</f>
        <v/>
      </c>
      <c r="E77" s="1427">
        <f>SUMIF('03_Eventos_pagamentos'!$E$702:$E$763,A77,'03_Eventos_pagamentos'!$O$702:$O$763)</f>
        <v/>
      </c>
      <c r="F77" s="1431">
        <f>C77+E77+F76</f>
        <v/>
      </c>
      <c r="G77" s="1448">
        <f>C77+E77-M77</f>
        <v/>
      </c>
      <c r="H77" s="1452">
        <f>SUMIF('03_Eventos_pagamentos'!$E$702:$E$763,F77,'03_Eventos_pagamentos'!$O$702:$O$763)</f>
        <v/>
      </c>
      <c r="I77" s="1452">
        <f>G77-H77</f>
        <v/>
      </c>
      <c r="J77" s="1450">
        <f>I77+M77</f>
        <v/>
      </c>
      <c r="K77" s="1425">
        <f>SUMIF('03_Eventos_pagamentos'!$P$11:$P$843,A78,'03_Eventos_pagamentos'!$Q$11:$Q$843)</f>
        <v/>
      </c>
      <c r="L77" s="1432">
        <f>K77+L76</f>
        <v/>
      </c>
      <c r="M77" s="1427">
        <f>SUMIFS( '03_Eventos_pagamentos'!$O$11:$O$843,'03_Eventos_pagamentos'!$E$11:$E$843,A77,'03_Eventos_pagamentos'!$I$11:$I$843,"FAT. DIRETO")</f>
        <v/>
      </c>
      <c r="N77" s="1432">
        <f>K77+M77+N76</f>
        <v/>
      </c>
      <c r="O77" s="1431" t="n"/>
      <c r="P77" s="1431">
        <f>O77+P76</f>
        <v/>
      </c>
      <c r="Q77" s="1431" t="n"/>
      <c r="R77" s="1431">
        <f>R76+Q77</f>
        <v/>
      </c>
      <c r="S77" s="1433" t="n"/>
      <c r="T77" s="1434" t="n"/>
      <c r="U77" s="1434" t="n"/>
      <c r="V77" s="1434" t="n"/>
      <c r="W77" s="1434" t="n"/>
      <c r="X77" s="1435" t="n"/>
    </row>
    <row r="78" ht="15" customHeight="1" thickBot="1">
      <c r="A78" s="523" t="n">
        <v>65</v>
      </c>
      <c r="B78" s="48">
        <f>SUM(COUNTIF('03_Eventos_pagamentos'!$E$11:$E$697,'04_TOTALIZADORA'!A78)+COUNTIF('03_Eventos_pagamentos'!$E$766:$E$836,'04_TOTALIZADORA'!A78))</f>
        <v/>
      </c>
      <c r="C78" s="1422">
        <f>SUMIF('03_Eventos_pagamentos'!$E$11:$E$699,A78,'03_Eventos_pagamentos'!$O$11:$O$697)+SUMIF('03_Eventos_pagamentos'!$E$766:$E$836,A78,'03_Eventos_pagamentos'!$O$766:$O$836)</f>
        <v/>
      </c>
      <c r="D78" s="48">
        <f>COUNTIF('03_Eventos_pagamentos'!$E$702:$E$763,'04_TOTALIZADORA'!A78)</f>
        <v/>
      </c>
      <c r="E78" s="1427">
        <f>SUMIF('03_Eventos_pagamentos'!$E$702:$E$763,A78,'03_Eventos_pagamentos'!$O$702:$O$763)</f>
        <v/>
      </c>
      <c r="F78" s="1431">
        <f>C78+E78+F77</f>
        <v/>
      </c>
      <c r="G78" s="1448">
        <f>C78+E78-M78</f>
        <v/>
      </c>
      <c r="H78" s="1452">
        <f>SUMIF('03_Eventos_pagamentos'!$E$702:$E$763,F78,'03_Eventos_pagamentos'!$O$702:$O$763)</f>
        <v/>
      </c>
      <c r="I78" s="1452">
        <f>G78-H78</f>
        <v/>
      </c>
      <c r="J78" s="1450">
        <f>I78+M78</f>
        <v/>
      </c>
      <c r="K78" s="1425">
        <f>SUMIF('03_Eventos_pagamentos'!$P$11:$P$843,A79,'03_Eventos_pagamentos'!$Q$11:$Q$843)</f>
        <v/>
      </c>
      <c r="L78" s="1432">
        <f>K78+L77</f>
        <v/>
      </c>
      <c r="M78" s="1427">
        <f>SUMIFS( '03_Eventos_pagamentos'!$O$11:$O$843,'03_Eventos_pagamentos'!$E$11:$E$843,A78,'03_Eventos_pagamentos'!$I$11:$I$843,"FAT. DIRETO")</f>
        <v/>
      </c>
      <c r="N78" s="1432">
        <f>K78+M78+N77</f>
        <v/>
      </c>
      <c r="O78" s="1431" t="n"/>
      <c r="P78" s="1431">
        <f>O78+P77</f>
        <v/>
      </c>
      <c r="Q78" s="1431" t="n"/>
      <c r="R78" s="1431">
        <f>R77+Q78</f>
        <v/>
      </c>
      <c r="S78" s="1433" t="n"/>
      <c r="T78" s="1434" t="n"/>
      <c r="U78" s="1434" t="n"/>
      <c r="V78" s="1434" t="n"/>
      <c r="W78" s="1434" t="n"/>
      <c r="X78" s="1435" t="n"/>
    </row>
    <row r="79" ht="14.4" customHeight="1">
      <c r="A79" s="523" t="n">
        <v>66</v>
      </c>
      <c r="B79" s="48">
        <f>SUM(COUNTIF('03_Eventos_pagamentos'!$E$11:$E$697,'04_TOTALIZADORA'!A79)+COUNTIF('03_Eventos_pagamentos'!$E$766:$E$836,'04_TOTALIZADORA'!A79))</f>
        <v/>
      </c>
      <c r="C79" s="1422">
        <f>SUMIF('03_Eventos_pagamentos'!$E$11:$E$699,A79,'03_Eventos_pagamentos'!$O$11:$O$697)+SUMIF('03_Eventos_pagamentos'!$E$766:$E$836,A79,'03_Eventos_pagamentos'!$O$766:$O$836)</f>
        <v/>
      </c>
      <c r="D79" s="48">
        <f>COUNTIF('03_Eventos_pagamentos'!$E$702:$E$763,'04_TOTALIZADORA'!A79)</f>
        <v/>
      </c>
      <c r="E79" s="1427">
        <f>SUMIF('03_Eventos_pagamentos'!$E$702:$E$763,A79,'03_Eventos_pagamentos'!$O$702:$O$763)</f>
        <v/>
      </c>
      <c r="F79" s="1431">
        <f>C79+E79+F78</f>
        <v/>
      </c>
      <c r="G79" s="1448">
        <f>C79+E79-M79</f>
        <v/>
      </c>
      <c r="H79" s="1452">
        <f>SUMIF('03_Eventos_pagamentos'!$E$702:$E$763,F79,'03_Eventos_pagamentos'!$O$702:$O$763)</f>
        <v/>
      </c>
      <c r="I79" s="1452">
        <f>G79-H79</f>
        <v/>
      </c>
      <c r="J79" s="1450">
        <f>I79+M79</f>
        <v/>
      </c>
      <c r="K79" s="1425">
        <f>SUMIF('03_Eventos_pagamentos'!$P$11:$P$843,A80,'03_Eventos_pagamentos'!$Q$11:$Q$843)</f>
        <v/>
      </c>
      <c r="L79" s="1432">
        <f>K79+L78</f>
        <v/>
      </c>
      <c r="M79" s="1427">
        <f>SUMIFS( '03_Eventos_pagamentos'!$O$11:$O$843,'03_Eventos_pagamentos'!$E$11:$E$843,A79,'03_Eventos_pagamentos'!$I$11:$I$843,"FAT. DIRETO")</f>
        <v/>
      </c>
      <c r="N79" s="1432">
        <f>K79+M79+N78</f>
        <v/>
      </c>
      <c r="O79" s="1431" t="n"/>
      <c r="P79" s="1431">
        <f>O79+P78</f>
        <v/>
      </c>
      <c r="Q79" s="1431" t="n"/>
      <c r="R79" s="1431">
        <f>R78+Q79</f>
        <v/>
      </c>
      <c r="S79" s="1433" t="n"/>
      <c r="T79" s="1434" t="n"/>
      <c r="U79" s="1434" t="n"/>
      <c r="V79" s="1434" t="n"/>
      <c r="W79" s="1436" t="inlineStr">
        <is>
          <t>VALOR AMORTIZADO</t>
        </is>
      </c>
      <c r="X79" s="1437">
        <f>(SUM(O28,O30,O32)/0.85)*0.15</f>
        <v/>
      </c>
    </row>
    <row r="80" ht="15" customHeight="1">
      <c r="A80" s="523" t="n">
        <v>67</v>
      </c>
      <c r="B80" s="48">
        <f>SUM(COUNTIF('03_Eventos_pagamentos'!$E$11:$E$697,'04_TOTALIZADORA'!A80)+COUNTIF('03_Eventos_pagamentos'!$E$766:$E$836,'04_TOTALIZADORA'!A80))</f>
        <v/>
      </c>
      <c r="C80" s="1422">
        <f>SUMIF('03_Eventos_pagamentos'!$E$11:$E$699,A80,'03_Eventos_pagamentos'!$O$11:$O$697)+SUMIF('03_Eventos_pagamentos'!$E$766:$E$836,A80,'03_Eventos_pagamentos'!$O$766:$O$836)</f>
        <v/>
      </c>
      <c r="D80" s="48">
        <f>COUNTIF('03_Eventos_pagamentos'!$E$702:$E$763,'04_TOTALIZADORA'!A80)</f>
        <v/>
      </c>
      <c r="E80" s="1427">
        <f>SUMIF('03_Eventos_pagamentos'!$E$702:$E$763,A80,'03_Eventos_pagamentos'!$O$702:$O$763)</f>
        <v/>
      </c>
      <c r="F80" s="1431">
        <f>C80+E80+F79</f>
        <v/>
      </c>
      <c r="G80" s="1448">
        <f>C80+E80-M80</f>
        <v/>
      </c>
      <c r="H80" s="1452">
        <f>SUMIF('03_Eventos_pagamentos'!$E$702:$E$763,F80,'03_Eventos_pagamentos'!$O$702:$O$763)</f>
        <v/>
      </c>
      <c r="I80" s="1452">
        <f>G80-H80</f>
        <v/>
      </c>
      <c r="J80" s="1450">
        <f>I80+M80</f>
        <v/>
      </c>
      <c r="K80" s="1425">
        <f>SUMIF('03_Eventos_pagamentos'!$P$11:$P$843,A81,'03_Eventos_pagamentos'!$Q$11:$Q$843)</f>
        <v/>
      </c>
      <c r="L80" s="1432">
        <f>K80+L79</f>
        <v/>
      </c>
      <c r="M80" s="1427">
        <f>SUMIFS( '03_Eventos_pagamentos'!$O$11:$O$843,'03_Eventos_pagamentos'!$E$11:$E$843,A80,'03_Eventos_pagamentos'!$I$11:$I$843,"FAT. DIRETO")</f>
        <v/>
      </c>
      <c r="N80" s="1432">
        <f>K80+M80+N79</f>
        <v/>
      </c>
      <c r="O80" s="1431" t="n"/>
      <c r="P80" s="1431">
        <f>O80+P79</f>
        <v/>
      </c>
      <c r="Q80" s="1431" t="n"/>
      <c r="R80" s="1431">
        <f>R79+Q80</f>
        <v/>
      </c>
      <c r="S80" s="1433" t="n"/>
      <c r="T80" s="1434" t="n"/>
      <c r="U80" s="1434" t="n"/>
      <c r="V80" s="1434" t="n"/>
      <c r="W80" s="1438" t="n"/>
      <c r="X80" s="1438" t="n"/>
    </row>
    <row r="81" ht="14.4" customHeight="1">
      <c r="A81" s="523" t="n">
        <v>68</v>
      </c>
      <c r="B81" s="48">
        <f>SUM(COUNTIF('03_Eventos_pagamentos'!$E$11:$E$697,'04_TOTALIZADORA'!A81)+COUNTIF('03_Eventos_pagamentos'!$E$766:$E$836,'04_TOTALIZADORA'!A81))</f>
        <v/>
      </c>
      <c r="C81" s="1422">
        <f>SUMIF('03_Eventos_pagamentos'!$E$11:$E$699,A81,'03_Eventos_pagamentos'!$O$11:$O$697)+SUMIF('03_Eventos_pagamentos'!$E$766:$E$836,A81,'03_Eventos_pagamentos'!$O$766:$O$836)</f>
        <v/>
      </c>
      <c r="D81" s="48">
        <f>COUNTIF('03_Eventos_pagamentos'!$E$702:$E$763,'04_TOTALIZADORA'!A81)</f>
        <v/>
      </c>
      <c r="E81" s="1427">
        <f>SUMIF('03_Eventos_pagamentos'!$E$702:$E$763,A81,'03_Eventos_pagamentos'!$O$702:$O$763)</f>
        <v/>
      </c>
      <c r="F81" s="1431">
        <f>C81+E81+F80</f>
        <v/>
      </c>
      <c r="G81" s="1448">
        <f>C81+E81-M81</f>
        <v/>
      </c>
      <c r="H81" s="1452">
        <f>SUMIF('03_Eventos_pagamentos'!$E$702:$E$763,F81,'03_Eventos_pagamentos'!$O$702:$O$763)</f>
        <v/>
      </c>
      <c r="I81" s="1452">
        <f>G81-H81</f>
        <v/>
      </c>
      <c r="J81" s="1450">
        <f>I81+M81</f>
        <v/>
      </c>
      <c r="K81" s="1425">
        <f>SUMIF('03_Eventos_pagamentos'!$P$11:$P$843,A82,'03_Eventos_pagamentos'!$Q$11:$Q$843)</f>
        <v/>
      </c>
      <c r="L81" s="1432">
        <f>K81+L80</f>
        <v/>
      </c>
      <c r="M81" s="1427">
        <f>SUMIFS( '03_Eventos_pagamentos'!$O$11:$O$843,'03_Eventos_pagamentos'!$E$11:$E$843,A81,'03_Eventos_pagamentos'!$I$11:$I$843,"FAT. DIRETO")</f>
        <v/>
      </c>
      <c r="N81" s="1432">
        <f>K81+M81+N80</f>
        <v/>
      </c>
      <c r="O81" s="1431" t="n"/>
      <c r="P81" s="1431">
        <f>O81+P80</f>
        <v/>
      </c>
      <c r="Q81" s="1431" t="n"/>
      <c r="R81" s="1431">
        <f>R80+Q81</f>
        <v/>
      </c>
      <c r="S81" s="1433" t="n"/>
      <c r="T81" s="1434" t="n"/>
      <c r="U81" s="1434" t="n"/>
      <c r="V81" s="1434" t="n"/>
      <c r="W81" s="1438" t="n"/>
      <c r="X81" s="1438" t="n"/>
    </row>
    <row r="82" ht="15" customHeight="1" thickBot="1">
      <c r="A82" s="522" t="n">
        <v>69</v>
      </c>
      <c r="B82" s="48">
        <f>SUM(COUNTIF('03_Eventos_pagamentos'!$E$11:$E$697,'04_TOTALIZADORA'!A82)+COUNTIF('03_Eventos_pagamentos'!$E$766:$E$836,'04_TOTALIZADORA'!A82))</f>
        <v/>
      </c>
      <c r="C82" s="1422">
        <f>SUMIF('03_Eventos_pagamentos'!$E$11:$E$699,A82,'03_Eventos_pagamentos'!$O$11:$O$697)+SUMIF('03_Eventos_pagamentos'!$E$766:$E$836,A82,'03_Eventos_pagamentos'!$O$766:$O$836)</f>
        <v/>
      </c>
      <c r="D82" s="48">
        <f>COUNTIF('03_Eventos_pagamentos'!$E$702:$E$763,'04_TOTALIZADORA'!A82)</f>
        <v/>
      </c>
      <c r="E82" s="1427">
        <f>SUMIF('03_Eventos_pagamentos'!$E$702:$E$763,A82,'03_Eventos_pagamentos'!$O$702:$O$763)</f>
        <v/>
      </c>
      <c r="F82" s="1431">
        <f>C82+E82+F81</f>
        <v/>
      </c>
      <c r="G82" s="1448">
        <f>C82+E82-M82</f>
        <v/>
      </c>
      <c r="H82" s="1452">
        <f>SUMIF('03_Eventos_pagamentos'!$E$702:$E$763,F82,'03_Eventos_pagamentos'!$O$702:$O$763)</f>
        <v/>
      </c>
      <c r="I82" s="1452">
        <f>G82-H82</f>
        <v/>
      </c>
      <c r="J82" s="1450">
        <f>I82+M82</f>
        <v/>
      </c>
      <c r="K82" s="1425">
        <f>SUMIF('03_Eventos_pagamentos'!$P$11:$P$843,A83,'03_Eventos_pagamentos'!$Q$11:$Q$843)</f>
        <v/>
      </c>
      <c r="L82" s="1439">
        <f>K82+L81</f>
        <v/>
      </c>
      <c r="M82" s="1427">
        <f>SUMIFS( '03_Eventos_pagamentos'!$O$11:$O$843,'03_Eventos_pagamentos'!$E$11:$E$843,A82,'03_Eventos_pagamentos'!$I$11:$I$843,"FAT. DIRETO")</f>
        <v/>
      </c>
      <c r="N82" s="1439">
        <f>K82+M82+N81</f>
        <v/>
      </c>
      <c r="O82" s="1431" t="n"/>
      <c r="P82" s="1431">
        <f>O82+P81</f>
        <v/>
      </c>
      <c r="Q82" s="1431" t="n"/>
      <c r="R82" s="1431">
        <f>R81+Q82</f>
        <v/>
      </c>
      <c r="S82" s="1440" t="n"/>
      <c r="T82" s="1441" t="n"/>
      <c r="U82" s="1441" t="n"/>
      <c r="V82" s="1441" t="n"/>
      <c r="W82" s="1187" t="n"/>
      <c r="X82" s="1187" t="n"/>
    </row>
    <row r="83" ht="39.9" customHeight="1">
      <c r="A83" s="51" t="inlineStr">
        <is>
          <t>Meses</t>
        </is>
      </c>
      <c r="B83" s="52" t="inlineStr">
        <is>
          <t>EVENTOS</t>
        </is>
      </c>
      <c r="C83" s="52">
        <f>B12</f>
        <v/>
      </c>
      <c r="D83" s="52" t="inlineStr">
        <is>
          <t>EVENTOS</t>
        </is>
      </c>
      <c r="E83" s="52">
        <f>D12</f>
        <v/>
      </c>
      <c r="F83" s="53" t="inlineStr">
        <is>
          <t>VALOR TOTAL</t>
        </is>
      </c>
      <c r="G83" s="53" t="inlineStr">
        <is>
          <t>VALOR TOTAL</t>
        </is>
      </c>
      <c r="H83" s="53" t="inlineStr">
        <is>
          <t>VALOR TOTAL</t>
        </is>
      </c>
      <c r="I83" s="53" t="inlineStr">
        <is>
          <t>VALOR TOTAL</t>
        </is>
      </c>
      <c r="J83" s="53" t="inlineStr">
        <is>
          <t>VALOR TOTAL</t>
        </is>
      </c>
      <c r="K83" s="53" t="n"/>
      <c r="L83" s="53" t="inlineStr">
        <is>
          <t>VALOR TOTAL</t>
        </is>
      </c>
      <c r="M83" s="53" t="inlineStr">
        <is>
          <t>VALOR TOTAL</t>
        </is>
      </c>
      <c r="N83" s="53" t="inlineStr">
        <is>
          <t>VALOR TOTAL</t>
        </is>
      </c>
      <c r="O83" s="53" t="n"/>
      <c r="P83" s="53" t="inlineStr">
        <is>
          <t>VALOR TOTAL</t>
        </is>
      </c>
      <c r="Q83" s="53" t="n"/>
      <c r="R83" s="53" t="inlineStr">
        <is>
          <t>VALOR TOTAL</t>
        </is>
      </c>
      <c r="S83" s="52" t="inlineStr">
        <is>
          <t>TOTAL EVENTOS</t>
        </is>
      </c>
      <c r="T83" s="863" t="inlineStr">
        <is>
          <t>PREÇO GLOBAL</t>
        </is>
      </c>
      <c r="U83" s="1442">
        <f>SUM(C14:C82,E14:E82)</f>
        <v/>
      </c>
      <c r="V83" s="1408" t="n"/>
      <c r="W83" s="867" t="inlineStr">
        <is>
          <t>VALOR ANTECIPAÇÃO SOLICITADA</t>
        </is>
      </c>
      <c r="X83" s="1443">
        <f>S9</f>
        <v/>
      </c>
    </row>
    <row r="84" ht="39.9" customHeight="1" thickBot="1">
      <c r="A84" s="54" t="n">
        <v>70</v>
      </c>
      <c r="B84" s="55">
        <f>SUM(B14:B82)</f>
        <v/>
      </c>
      <c r="C84" s="1444">
        <f>SUM(C14:C82)</f>
        <v/>
      </c>
      <c r="D84" s="55">
        <f>SUM(D14:D82)</f>
        <v/>
      </c>
      <c r="E84" s="1444">
        <f>SUM(E14:E82)</f>
        <v/>
      </c>
      <c r="F84" s="1444">
        <f>SUM(C84,E84)</f>
        <v/>
      </c>
      <c r="G84" s="1444">
        <f>SUM(G14:G82)</f>
        <v/>
      </c>
      <c r="H84" s="1444">
        <f>SUM(H14:H82)</f>
        <v/>
      </c>
      <c r="I84" s="1444">
        <f>SUM(I14:I82)</f>
        <v/>
      </c>
      <c r="J84" s="1444">
        <f>SUM(J14:J82)</f>
        <v/>
      </c>
      <c r="K84" s="1444" t="n"/>
      <c r="L84" s="1444">
        <f>L82</f>
        <v/>
      </c>
      <c r="M84" s="1444">
        <f>SUM(M14:M82)</f>
        <v/>
      </c>
      <c r="N84" s="1444">
        <f>N82</f>
        <v/>
      </c>
      <c r="O84" s="1444" t="n"/>
      <c r="P84" s="1444">
        <f>P82</f>
        <v/>
      </c>
      <c r="Q84" s="1444" t="n"/>
      <c r="R84" s="1444">
        <f>R82</f>
        <v/>
      </c>
      <c r="S84" s="55">
        <f>SUM(B84,D84)</f>
        <v/>
      </c>
      <c r="T84" s="1247" t="n"/>
      <c r="U84" s="1414" t="n"/>
      <c r="V84" s="1412" t="n"/>
      <c r="W84" s="1247" t="n"/>
      <c r="X84" s="1420" t="n"/>
    </row>
    <row r="85" ht="9" customHeight="1" thickBot="1">
      <c r="A85" s="57" t="n"/>
      <c r="B85" s="58" t="n"/>
      <c r="C85" s="58" t="n"/>
      <c r="D85" s="58" t="n"/>
      <c r="E85" s="58" t="n"/>
      <c r="F85" s="58" t="n"/>
      <c r="G85" s="58" t="n"/>
      <c r="H85" s="58" t="n"/>
      <c r="I85" s="58" t="n"/>
      <c r="J85" s="58" t="n"/>
      <c r="K85" s="58" t="n"/>
      <c r="L85" s="58" t="n"/>
      <c r="M85" s="58" t="n"/>
      <c r="N85" s="58" t="n"/>
      <c r="O85" s="58" t="n"/>
      <c r="P85" s="58" t="n"/>
      <c r="Q85" s="58" t="n"/>
      <c r="R85" s="58" t="n"/>
      <c r="S85" s="58" t="n"/>
      <c r="T85" s="58" t="n"/>
      <c r="U85" s="58" t="n"/>
      <c r="V85" s="59" t="n"/>
      <c r="W85" s="59" t="n"/>
      <c r="X85" s="60" t="n"/>
    </row>
    <row r="86" ht="51.75" customHeight="1" thickBot="1">
      <c r="A86" s="1445" t="inlineStr">
        <is>
          <t>Nota: Preencher somente a célula em destaque amarelo, campo de ANTECIPAÇÃO SOLICITADA, com o valor percentual referênte a solicitação de antecipação, de acordo com as regras do edital e limitado a 5% do VALOR GLOBAL da proposta, demais campos são de preenchimento automático, meramente ilustrativos, pois seguirão as disposições descritas na Minuta de Contrato.</t>
        </is>
      </c>
      <c r="B86" s="1139" t="n"/>
      <c r="C86" s="1139" t="n"/>
      <c r="D86" s="1139" t="n"/>
      <c r="E86" s="1139" t="n"/>
      <c r="F86" s="1139" t="n"/>
      <c r="G86" s="1139" t="n"/>
      <c r="H86" s="1139" t="n"/>
      <c r="I86" s="1139" t="n"/>
      <c r="J86" s="1139" t="n"/>
      <c r="K86" s="1139" t="n"/>
      <c r="L86" s="1139" t="n"/>
      <c r="M86" s="1139" t="n"/>
      <c r="N86" s="1139" t="n"/>
      <c r="O86" s="1139" t="n"/>
      <c r="P86" s="1139" t="n"/>
      <c r="Q86" s="1139" t="n"/>
      <c r="R86" s="1139" t="n"/>
      <c r="S86" s="1139" t="n"/>
      <c r="T86" s="1139" t="n"/>
      <c r="U86" s="1139" t="n"/>
      <c r="V86" s="1139" t="n"/>
      <c r="W86" s="1139" t="n"/>
      <c r="X86" s="1140" t="n"/>
    </row>
    <row r="87" ht="9" customHeight="1" thickBot="1">
      <c r="A87" s="61" t="n"/>
      <c r="B87" s="59" t="n"/>
      <c r="C87" s="59" t="n"/>
      <c r="D87" s="59" t="n"/>
      <c r="E87" s="59" t="n"/>
      <c r="F87" s="59" t="n"/>
      <c r="G87" s="59" t="n"/>
      <c r="H87" s="59" t="n"/>
      <c r="I87" s="59" t="n"/>
      <c r="J87" s="59" t="n"/>
      <c r="K87" s="59" t="n"/>
      <c r="L87" s="59" t="n"/>
      <c r="M87" s="59" t="n"/>
      <c r="N87" s="59" t="n"/>
      <c r="O87" s="59" t="n"/>
      <c r="P87" s="59" t="n"/>
      <c r="Q87" s="59" t="n"/>
      <c r="R87" s="59" t="n"/>
      <c r="S87" s="59" t="n"/>
      <c r="T87" s="59" t="n"/>
      <c r="U87" s="59" t="n"/>
      <c r="V87" s="59" t="n"/>
      <c r="W87" s="59" t="n"/>
      <c r="X87" s="60" t="n"/>
    </row>
  </sheetData>
  <mergeCells count="39">
    <mergeCell ref="S9:T10"/>
    <mergeCell ref="W83:W84"/>
    <mergeCell ref="F12:F13"/>
    <mergeCell ref="L12:L13"/>
    <mergeCell ref="N12:N13"/>
    <mergeCell ref="A9:C10"/>
    <mergeCell ref="T83:T84"/>
    <mergeCell ref="B12:C12"/>
    <mergeCell ref="W9:X10"/>
    <mergeCell ref="U83:V84"/>
    <mergeCell ref="A5:C5"/>
    <mergeCell ref="W79:W82"/>
    <mergeCell ref="A12:A13"/>
    <mergeCell ref="A2:X2"/>
    <mergeCell ref="X83:X84"/>
    <mergeCell ref="R12:R13"/>
    <mergeCell ref="A86:X86"/>
    <mergeCell ref="D6:T6"/>
    <mergeCell ref="O12:O13"/>
    <mergeCell ref="S12:V12"/>
    <mergeCell ref="R14:R29"/>
    <mergeCell ref="D9:D10"/>
    <mergeCell ref="U9:V10"/>
    <mergeCell ref="E7:V7"/>
    <mergeCell ref="W12:X12"/>
    <mergeCell ref="X79:X82"/>
    <mergeCell ref="P12:P13"/>
    <mergeCell ref="A7:D7"/>
    <mergeCell ref="D12:E12"/>
    <mergeCell ref="Q14:Q29"/>
    <mergeCell ref="A4:T4"/>
    <mergeCell ref="S13:V13"/>
    <mergeCell ref="D5:T5"/>
    <mergeCell ref="A6:C6"/>
    <mergeCell ref="Q12:Q13"/>
    <mergeCell ref="A1:X1"/>
    <mergeCell ref="W13:X13"/>
    <mergeCell ref="E9:F10"/>
    <mergeCell ref="U4:V4"/>
  </mergeCells>
  <conditionalFormatting sqref="D9">
    <cfRule type="containsBlanks" priority="5" dxfId="1">
      <formula>LEN(TRIM(D9))=0</formula>
    </cfRule>
  </conditionalFormatting>
  <conditionalFormatting sqref="D9:D10">
    <cfRule type="cellIs" priority="3" operator="greaterThan" dxfId="0">
      <formula>0.05</formula>
    </cfRule>
  </conditionalFormatting>
  <dataValidations xWindow="362" yWindow="408" count="2">
    <dataValidation sqref="F1:F3 I1:S3 W6" showDropDown="0" showInputMessage="0" showErrorMessage="1" allowBlank="1"/>
    <dataValidation sqref="D9:D10" showDropDown="0" showInputMessage="1" showErrorMessage="1" allowBlank="1" errorTitle="!!!! ERRO !!!!" error="VALOR NÃO PERMITIDO." promptTitle="ENTRE AQUI COM O" prompt="PERCENTUAL DA ANTECIPAÇÃO, LIMITADO A 5% DO PREÇO GLOBAL." type="decimal">
      <formula1>0</formula1>
      <formula2>0.05</formula2>
    </dataValidation>
  </dataValidations>
  <printOptions horizontalCentered="1"/>
  <pageMargins left="0.1968503937007874" right="0.1574803149606299" top="0.1181102362204725" bottom="0.2362204724409449" header="0.1181102362204725" footer="0.03937007874015748"/>
  <pageSetup orientation="portrait" paperSize="8" fitToHeight="0"/>
  <headerFooter>
    <oddHeader/>
    <oddFooter>&amp;C&amp;P de &amp;N&amp;R&amp;"Calibri"&amp;10 &amp;K000000_x000d_# Classificação: Público</oddFooter>
    <evenHeader/>
    <evenFooter/>
    <firstHeader/>
    <firstFooter/>
  </headerFooter>
  <drawing xmlns:r="http://schemas.openxmlformats.org/officeDocument/2006/relationships" r:id="rId1"/>
</worksheet>
</file>

<file path=xl/worksheets/sheet8.xml><?xml version="1.0" encoding="utf-8"?>
<worksheet xmlns="http://schemas.openxmlformats.org/spreadsheetml/2006/main">
  <sheetPr codeName="Planilha6">
    <outlinePr summaryBelow="1" summaryRight="1"/>
    <pageSetUpPr fitToPage="1"/>
  </sheetPr>
  <dimension ref="B1:E31"/>
  <sheetViews>
    <sheetView showGridLines="0" topLeftCell="A8" workbookViewId="0">
      <selection activeCell="D21" sqref="D21"/>
    </sheetView>
  </sheetViews>
  <sheetFormatPr baseColWidth="8" defaultColWidth="9.109375" defaultRowHeight="14.4"/>
  <cols>
    <col width="9.109375" customWidth="1" style="269" min="1" max="1"/>
    <col width="22.109375" customWidth="1" style="269" min="2" max="2"/>
    <col width="72.5546875" customWidth="1" style="269" min="3" max="3"/>
    <col width="45.44140625" customWidth="1" style="269" min="4" max="4"/>
    <col width="20.5546875" customWidth="1" style="269" min="5" max="5"/>
    <col width="9.44140625" bestFit="1" customWidth="1" style="269" min="6" max="6"/>
    <col width="22.109375" bestFit="1" customWidth="1" style="269" min="7" max="7"/>
    <col width="9.109375" customWidth="1" style="269" min="8" max="16384"/>
  </cols>
  <sheetData>
    <row r="1" ht="89.25" customHeight="1" thickBot="1">
      <c r="B1" s="1092" t="inlineStr">
        <is>
          <t>ATENÇÃO: 
SEGUE ABAIXO COMO EXEMPLO, TABELA DE BDI MERAMENTE ILUSTRATIVA. A PROPONENTE DEVE APRESENTAR A SUA COMPOSIÇÃO DE BDI.</t>
        </is>
      </c>
      <c r="C1" s="1454" t="n"/>
      <c r="D1" s="1454" t="n"/>
      <c r="E1" s="1454" t="n"/>
    </row>
    <row r="2" ht="61.5" customHeight="1" thickBot="1">
      <c r="B2" s="1138" t="inlineStr">
        <is>
          <t>PLANILHA DE PREÇOS E EVENTOGRAMAS
EXECUÇÃO DAS OBRAS DE REFORMA E MODERNIZAÇÃO DA UHE SALTO GRANDE E MODERNIZAÇÃO E DIGITALIZAÇÃO DA SE UHE SALTO GRANDE – ATIVOS CEMIG D</t>
        </is>
      </c>
      <c r="C2" s="1139" t="n"/>
      <c r="D2" s="1139" t="n"/>
      <c r="E2" s="1140" t="n"/>
    </row>
    <row r="3" ht="24" customHeight="1" thickBot="1">
      <c r="B3" s="1138" t="inlineStr">
        <is>
          <t>GUIA COM INFORMAÇÕES DA COMPOSIÇÃO DO BDI</t>
        </is>
      </c>
      <c r="C3" s="1139" t="n"/>
      <c r="D3" s="1139" t="n"/>
      <c r="E3" s="1140" t="n"/>
    </row>
    <row r="4" ht="9" customHeight="1" thickBot="1">
      <c r="B4" s="197" t="n"/>
      <c r="C4" s="198" t="n"/>
      <c r="D4" s="198" t="n"/>
      <c r="E4" s="199" t="n"/>
    </row>
    <row r="5" ht="33" customHeight="1">
      <c r="B5" s="1141">
        <f>'01_Preço'!A4</f>
        <v/>
      </c>
      <c r="C5" s="1142" t="n"/>
      <c r="D5" s="1143" t="n"/>
      <c r="E5" s="200">
        <f>_xlfn.CONCAT('01_Preço'!M4,"  ",'01_Preço'!O4)</f>
        <v/>
      </c>
    </row>
    <row r="6" ht="15.75" customHeight="1">
      <c r="B6" s="804" t="inlineStr">
        <is>
          <t>NOME EMPRESA PROPONENTE:</t>
        </is>
      </c>
      <c r="C6" s="1144" t="n"/>
      <c r="D6" s="1094">
        <f>'01_Preço'!C5</f>
        <v/>
      </c>
      <c r="E6" s="1144" t="n"/>
    </row>
    <row r="7" ht="15" customHeight="1">
      <c r="B7" s="808" t="inlineStr">
        <is>
          <t>Nº CNPJ:</t>
        </is>
      </c>
      <c r="C7" s="1145" t="inlineStr">
        <is>
          <t>14.162.225/0001-59</t>
        </is>
      </c>
      <c r="D7" s="810" t="inlineStr">
        <is>
          <t>Nº INSCRIÇÃO ESTADUAL:</t>
        </is>
      </c>
      <c r="E7" s="202">
        <f>'01_Preço'!Q5</f>
        <v/>
      </c>
    </row>
    <row r="8" ht="33" customHeight="1">
      <c r="B8" s="808" t="inlineStr">
        <is>
          <t>REPRESENTANTE LEGAL:</t>
        </is>
      </c>
      <c r="C8" s="1455">
        <f>'01_Preço'!C6</f>
        <v/>
      </c>
      <c r="D8" s="1201" t="n"/>
      <c r="E8" s="1147" t="n"/>
    </row>
    <row r="9" ht="16.5" customHeight="1">
      <c r="B9" s="808" t="inlineStr">
        <is>
          <t>Nº CPF:</t>
        </is>
      </c>
      <c r="C9" s="1148">
        <f>'01_Preço'!L6</f>
        <v/>
      </c>
      <c r="D9" s="810" t="inlineStr">
        <is>
          <t>Nº DA IDENTIDADE:</t>
        </is>
      </c>
      <c r="E9" s="293">
        <f>'01_Preço'!Q6</f>
        <v/>
      </c>
    </row>
    <row r="10" ht="33" customHeight="1">
      <c r="B10" s="205" t="inlineStr">
        <is>
          <t>DATA DE EMISSÃO:</t>
        </is>
      </c>
      <c r="C10" s="260">
        <f>'01_Preço'!V5</f>
        <v/>
      </c>
      <c r="D10" s="810" t="inlineStr">
        <is>
          <t>BASE ECONÔMICA TRIBUTÁRIA:</t>
        </is>
      </c>
      <c r="E10" s="1149">
        <f>'01_Preço'!V4</f>
        <v/>
      </c>
    </row>
    <row r="11" ht="16.5" customHeight="1" thickBot="1">
      <c r="B11" s="1150" t="inlineStr">
        <is>
          <t>ASSINATURA DO REPRESENTANTE LEGAL DA EMPRESA:</t>
        </is>
      </c>
      <c r="C11" s="1151" t="n"/>
      <c r="D11" s="1096">
        <f>'01_Preço'!K7</f>
        <v/>
      </c>
      <c r="E11" s="1151" t="n"/>
    </row>
    <row r="12" ht="15" customHeight="1" thickBot="1">
      <c r="B12" s="281" t="n"/>
      <c r="C12" s="1456" t="inlineStr">
        <is>
          <t>BONIFICAÇÕES E DESPESAS INDIRETAS - BDI - %</t>
        </is>
      </c>
      <c r="D12" s="1457" t="n"/>
      <c r="E12" s="282" t="n"/>
    </row>
    <row r="13" ht="15" customHeight="1">
      <c r="B13" s="283" t="n"/>
      <c r="C13" s="270" t="inlineStr">
        <is>
          <t>DESCRIÇÃO DO ITEM</t>
        </is>
      </c>
      <c r="D13" s="271" t="inlineStr">
        <is>
          <t>%</t>
        </is>
      </c>
      <c r="E13" s="284" t="n"/>
    </row>
    <row r="14" ht="15" customHeight="1">
      <c r="B14" s="283" t="n"/>
      <c r="C14" s="272" t="inlineStr">
        <is>
          <t>Administração Central</t>
        </is>
      </c>
      <c r="D14" s="273" t="n">
        <v>0.05</v>
      </c>
      <c r="E14" s="284" t="n"/>
    </row>
    <row r="15" ht="15" customHeight="1">
      <c r="B15" s="283" t="n"/>
      <c r="C15" s="272" t="inlineStr">
        <is>
          <t>Risco/Margem de incerteza</t>
        </is>
      </c>
      <c r="D15" s="273" t="n">
        <v>0.0127</v>
      </c>
      <c r="E15" s="284" t="n"/>
    </row>
    <row r="16">
      <c r="B16" s="283" t="n"/>
      <c r="C16" s="272" t="inlineStr">
        <is>
          <t>Seguros</t>
        </is>
      </c>
      <c r="D16" s="273" t="n">
        <v>0.0025</v>
      </c>
      <c r="E16" s="284" t="n"/>
    </row>
    <row r="17">
      <c r="B17" s="283" t="n"/>
      <c r="C17" s="272" t="inlineStr">
        <is>
          <t>Garantias</t>
        </is>
      </c>
      <c r="D17" s="273" t="n">
        <v>0.0025</v>
      </c>
      <c r="E17" s="284" t="n"/>
    </row>
    <row r="18">
      <c r="B18" s="283" t="n"/>
      <c r="C18" s="272" t="inlineStr">
        <is>
          <t>Despesas Financeiras</t>
        </is>
      </c>
      <c r="D18" s="273" t="n">
        <v>0.01</v>
      </c>
      <c r="E18" s="284" t="n"/>
    </row>
    <row r="19">
      <c r="B19" s="283" t="n"/>
      <c r="C19" s="272" t="inlineStr">
        <is>
          <t>Lucro</t>
        </is>
      </c>
      <c r="D19" s="273" t="n">
        <v>0.0615</v>
      </c>
      <c r="E19" s="284" t="n"/>
    </row>
    <row r="20">
      <c r="B20" s="283" t="n"/>
      <c r="C20" s="272" t="inlineStr">
        <is>
          <t>PIS</t>
        </is>
      </c>
      <c r="D20" s="273" t="n">
        <v>0.0065</v>
      </c>
      <c r="E20" s="284" t="n"/>
    </row>
    <row r="21">
      <c r="B21" s="283" t="n"/>
      <c r="C21" s="272" t="inlineStr">
        <is>
          <t>COFINS</t>
        </is>
      </c>
      <c r="D21" s="273" t="n">
        <v>0.03</v>
      </c>
      <c r="E21" s="284" t="n"/>
    </row>
    <row r="22">
      <c r="B22" s="283" t="n"/>
      <c r="C22" s="272" t="inlineStr">
        <is>
          <t>Simples Nacional</t>
        </is>
      </c>
      <c r="D22" s="273" t="n"/>
      <c r="E22" s="284" t="n"/>
    </row>
    <row r="23">
      <c r="B23" s="283" t="n"/>
      <c r="C23" s="272" t="inlineStr">
        <is>
          <t>Encargos Sociais</t>
        </is>
      </c>
      <c r="D23" s="273" t="n"/>
      <c r="E23" s="284" t="n"/>
    </row>
    <row r="24">
      <c r="B24" s="283" t="n"/>
      <c r="C24" s="272" t="inlineStr">
        <is>
          <t>Contribuição Previdenciária sobre a Receita Bruta (CPRB)</t>
        </is>
      </c>
      <c r="D24" s="273" t="n">
        <v>0.045</v>
      </c>
      <c r="E24" s="284" t="n"/>
    </row>
    <row r="25">
      <c r="B25" s="283" t="n"/>
      <c r="C25" s="274" t="inlineStr">
        <is>
          <t>TOTAL 1</t>
        </is>
      </c>
      <c r="D25" s="275">
        <f>SUM(D14:D24)</f>
        <v/>
      </c>
      <c r="E25" s="284" t="n"/>
    </row>
    <row r="26">
      <c r="B26" s="283" t="n"/>
      <c r="C26" s="276" t="inlineStr">
        <is>
          <t>Outras Despesas:</t>
        </is>
      </c>
      <c r="D26" s="277" t="n"/>
      <c r="E26" s="284" t="n"/>
    </row>
    <row r="27">
      <c r="B27" s="283" t="n"/>
      <c r="C27" s="278" t="n"/>
      <c r="D27" s="273" t="n"/>
      <c r="E27" s="284" t="n"/>
    </row>
    <row r="28">
      <c r="B28" s="283" t="n"/>
      <c r="C28" s="278" t="n"/>
      <c r="D28" s="273" t="n"/>
      <c r="E28" s="284" t="n"/>
    </row>
    <row r="29">
      <c r="B29" s="283" t="n"/>
      <c r="C29" s="278" t="n"/>
      <c r="D29" s="273" t="n"/>
      <c r="E29" s="284" t="n"/>
    </row>
    <row r="30">
      <c r="B30" s="283" t="n"/>
      <c r="C30" s="274" t="inlineStr">
        <is>
          <t>TOTAL 2</t>
        </is>
      </c>
      <c r="D30" s="273">
        <f>SUM(D27:D29)</f>
        <v/>
      </c>
      <c r="E30" s="284" t="n"/>
    </row>
    <row r="31" ht="15" customHeight="1" thickBot="1">
      <c r="B31" s="285" t="n"/>
      <c r="C31" s="279" t="inlineStr">
        <is>
          <t>TOTAL DO BDI</t>
        </is>
      </c>
      <c r="D31" s="280">
        <f>SUM(D25,D30)</f>
        <v/>
      </c>
      <c r="E31" s="286" t="n"/>
    </row>
  </sheetData>
  <mergeCells count="10">
    <mergeCell ref="D6:E6"/>
    <mergeCell ref="B6:C6"/>
    <mergeCell ref="C12:D12"/>
    <mergeCell ref="B5:D5"/>
    <mergeCell ref="B1:E1"/>
    <mergeCell ref="B11:C11"/>
    <mergeCell ref="D11:E11"/>
    <mergeCell ref="C8:E8"/>
    <mergeCell ref="B3:E3"/>
    <mergeCell ref="B2:E2"/>
  </mergeCells>
  <printOptions horizontalCentered="1"/>
  <pageMargins left="0.3149606299212598" right="0.3149606299212598" top="0.3937007874015748" bottom="0.5905511811023623" header="0.3149606299212598" footer="0.3149606299212598"/>
  <pageSetup orientation="landscape" paperSize="9" scale="87"/>
  <headerFooter>
    <oddHeader/>
    <oddFooter>&amp;CPágina &amp;P de &amp;N&amp;R&amp;"Calibri"&amp;10 &amp;K000000_x000a_Classificação: Direcionado_x000d_# Classificação: Público</oddFooter>
    <evenHeader/>
    <evenFooter/>
    <firstHeader/>
    <firstFooter/>
  </headerFooter>
</worksheet>
</file>

<file path=xl/worksheets/sheet9.xml><?xml version="1.0" encoding="utf-8"?>
<worksheet xmlns="http://schemas.openxmlformats.org/spreadsheetml/2006/main">
  <sheetPr codeName="Planilha2">
    <outlinePr summaryBelow="1" summaryRight="1"/>
    <pageSetUpPr fitToPage="1"/>
  </sheetPr>
  <dimension ref="B2:T43"/>
  <sheetViews>
    <sheetView showGridLines="0" topLeftCell="A17" zoomScale="85" zoomScaleNormal="85" workbookViewId="0">
      <selection activeCell="C23" sqref="C23:E23"/>
    </sheetView>
  </sheetViews>
  <sheetFormatPr baseColWidth="8" defaultColWidth="9.109375" defaultRowHeight="14.4"/>
  <cols>
    <col width="1.5546875" customWidth="1" style="116" min="1" max="1"/>
    <col width="5.5546875" customWidth="1" style="116" min="2" max="2"/>
    <col width="19.44140625" customWidth="1" style="116" min="3" max="3"/>
    <col width="8.5546875" customWidth="1" style="116" min="4" max="4"/>
    <col width="89.109375" customWidth="1" style="116" min="5" max="5"/>
    <col width="10.5546875" customWidth="1" style="117" min="6" max="7"/>
    <col hidden="1" width="25.88671875" customWidth="1" style="116" min="8" max="8"/>
    <col width="7.44140625" customWidth="1" style="116" min="9" max="9"/>
    <col width="10.109375" bestFit="1" customWidth="1" style="116" min="10" max="10"/>
    <col width="4.5546875" customWidth="1" style="116" min="11" max="12"/>
    <col width="15.5546875" customWidth="1" style="116" min="13" max="13"/>
    <col width="7.44140625" customWidth="1" style="116" min="14" max="14"/>
    <col width="15.5546875" customWidth="1" style="116" min="15" max="15"/>
    <col width="8.44140625" customWidth="1" style="116" min="16" max="16"/>
    <col width="10" customWidth="1" style="116" min="17" max="17"/>
    <col width="12.44140625" customWidth="1" style="116" min="18" max="18"/>
    <col width="6.5546875" customWidth="1" style="116" min="19" max="19"/>
    <col width="9.109375" customWidth="1" style="116" min="20" max="16384"/>
  </cols>
  <sheetData>
    <row r="1" ht="15" customHeight="1" thickBot="1"/>
    <row r="2" ht="18" customFormat="1" customHeight="1" s="118">
      <c r="B2" s="1119" t="inlineStr">
        <is>
          <t>TABELA DE SOBRESSALENTES ESPECIFICADOS - CEMIG D</t>
        </is>
      </c>
      <c r="C2" s="1142" t="n"/>
      <c r="D2" s="1142" t="n"/>
      <c r="E2" s="1142" t="n"/>
      <c r="F2" s="1142" t="n"/>
      <c r="G2" s="1142" t="n"/>
      <c r="H2" s="1143" t="n"/>
    </row>
    <row r="3" ht="28.5" customFormat="1" customHeight="1" s="118">
      <c r="B3" s="1458">
        <f>'01_Preço'!A4</f>
        <v/>
      </c>
      <c r="C3" s="1459" t="n"/>
      <c r="D3" s="1459" t="n"/>
      <c r="E3" s="1460" t="n"/>
      <c r="F3" s="993" t="inlineStr">
        <is>
          <t>BASE ECONÔMICA 
TRIBUTÁRIA</t>
        </is>
      </c>
      <c r="G3" s="1144" t="n"/>
      <c r="H3" s="1461">
        <f>'01_Preço'!V4</f>
        <v/>
      </c>
    </row>
    <row r="4" ht="18" customFormat="1" customHeight="1" s="118">
      <c r="B4" s="1411" t="n"/>
      <c r="C4" s="1191" t="n"/>
      <c r="D4" s="1191" t="n"/>
      <c r="E4" s="1412" t="n"/>
      <c r="F4" s="993" t="inlineStr">
        <is>
          <t>DATA DE EMISSÃO</t>
        </is>
      </c>
      <c r="G4" s="1144" t="n"/>
      <c r="H4" s="120">
        <f>'01_Preço'!V5</f>
        <v/>
      </c>
    </row>
    <row r="5" ht="18" customFormat="1" customHeight="1" s="118">
      <c r="B5" s="1130" t="inlineStr">
        <is>
          <t>EMPRESA PROPONENTE:</t>
        </is>
      </c>
      <c r="C5" s="1459" t="n"/>
      <c r="D5" s="1460" t="n"/>
      <c r="E5" s="1132">
        <f>'01_Preço'!C5</f>
        <v/>
      </c>
      <c r="F5" s="993" t="inlineStr">
        <is>
          <t>Nº CNPJ:</t>
        </is>
      </c>
      <c r="G5" s="1144" t="n"/>
      <c r="H5" s="121">
        <f>'01_Preço'!L5</f>
        <v/>
      </c>
    </row>
    <row r="6" ht="18" customFormat="1" customHeight="1" s="118">
      <c r="B6" s="1411" t="n"/>
      <c r="C6" s="1191" t="n"/>
      <c r="D6" s="1412" t="n"/>
      <c r="E6" s="1247" t="n"/>
      <c r="F6" s="993" t="inlineStr">
        <is>
          <t>Nº INSC ESTADUAL:</t>
        </is>
      </c>
      <c r="G6" s="1144" t="n"/>
      <c r="H6" s="122">
        <f>'01_Preço'!Q5</f>
        <v/>
      </c>
    </row>
    <row r="7" ht="18" customFormat="1" customHeight="1" s="118">
      <c r="B7" s="808" t="inlineStr">
        <is>
          <t>REPRESENTANTE LEGAL:</t>
        </is>
      </c>
      <c r="C7" s="1459" t="n"/>
      <c r="D7" s="1460" t="n"/>
      <c r="E7" s="1132">
        <f>'01_Preço'!C6</f>
        <v/>
      </c>
      <c r="F7" s="993" t="inlineStr">
        <is>
          <t>Nº CPF:</t>
        </is>
      </c>
      <c r="G7" s="1144" t="n"/>
      <c r="H7" s="121">
        <f>'01_Preço'!L6</f>
        <v/>
      </c>
    </row>
    <row r="8" ht="18" customFormat="1" customHeight="1" s="118" thickBot="1">
      <c r="B8" s="1411" t="n"/>
      <c r="C8" s="1191" t="n"/>
      <c r="D8" s="1412" t="n"/>
      <c r="E8" s="1247" t="n"/>
      <c r="F8" s="993" t="inlineStr">
        <is>
          <t>Nº IDENTIDADE:</t>
        </is>
      </c>
      <c r="G8" s="1144" t="n"/>
      <c r="H8" s="122">
        <f>'01_Preço'!Q6</f>
        <v/>
      </c>
    </row>
    <row r="9" ht="55.5" customFormat="1" customHeight="1" s="118" thickBot="1">
      <c r="B9" s="1135" t="inlineStr">
        <is>
          <t>ASSINATURA REPRESENTANTE LEGAL EMPRESA:</t>
        </is>
      </c>
      <c r="C9" s="1210" t="n"/>
      <c r="D9" s="1151" t="n"/>
      <c r="E9" s="1098" t="inlineStr">
        <is>
          <t>LOCAL PARA ASSINATURA OU INSERÇÃO DE ASSINATURA ELETRÔNICA</t>
        </is>
      </c>
      <c r="F9" s="1210" t="n"/>
      <c r="G9" s="1210" t="n"/>
      <c r="H9" s="1151" t="n"/>
      <c r="I9" s="1462" t="inlineStr">
        <is>
          <t>Classif. Fiscal
(NCM)</t>
        </is>
      </c>
      <c r="J9" s="1463" t="inlineStr">
        <is>
          <t>Revenda
(Sim/Não)</t>
        </is>
      </c>
      <c r="K9" s="1463" t="inlineStr">
        <is>
          <t>II
(%)</t>
        </is>
      </c>
      <c r="L9" s="1463" t="inlineStr">
        <is>
          <t>IPI 
(%)</t>
        </is>
      </c>
      <c r="M9" s="1464" t="inlineStr">
        <is>
          <t>CIDADE/ESTADO
Origem do ICMS</t>
        </is>
      </c>
      <c r="N9" s="1465" t="inlineStr">
        <is>
          <t>ICMS 
Origem
(%)</t>
        </is>
      </c>
      <c r="O9" s="1464" t="inlineStr">
        <is>
          <t>CIDADE/ESTADO 
Destino do ICMS</t>
        </is>
      </c>
      <c r="P9" s="1465" t="inlineStr">
        <is>
          <t>ICMS 
Destino
(%)</t>
        </is>
      </c>
      <c r="Q9" s="1465" t="inlineStr">
        <is>
          <t>ICMS
Substit. Tributaria (%)</t>
        </is>
      </c>
      <c r="R9" s="1465" t="inlineStr">
        <is>
          <t>Identificação do Fornecedor
País de origem</t>
        </is>
      </c>
      <c r="S9" s="1466" t="inlineStr">
        <is>
          <t>CNAE</t>
        </is>
      </c>
    </row>
    <row r="10" ht="51" customHeight="1" thickBot="1">
      <c r="B10" s="123" t="inlineStr">
        <is>
          <t>ITEM</t>
        </is>
      </c>
      <c r="C10" s="124" t="inlineStr">
        <is>
          <t>EQUIPAMENTO/SISTEMA
PRINCIPAL</t>
        </is>
      </c>
      <c r="D10" s="125" t="n"/>
      <c r="E10" s="126" t="inlineStr">
        <is>
          <t>SOBRESSALENTES ESPECIFICADOS</t>
        </is>
      </c>
      <c r="F10" s="124" t="inlineStr">
        <is>
          <t>QTDE.</t>
        </is>
      </c>
      <c r="G10" s="124" t="inlineStr">
        <is>
          <t>UNID.</t>
        </is>
      </c>
      <c r="H10" s="127" t="inlineStr">
        <is>
          <t>VALOR TOTAL DO ITEM (R$) (com todos os Impostos, já incluso o ICMS a ser recolhido no Estado de destino.)</t>
        </is>
      </c>
      <c r="I10" s="1467" t="n"/>
      <c r="J10" s="1468" t="n"/>
      <c r="K10" s="1468" t="n"/>
      <c r="L10" s="1468" t="n"/>
      <c r="M10" s="1468" t="n"/>
      <c r="N10" s="1468" t="n"/>
      <c r="O10" s="1468" t="n"/>
      <c r="P10" s="1468" t="n"/>
      <c r="Q10" s="1468" t="n"/>
      <c r="R10" s="1468" t="n"/>
      <c r="S10" s="1419" t="n"/>
    </row>
    <row r="11" ht="43.2" customHeight="1">
      <c r="B11" s="128" t="n">
        <v>1</v>
      </c>
      <c r="C11" s="1137" t="inlineStr">
        <is>
          <t>DISJUNTORES DE ALTA TENSÃO</t>
        </is>
      </c>
      <c r="D11" s="129" t="n">
        <v>376280</v>
      </c>
      <c r="E11" s="130" t="inlineStr">
        <is>
          <t>DISJUNTOR,SF6, 2000A,40kAEF,145kV,60Hz,230/550/-kV,TRIPOLAR,C/MOTOR 125VCC/125VCA, TENSÃO CONTROLE 125VCC,EXTERNO.
ET-02118-CEMIG-275, 20000-PE/LS-202.</t>
        </is>
      </c>
      <c r="F11" s="131" t="n">
        <v>1</v>
      </c>
      <c r="G11" s="131" t="inlineStr">
        <is>
          <t>PÇ</t>
        </is>
      </c>
      <c r="H11" s="1469">
        <f>229620+28380</f>
        <v/>
      </c>
      <c r="I11" s="28" t="n"/>
      <c r="J11" s="20" t="n"/>
      <c r="K11" s="20" t="n"/>
      <c r="L11" s="20" t="n"/>
      <c r="M11" s="20" t="n"/>
      <c r="N11" s="20" t="n"/>
      <c r="O11" s="20" t="n"/>
      <c r="P11" s="20" t="n"/>
      <c r="Q11" s="20" t="n"/>
      <c r="R11" s="20" t="n"/>
      <c r="S11" s="27" t="n"/>
      <c r="T11" s="116">
        <f>133952</f>
        <v/>
      </c>
    </row>
    <row r="12" ht="28.8" customHeight="1">
      <c r="B12" s="132" t="n">
        <v>2</v>
      </c>
      <c r="C12" s="1470" t="n"/>
      <c r="D12" s="134" t="n">
        <v>906447</v>
      </c>
      <c r="E12" s="135" t="inlineStr">
        <is>
          <t>PÓLO,COMPLETO,P/DISJUNTOR,TRIPOLAR,SF6, 3150A,40kA, 145kV,EXTERNO.
ET-02118-CEMIG-275</t>
        </is>
      </c>
      <c r="F12" s="136" t="n">
        <v>1</v>
      </c>
      <c r="G12" s="136" t="inlineStr">
        <is>
          <t>PÇ</t>
        </is>
      </c>
      <c r="H12" s="1471" t="n">
        <v>39651.28</v>
      </c>
      <c r="I12" s="28" t="n"/>
      <c r="J12" s="20" t="n"/>
      <c r="K12" s="20" t="n"/>
      <c r="L12" s="20" t="n"/>
      <c r="M12" s="20" t="n"/>
      <c r="N12" s="20" t="n"/>
      <c r="O12" s="20" t="n"/>
      <c r="P12" s="20" t="n"/>
      <c r="Q12" s="20" t="n"/>
      <c r="R12" s="20" t="n"/>
      <c r="S12" s="27" t="n"/>
      <c r="T12" s="116" t="n">
        <v>66976</v>
      </c>
    </row>
    <row r="13" ht="28.8" customHeight="1">
      <c r="B13" s="132" t="n">
        <v>3</v>
      </c>
      <c r="C13" s="1470" t="n"/>
      <c r="D13" s="134" t="n">
        <v>379344</v>
      </c>
      <c r="E13" s="135" t="inlineStr">
        <is>
          <t>MECANISMO,OPERAÇÃO,COMPLETO,P/DISJUNTOR,TRIPOLAR,SF6,145kV,2000A,50kA,EXTERNO.
ET-02118-CEMIG-275.</t>
        </is>
      </c>
      <c r="F13" s="136" t="n">
        <v>1</v>
      </c>
      <c r="G13" s="136" t="inlineStr">
        <is>
          <t>PÇ</t>
        </is>
      </c>
      <c r="H13" s="1471" t="n">
        <v>28974.84</v>
      </c>
      <c r="I13" s="28" t="n"/>
      <c r="J13" s="20" t="n"/>
      <c r="K13" s="20" t="n"/>
      <c r="L13" s="20" t="n"/>
      <c r="M13" s="20" t="n"/>
      <c r="N13" s="20" t="n"/>
      <c r="O13" s="20" t="n"/>
      <c r="P13" s="20" t="n"/>
      <c r="Q13" s="20" t="n"/>
      <c r="R13" s="20" t="n"/>
      <c r="S13" s="27" t="n"/>
      <c r="T13" s="116" t="n">
        <v>66976</v>
      </c>
    </row>
    <row r="14" ht="28.8" customHeight="1">
      <c r="B14" s="132" t="n">
        <v>4</v>
      </c>
      <c r="C14" s="1470" t="n"/>
      <c r="D14" s="134" t="n">
        <v>906446</v>
      </c>
      <c r="E14" s="135" t="inlineStr">
        <is>
          <t>PÓLO,COMPLETO,P/DISJUNTOR TRIPOLAR,SF6, 72,5kV,2000A, EXTERNO.
ET-02118-CEMIG-275</t>
        </is>
      </c>
      <c r="F14" s="136" t="n">
        <v>1</v>
      </c>
      <c r="G14" s="136" t="inlineStr">
        <is>
          <t>PÇ</t>
        </is>
      </c>
      <c r="H14" s="1471" t="n">
        <v>25416.62</v>
      </c>
      <c r="I14" s="28" t="n"/>
      <c r="J14" s="20" t="n"/>
      <c r="K14" s="20" t="n"/>
      <c r="L14" s="20" t="n"/>
      <c r="M14" s="20" t="n"/>
      <c r="N14" s="20" t="n"/>
      <c r="O14" s="20" t="n"/>
      <c r="P14" s="20" t="n"/>
      <c r="Q14" s="20" t="n"/>
      <c r="R14" s="20" t="n"/>
      <c r="S14" s="27" t="n"/>
      <c r="T14" s="116">
        <f>123019*0.5</f>
        <v/>
      </c>
    </row>
    <row r="15" ht="43.2" customHeight="1">
      <c r="B15" s="132" t="n">
        <v>5</v>
      </c>
      <c r="C15" s="1470" t="n"/>
      <c r="D15" s="134" t="n">
        <v>379193</v>
      </c>
      <c r="E15" s="135" t="inlineStr">
        <is>
          <t>MECANISMO,OPERAÇÃO,COMPLETO,P/DISJUNTOR TRIPOLAR,SF6,
72,5kV,EXTERNO.
ET-02118-CEMIG-275.</t>
        </is>
      </c>
      <c r="F15" s="136" t="n">
        <v>1</v>
      </c>
      <c r="G15" s="136" t="inlineStr">
        <is>
          <t>PÇ</t>
        </is>
      </c>
      <c r="H15" s="1471" t="n">
        <v>23633.95</v>
      </c>
      <c r="I15" s="28" t="n"/>
      <c r="J15" s="20" t="n"/>
      <c r="K15" s="20" t="n"/>
      <c r="L15" s="20" t="n"/>
      <c r="M15" s="20" t="n"/>
      <c r="N15" s="20" t="n"/>
      <c r="O15" s="20" t="n"/>
      <c r="P15" s="20" t="n"/>
      <c r="Q15" s="20" t="n"/>
      <c r="R15" s="20" t="n"/>
      <c r="S15" s="27" t="n"/>
      <c r="T15" s="116" t="n">
        <v>61509.5</v>
      </c>
    </row>
    <row r="16" ht="28.8" customHeight="1">
      <c r="B16" s="132" t="n">
        <v>6</v>
      </c>
      <c r="C16" s="1247" t="n"/>
      <c r="D16" s="134" t="n">
        <v>384082</v>
      </c>
      <c r="E16" s="135" t="inlineStr">
        <is>
          <t>DENSÍMETRO,MEDIDOR VOLUME GÁS SF6,P/DISJUNTOR,USO EXTERNO.
ET-02111-CEMIG-275.</t>
        </is>
      </c>
      <c r="F16" s="136" t="n">
        <v>1</v>
      </c>
      <c r="G16" s="136" t="inlineStr">
        <is>
          <t>CJ</t>
        </is>
      </c>
      <c r="H16" s="1471" t="n">
        <v>16513.95</v>
      </c>
      <c r="I16" s="28" t="n"/>
      <c r="J16" s="20" t="n"/>
      <c r="K16" s="20" t="n"/>
      <c r="L16" s="20" t="n"/>
      <c r="M16" s="20" t="n"/>
      <c r="N16" s="20" t="n"/>
      <c r="O16" s="20" t="n"/>
      <c r="P16" s="20" t="n"/>
      <c r="Q16" s="20" t="n"/>
      <c r="R16" s="20" t="n"/>
      <c r="S16" s="27" t="n"/>
      <c r="T16" s="116" t="n">
        <v>2966</v>
      </c>
    </row>
    <row r="17" ht="56.4" customHeight="1">
      <c r="B17" s="132" t="n">
        <v>7</v>
      </c>
      <c r="C17" s="1102" t="inlineStr">
        <is>
          <t>SECIONADORES DE AT</t>
        </is>
      </c>
      <c r="D17" s="134" t="n">
        <v>273102</v>
      </c>
      <c r="E17" s="135" t="inlineStr">
        <is>
          <t>SECCIONADOR,TRIPOLAR,145kV,1250A,60Hz,230/550/-kV,IT20kAef,ID 50kAcr,MONTAGEM HORIZONTAL PÓLOS PARALELOS,SUPORTE POC-2 ABERTURA CENTRAL,MECANISMO OPERAÇÃO INDIRETO, S/LÂMINA ATERRAMENTO.
DES 02118-CEMIG-55. ET-02118-CEMIG-277.</t>
        </is>
      </c>
      <c r="F17" s="136" t="n">
        <v>1</v>
      </c>
      <c r="G17" s="136" t="inlineStr">
        <is>
          <t>PÇ</t>
        </is>
      </c>
      <c r="H17" s="1471" t="n">
        <v>116590</v>
      </c>
      <c r="I17" s="28" t="n"/>
      <c r="J17" s="20" t="n"/>
      <c r="K17" s="20" t="n"/>
      <c r="L17" s="20" t="n"/>
      <c r="M17" s="20" t="n"/>
      <c r="N17" s="20" t="n"/>
      <c r="O17" s="20" t="n"/>
      <c r="P17" s="20" t="n"/>
      <c r="Q17" s="20" t="n"/>
      <c r="R17" s="20" t="n"/>
      <c r="S17" s="27" t="n"/>
    </row>
    <row r="18" ht="56.4" customHeight="1">
      <c r="B18" s="132" t="n">
        <v>8</v>
      </c>
      <c r="C18" s="1470" t="n"/>
      <c r="D18" s="134" t="n">
        <v>292797</v>
      </c>
      <c r="E18" s="137" t="inlineStr">
        <is>
          <t>SECCIONADOR,TRIPOLAR,145kV,1250A,60Hz,230/550/-kV,IT20kAef,ID 50kAcr,MONTAGEM HORIZONTAL PÓLOS PARALELOS,SUPORTE POC-2,ABERTURA CENTRAL,OPERAÇÃO MECANISMO DIRETO, C/LÂMINA TERRA.
DES 02118-CEMIG-55. EB-20000-ER/SE-6005. ET-02118-CEMIG-277.</t>
        </is>
      </c>
      <c r="F18" s="138" t="n">
        <v>1</v>
      </c>
      <c r="G18" s="138" t="inlineStr">
        <is>
          <t>PÇ</t>
        </is>
      </c>
      <c r="H18" s="1471" t="n">
        <v>126380</v>
      </c>
      <c r="I18" s="28" t="n"/>
      <c r="J18" s="20" t="n"/>
      <c r="K18" s="20" t="n"/>
      <c r="L18" s="20" t="n"/>
      <c r="M18" s="20" t="n"/>
      <c r="N18" s="20" t="n"/>
      <c r="O18" s="20" t="n"/>
      <c r="P18" s="20" t="n"/>
      <c r="Q18" s="20" t="n"/>
      <c r="R18" s="20" t="n"/>
      <c r="S18" s="27" t="n"/>
    </row>
    <row r="19" ht="70.8" customHeight="1">
      <c r="B19" s="132" t="n">
        <v>9</v>
      </c>
      <c r="C19" s="1470" t="n"/>
      <c r="D19" s="134" t="n">
        <v>376115</v>
      </c>
      <c r="E19" s="137" t="inlineStr">
        <is>
          <t>SECCIONADOR,TRIPOLAR,145kV,1250A,60Hz,230/550/-kV,It 20kAef,Id 50kAcr,MONTAGEM HORIZONTAL PÓLOS PARALELOS ESPAÇAMENTO ENTRE PÓLOS 3000mm,ABERTURA CENTRAL,OPERAÇÃO MOTORIZADA 125VCC, MECANISMO DIRETO,C/CAPACIDADE ABERTURA CORRENTE MAGNETIZAÇÃO 2,5A,DISPOSITIVO RESTRIÇÃO ARCOS.
DES 02118-CEMIG-55. ET-02118-CEMIG-277. EB-20000-ER/SE-6005.</t>
        </is>
      </c>
      <c r="F19" s="138" t="n">
        <v>1</v>
      </c>
      <c r="G19" s="138" t="inlineStr">
        <is>
          <t>PÇ</t>
        </is>
      </c>
      <c r="H19" s="1471">
        <f>129050+18950</f>
        <v/>
      </c>
      <c r="I19" s="28" t="n"/>
      <c r="J19" s="20" t="n"/>
      <c r="K19" s="20" t="n"/>
      <c r="L19" s="20" t="n"/>
      <c r="M19" s="20" t="n"/>
      <c r="N19" s="20" t="n"/>
      <c r="O19" s="20" t="n"/>
      <c r="P19" s="20" t="n"/>
      <c r="Q19" s="20" t="n"/>
      <c r="R19" s="20" t="n"/>
      <c r="S19" s="27" t="n"/>
    </row>
    <row r="20" ht="56.4" customHeight="1">
      <c r="B20" s="132" t="n">
        <v>10</v>
      </c>
      <c r="C20" s="1247" t="n"/>
      <c r="D20" s="134" t="n">
        <v>262352</v>
      </c>
      <c r="E20" s="135" t="inlineStr">
        <is>
          <t xml:space="preserve">SECCIONADOR,TRIPOLAR,145kV,1250A,60Hz,230/550/-kV,IT 20kAef,ID 50kAcr,MONTAGEM HORIZONTAL NORMAL, ABERTURA CENTRAL,OPERAÇÃO MOTORIZADA,MOTOR 125VCC,TENSÃO COMANDO 125VCC,S/LÂMINA TERRA. 
DES 02118-CEMIG-55. ET-02118-CEMIG-277. </t>
        </is>
      </c>
      <c r="F20" s="138" t="n">
        <v>1</v>
      </c>
      <c r="G20" s="138" t="inlineStr">
        <is>
          <t>PÇ</t>
        </is>
      </c>
      <c r="H20" s="1471">
        <f>125490+22510</f>
        <v/>
      </c>
      <c r="I20" s="28" t="n"/>
      <c r="J20" s="20" t="n"/>
      <c r="K20" s="20" t="n"/>
      <c r="L20" s="20" t="n"/>
      <c r="M20" s="20" t="n"/>
      <c r="N20" s="20" t="n"/>
      <c r="O20" s="20" t="n"/>
      <c r="P20" s="20" t="n"/>
      <c r="Q20" s="20" t="n"/>
      <c r="R20" s="20" t="n"/>
      <c r="S20" s="27" t="n"/>
    </row>
    <row r="21" ht="70.8" customHeight="1">
      <c r="B21" s="132" t="n">
        <v>11</v>
      </c>
      <c r="C21" s="1102" t="n"/>
      <c r="D21" s="134" t="n">
        <v>384194</v>
      </c>
      <c r="E21" s="137" t="inlineStr">
        <is>
          <t>RELIGADOR,TRIFÁSICO,15kV,630A,12kA,60Hz,50/110/-kV,VÁCUO,ISOLAMENTO SÓLIDO MATERIAL POLIMÉRICO ORGÂNICO,C/ CONTROLE E PROTEÇÃO DIGITAIS FALTA FASE-FASE E FASE-TERRA, CONTROLE E SUPERVISÃO REMOTOS E LOCAIS, TENSÃO CONTROLE E AUXILIAR 125VCC,2 CONTATOS AUXILIARES REVERSÍVEIS, POSSIBILIDADE COMANDO REMOTO.
ET-22000-PE/LS-5594. IEEE C37.60. IEC 62271-111.</t>
        </is>
      </c>
      <c r="F21" s="136" t="n">
        <v>1</v>
      </c>
      <c r="G21" s="136" t="inlineStr">
        <is>
          <t>PÇ</t>
        </is>
      </c>
      <c r="H21" s="1471" t="n">
        <v>78320</v>
      </c>
      <c r="I21" s="28" t="n"/>
      <c r="J21" s="20" t="n"/>
      <c r="K21" s="20" t="n"/>
      <c r="L21" s="20" t="n"/>
      <c r="M21" s="20" t="n"/>
      <c r="N21" s="20" t="n"/>
      <c r="O21" s="20" t="n"/>
      <c r="P21" s="20" t="n"/>
      <c r="Q21" s="20" t="n"/>
      <c r="R21" s="20" t="n"/>
      <c r="S21" s="27" t="n"/>
    </row>
    <row r="22" ht="52.8" customHeight="1">
      <c r="B22" s="132" t="n">
        <v>12</v>
      </c>
      <c r="C22" s="1102" t="inlineStr">
        <is>
          <t>RELIGADORES DE MT</t>
        </is>
      </c>
      <c r="D22" s="134" t="n">
        <v>380360</v>
      </c>
      <c r="E22" s="139" t="inlineStr">
        <is>
          <t>CONTROLE,MICROPROCESSADO,P/RELIGADOR,15, 27, 38kV,TENSÃO CONTROLE 125VCC,C/CABO INTERLIGAÇÃO,RELÉ FUNÇÃO DIRECIONAL SOBRECORRENTE,RELÉ FALTA À TERRA, FALTA SENSÍVEL À TERRA,RELÉAUTORELIGAMENTO,MEDIÇÃO INSTANTÂNEA,REGISTRO EVENTOS.
ET-22000-PE/LS-5594.</t>
        </is>
      </c>
      <c r="F22" s="138" t="n">
        <v>1</v>
      </c>
      <c r="G22" s="138" t="inlineStr">
        <is>
          <t>PÇ</t>
        </is>
      </c>
      <c r="H22" s="1471" t="n">
        <v>43165</v>
      </c>
      <c r="I22" s="28" t="n"/>
      <c r="J22" s="20" t="n"/>
      <c r="K22" s="20" t="n"/>
      <c r="L22" s="20" t="n"/>
      <c r="M22" s="20" t="n"/>
      <c r="N22" s="20" t="n"/>
      <c r="O22" s="20" t="n"/>
      <c r="P22" s="20" t="n"/>
      <c r="Q22" s="20" t="n"/>
      <c r="R22" s="20" t="n"/>
      <c r="S22" s="27" t="n"/>
    </row>
    <row r="23" ht="39.6" customHeight="1">
      <c r="B23" s="132" t="n">
        <v>13</v>
      </c>
      <c r="C23" s="1102" t="inlineStr">
        <is>
          <t>TRANSFORMADOR DE CORRENTE DE MT</t>
        </is>
      </c>
      <c r="D23" s="134" t="n">
        <v>387341</v>
      </c>
      <c r="E23" s="139" t="inlineStr">
        <is>
          <t>TRANSFORMADOR,CORRENTE,15kV,1500-5A,60Hz,34/110/-kV,EXATIDÃO 2X100VA 10P20, FT 1,5,IT 12,5kA/1s, ID 31,25kA,ISOLAÇÃO SÓLIDA,EXTERNO,TRANSMISSÃO.  
ET-02118-CEMIG-301.</t>
        </is>
      </c>
      <c r="F23" s="138" t="n">
        <v>1</v>
      </c>
      <c r="G23" s="138" t="inlineStr">
        <is>
          <t>PÇ</t>
        </is>
      </c>
      <c r="H23" s="1471" t="n">
        <v>21360</v>
      </c>
      <c r="I23" s="28" t="n"/>
      <c r="J23" s="20" t="n"/>
      <c r="K23" s="20" t="n"/>
      <c r="L23" s="20" t="n"/>
      <c r="M23" s="20" t="n"/>
      <c r="N23" s="20" t="n"/>
      <c r="O23" s="20" t="n"/>
      <c r="P23" s="20" t="n"/>
      <c r="Q23" s="20" t="n"/>
      <c r="R23" s="20" t="n"/>
      <c r="S23" s="27" t="n"/>
    </row>
    <row r="24" ht="66" customHeight="1">
      <c r="B24" s="132" t="n">
        <v>14</v>
      </c>
      <c r="C24" s="140" t="inlineStr">
        <is>
          <t>CABOS ISOLADOS</t>
        </is>
      </c>
      <c r="D24" s="141" t="n">
        <v>388487</v>
      </c>
      <c r="E24" s="142" t="inlineStr">
        <is>
          <t>CABO,CONDUTOR,1X500mm²,CLASSE 2,ALUMÍNIO COMPACTADO, BLOQUEIO NO CONDUTOR E ISOLAÇÃO,C/CAMADA SEMICONDUTORA INTERNA, ISOLAÇÃO EPR OU XLPE OU TR XLPE,CAMADA SEMICONDUTORA EXTERNA,BLINDAGEM METÁLICA FIOS COBRE,COBERTURA SHF1, 12/20kV.
ET-02118-CEMIG-440 E ET 02.111-ED/ES-26.</t>
        </is>
      </c>
      <c r="F24" s="143" t="n">
        <v>200</v>
      </c>
      <c r="G24" s="143" t="inlineStr">
        <is>
          <t>m</t>
        </is>
      </c>
      <c r="H24" s="1471" t="n">
        <v>106800</v>
      </c>
      <c r="I24" s="28" t="n"/>
      <c r="J24" s="20" t="n"/>
      <c r="K24" s="20" t="n"/>
      <c r="L24" s="20" t="n"/>
      <c r="M24" s="20" t="n"/>
      <c r="N24" s="20" t="n"/>
      <c r="O24" s="20" t="n"/>
      <c r="P24" s="20" t="n"/>
      <c r="Q24" s="20" t="n"/>
      <c r="R24" s="20" t="n"/>
      <c r="S24" s="27" t="n"/>
    </row>
    <row r="25" ht="26.4" customHeight="1">
      <c r="B25" s="132" t="n">
        <v>15</v>
      </c>
      <c r="C25" s="1100" t="inlineStr">
        <is>
          <t>SISTEMA DE AUTOMAÇÃO DE SUBESTAÇÕES (SAS)</t>
        </is>
      </c>
      <c r="D25" s="144" t="n">
        <v>385629</v>
      </c>
      <c r="E25" s="145" t="inlineStr">
        <is>
          <t>DISPOSITIVO,SINCRONIZAÇÃO,VIA SATÉLITE (GPS).
REF RT430,GE.</t>
        </is>
      </c>
      <c r="F25" s="138" t="n">
        <v>1</v>
      </c>
      <c r="G25" s="138" t="inlineStr">
        <is>
          <t>PÇ</t>
        </is>
      </c>
      <c r="H25" s="1471" t="n">
        <v>45390</v>
      </c>
      <c r="I25" s="28" t="n"/>
      <c r="J25" s="20" t="n"/>
      <c r="K25" s="20" t="n"/>
      <c r="L25" s="20" t="n"/>
      <c r="M25" s="20" t="n"/>
      <c r="N25" s="20" t="n"/>
      <c r="O25" s="20" t="n"/>
      <c r="P25" s="20" t="n"/>
      <c r="Q25" s="20" t="n"/>
      <c r="R25" s="20" t="n"/>
      <c r="S25" s="27" t="n"/>
    </row>
    <row r="26" ht="39.6" customHeight="1">
      <c r="B26" s="132" t="n">
        <v>16</v>
      </c>
      <c r="C26" s="1470" t="n"/>
      <c r="D26" s="146" t="inlineStr">
        <is>
          <t>-</t>
        </is>
      </c>
      <c r="E26" s="145" t="inlineStr">
        <is>
          <t>MÓDULO, AUXILIAR, SUPERVISÃO, PARALELISMO, SÍNCRONO SPS, P/TRANSFORMADORES POTÊNCIA. 
ET-02111-OP/AP-198.</t>
        </is>
      </c>
      <c r="F26" s="138" t="n">
        <v>1</v>
      </c>
      <c r="G26" s="138" t="inlineStr">
        <is>
          <t>PÇ</t>
        </is>
      </c>
      <c r="H26" s="1471" t="n">
        <v>26299.5</v>
      </c>
      <c r="I26" s="28" t="n"/>
      <c r="J26" s="20" t="n"/>
      <c r="K26" s="20" t="n"/>
      <c r="L26" s="20" t="n"/>
      <c r="M26" s="20" t="n"/>
      <c r="N26" s="20" t="n"/>
      <c r="O26" s="20" t="n"/>
      <c r="P26" s="20" t="n"/>
      <c r="Q26" s="20" t="n"/>
      <c r="R26" s="20" t="n"/>
      <c r="S26" s="27" t="n"/>
    </row>
    <row r="27" ht="66" customHeight="1">
      <c r="B27" s="132" t="n">
        <v>17</v>
      </c>
      <c r="C27" s="1470" t="n"/>
      <c r="D27" s="144" t="n">
        <v>384300</v>
      </c>
      <c r="E27" s="145" t="inlineStr">
        <is>
          <t>CONCENTRADOR,OSCILOGRAFIA,ALIMENTAÇÃO 125VCC,PROCESSADOR INTEL CELERON QUAD COREl J1900 OU SUPERIOR,MEMÓRIARAM MÍNIMA 4GB,HD SSD MÍNIMO 120GB,SISTEMA OPERACIONAL WINDOWS PORTUGUÊS,MÍNIMO 2 PORTAS ETHERNET 10/100/1000 MBPS,4 USB, VGA,C/SINCRONISMO SNTP,MONTAGEM RACK PADRÃO 19" OU TRILHO DIN.
REF MOXA DA-682-C7,ADVANTECH UNO-2372G-J021AE.</t>
        </is>
      </c>
      <c r="F27" s="138" t="n">
        <v>1</v>
      </c>
      <c r="G27" s="138" t="inlineStr">
        <is>
          <t>PÇ</t>
        </is>
      </c>
      <c r="H27" s="1471" t="n">
        <v>29863.95</v>
      </c>
      <c r="I27" s="28" t="n"/>
      <c r="J27" s="20" t="n"/>
      <c r="K27" s="20" t="n"/>
      <c r="L27" s="20" t="n"/>
      <c r="M27" s="20" t="n"/>
      <c r="N27" s="20" t="n"/>
      <c r="O27" s="20" t="n"/>
      <c r="P27" s="20" t="n"/>
      <c r="Q27" s="20" t="n"/>
      <c r="R27" s="20" t="n"/>
      <c r="S27" s="27" t="n"/>
    </row>
    <row r="28" ht="79.2" customHeight="1">
      <c r="B28" s="132" t="n">
        <v>18</v>
      </c>
      <c r="C28" s="1470" t="n"/>
      <c r="D28" s="144" t="n">
        <v>385387</v>
      </c>
      <c r="E28" s="145" t="inlineStr">
        <is>
          <t>RELÉ, DIFERENCIAL, LINHA 87, NUMÉRICO, TRIFÁSICO+NEUTRO FUNÇÕES ADICIONAIS 21/21N,67/67N,50BF,79, 25, 27, 59, 59N/64, 81 ESQUEMA TRANSFERÊNCIA DISPARO DIRETO E PERMISSÍVEL, FECHAMENTO SOB FALTA, OSCILOGRAFIA, SAÍDA SERIAL TRASEIRA E FRONTAL, AUTO-MONITORAMENTO, TEMPO OPERAÇÃO &lt;=2 CICLOS, INTERFACE COMUNICAÇÃO ÓPTICA, MONTAGEM SEMI-EMBUTIDA PAINEL.
ET 20000-PE/LS-5494.</t>
        </is>
      </c>
      <c r="F28" s="138" t="n">
        <v>1</v>
      </c>
      <c r="G28" s="138" t="inlineStr">
        <is>
          <t>PÇ</t>
        </is>
      </c>
      <c r="H28" s="1471" t="n">
        <v>67900</v>
      </c>
      <c r="I28" s="28" t="n"/>
      <c r="J28" s="20" t="n"/>
      <c r="K28" s="20" t="n"/>
      <c r="L28" s="20" t="n"/>
      <c r="M28" s="20" t="n"/>
      <c r="N28" s="20" t="n"/>
      <c r="O28" s="20" t="n"/>
      <c r="P28" s="20" t="n"/>
      <c r="Q28" s="20" t="n"/>
      <c r="R28" s="20" t="n"/>
      <c r="S28" s="27" t="n"/>
    </row>
    <row r="29" ht="79.2" customHeight="1">
      <c r="B29" s="132" t="n">
        <v>19</v>
      </c>
      <c r="C29" s="1470" t="n"/>
      <c r="D29" s="144" t="n">
        <v>320721</v>
      </c>
      <c r="E29" s="147" t="inlineStr">
        <is>
          <t>RELÉ,DIFERENCIAL,87,NUMÉRICO,TRIFÁSICO,TRANSFORMADOR 3 ENROLAMENTOS, FUNÇÕES ADICIONAIS 87N,51, 51N1,51N2,81,50BF,59, 59N, ESTABILIZAÇÃO FALTAS EXTERNAS,CONTRA CORRENTES INRUSH, HARMÔNICA, COMPONENTE DC,SATURAÇÃO,OSCILOGRAFIA,SAÍDA SERIAL TRASEIRA E FRONTAL,AUTO-MONITORAMENTO,TEMPO OPERAÇÃO &lt;(&gt;&lt;&lt;)=2 CICLOS,MONTAGEM SEMI-EMBUTIDAPAINEL.
ET-22000-PELS-5494.</t>
        </is>
      </c>
      <c r="F29" s="138" t="n">
        <v>1</v>
      </c>
      <c r="G29" s="138" t="inlineStr">
        <is>
          <t>PÇ</t>
        </is>
      </c>
      <c r="H29" s="1471" t="n">
        <v>67900</v>
      </c>
      <c r="I29" s="28" t="n"/>
      <c r="J29" s="20" t="n"/>
      <c r="K29" s="20" t="n"/>
      <c r="L29" s="20" t="n"/>
      <c r="M29" s="20" t="n"/>
      <c r="N29" s="20" t="n"/>
      <c r="O29" s="20" t="n"/>
      <c r="P29" s="20" t="n"/>
      <c r="Q29" s="20" t="n"/>
      <c r="R29" s="20" t="n"/>
      <c r="S29" s="27" t="n"/>
    </row>
    <row r="30" ht="66" customHeight="1">
      <c r="B30" s="132" t="n">
        <v>20</v>
      </c>
      <c r="C30" s="1470" t="n"/>
      <c r="D30" s="134" t="n">
        <v>378775</v>
      </c>
      <c r="E30" s="147" t="inlineStr">
        <is>
          <t>RELÉ,SOBRECORRENTE,DIRECIONAL,FUNÇÃO 67/67N,NUMÉRICO, TRIFÁSICO+ NEUTRO,FUNÇÕES ADICIONAIS 50/51N, 50BF, 79, 27, 59, 59N/64, 81, 61,LÓGICAS,FECHAMENTO SOB FALTA, OSCILOGRAFIA, SAÍDA SERIAL TRASEIRA E FRONTAL,AUTO-MONITORAMENTO,TEMPO OPERAÇÃO &lt;(&gt;&lt;&lt;)&gt;=3 CICLOS,MONTAGEM SEMI-EMBUTIDA PAINEL.
ET-22000-PELS-5494.</t>
        </is>
      </c>
      <c r="F30" s="138" t="n">
        <v>1</v>
      </c>
      <c r="G30" s="138" t="inlineStr">
        <is>
          <t>PÇ</t>
        </is>
      </c>
      <c r="H30" s="1471" t="n">
        <v>67900</v>
      </c>
      <c r="I30" s="28" t="n"/>
      <c r="J30" s="20" t="n"/>
      <c r="K30" s="20" t="n"/>
      <c r="L30" s="20" t="n"/>
      <c r="M30" s="20" t="n"/>
      <c r="N30" s="20" t="n"/>
      <c r="O30" s="20" t="n"/>
      <c r="P30" s="20" t="n"/>
      <c r="Q30" s="20" t="n"/>
      <c r="R30" s="20" t="n"/>
      <c r="S30" s="27" t="n"/>
    </row>
    <row r="31" ht="79.2" customHeight="1">
      <c r="B31" s="132" t="n">
        <v>21</v>
      </c>
      <c r="C31" s="1470" t="n"/>
      <c r="D31" s="134" t="n">
        <v>385763</v>
      </c>
      <c r="E31" s="147" t="inlineStr">
        <is>
          <t>SISTEMA,PROTEÇÃO DIFERENCIAL BARRAMENTO,SOLUÇÃO DISTRIBUÍDA OU CONCENTRADA, FORMADA P/RELÉS,FUNÇÃO PRINCIPAL 87B,FUNÇÃO ADICIONAL 50BF,NUMÉRICO,BAIXA IMPEDÂNCIA,MÍNIMO 12 VÃOS TRIFÁSICOS,4 ZONAS,PROTEÇÃO SELETIVA, LÓGICAS, OSCILOGRAFIAS,SAÍDA SERIAL,AUTO-MONITORAMENTO,TEMPO OPERAÇÃO &lt;=2 CICLOS, INTERFACE COMUNICAÇÃO ÓPTICA,MONTAGEM SEMI-EMBUTIDA PAINEL.
ET-20000-PE/LS-5494.</t>
        </is>
      </c>
      <c r="F31" s="138" t="n">
        <v>1</v>
      </c>
      <c r="G31" s="138" t="inlineStr">
        <is>
          <t>CJ</t>
        </is>
      </c>
      <c r="H31" s="1471" t="n">
        <v>62980</v>
      </c>
      <c r="I31" s="28" t="n"/>
      <c r="J31" s="20" t="n"/>
      <c r="K31" s="20" t="n"/>
      <c r="L31" s="20" t="n"/>
      <c r="M31" s="20" t="n"/>
      <c r="N31" s="20" t="n"/>
      <c r="O31" s="20" t="n"/>
      <c r="P31" s="20" t="n"/>
      <c r="Q31" s="20" t="n"/>
      <c r="R31" s="20" t="n"/>
      <c r="S31" s="27" t="n"/>
    </row>
    <row r="32" ht="39.6" customHeight="1">
      <c r="B32" s="132" t="n">
        <v>22</v>
      </c>
      <c r="C32" s="1470" t="n"/>
      <c r="D32" s="134" t="n">
        <v>385519</v>
      </c>
      <c r="E32" s="147" t="inlineStr">
        <is>
          <t>CONTROLADOR AUTOMÁTICO BANCO CAPACITOR OU REATOR,CONTROLES INDIVIDUAIS TIPO TENSÃO, CORRENTE,POTÊNCIA REATIVA, FATOR POTÊNCIA,DATA E HORÁRIO. 
NORMA IEC61850. ET-02111-OPAP-ET-001.</t>
        </is>
      </c>
      <c r="F32" s="138" t="n">
        <v>1</v>
      </c>
      <c r="G32" s="138" t="inlineStr">
        <is>
          <t>PÇ</t>
        </is>
      </c>
      <c r="H32" s="1471" t="n">
        <v>22842.74</v>
      </c>
      <c r="I32" s="28" t="n"/>
      <c r="J32" s="20" t="n"/>
      <c r="K32" s="20" t="n"/>
      <c r="L32" s="20" t="n"/>
      <c r="M32" s="20" t="n"/>
      <c r="N32" s="20" t="n"/>
      <c r="O32" s="20" t="n"/>
      <c r="P32" s="20" t="n"/>
      <c r="Q32" s="20" t="n"/>
      <c r="R32" s="20" t="n"/>
      <c r="S32" s="27" t="n"/>
    </row>
    <row r="33" ht="26.4" customHeight="1">
      <c r="B33" s="132" t="n">
        <v>23</v>
      </c>
      <c r="C33" s="1470" t="n"/>
      <c r="D33" s="134" t="n">
        <v>378779</v>
      </c>
      <c r="E33" s="147" t="inlineStr">
        <is>
          <t>MÓDULO,16 ENTRADAS DIGITAIS,P/UNIDADE CENTRAL CONTROLE (UCC).
ET-02111-0P/AP-198, ET-22000-ER/SE-6044.</t>
        </is>
      </c>
      <c r="F33" s="138" t="n">
        <v>1</v>
      </c>
      <c r="G33" s="138" t="inlineStr">
        <is>
          <t>PÇ</t>
        </is>
      </c>
      <c r="H33" s="1471" t="n">
        <v>22250</v>
      </c>
      <c r="I33" s="28" t="n"/>
      <c r="J33" s="20" t="n"/>
      <c r="K33" s="20" t="n"/>
      <c r="L33" s="20" t="n"/>
      <c r="M33" s="20" t="n"/>
      <c r="N33" s="20" t="n"/>
      <c r="O33" s="20" t="n"/>
      <c r="P33" s="20" t="n"/>
      <c r="Q33" s="20" t="n"/>
      <c r="R33" s="20" t="n"/>
      <c r="S33" s="27" t="n"/>
    </row>
    <row r="34" ht="26.4" customHeight="1">
      <c r="B34" s="132" t="n">
        <v>24</v>
      </c>
      <c r="C34" s="1470" t="n"/>
      <c r="D34" s="134" t="n">
        <v>378780</v>
      </c>
      <c r="E34" s="147" t="inlineStr">
        <is>
          <t>MÓDULO,8 ENTRADAS ANALÓGICAS,P/UNIDADE CENTRAL CONTROLE (UCC).
ET-02111-0P/AP-198, ET-22000-ER/SE-6044.</t>
        </is>
      </c>
      <c r="F34" s="138" t="n">
        <v>1</v>
      </c>
      <c r="G34" s="138" t="inlineStr">
        <is>
          <t>PÇ</t>
        </is>
      </c>
      <c r="H34" s="1471" t="n">
        <v>22250</v>
      </c>
      <c r="I34" s="28" t="n"/>
      <c r="J34" s="20" t="n"/>
      <c r="K34" s="20" t="n"/>
      <c r="L34" s="20" t="n"/>
      <c r="M34" s="20" t="n"/>
      <c r="N34" s="20" t="n"/>
      <c r="O34" s="20" t="n"/>
      <c r="P34" s="20" t="n"/>
      <c r="Q34" s="20" t="n"/>
      <c r="R34" s="20" t="n"/>
      <c r="S34" s="27" t="n"/>
    </row>
    <row r="35" ht="26.4" customHeight="1">
      <c r="B35" s="132" t="n">
        <v>25</v>
      </c>
      <c r="C35" s="1470" t="n"/>
      <c r="D35" s="134" t="n">
        <v>378781</v>
      </c>
      <c r="E35" s="147" t="inlineStr">
        <is>
          <t>MÓDULO,16 SAÍDAS DIGITAIS,P/UNIDADE CENTRAL CONTROLE (UCC).
ET-02111-0P/AP-198, ET-22000-ER/SE-6044.</t>
        </is>
      </c>
      <c r="F35" s="138" t="n">
        <v>1</v>
      </c>
      <c r="G35" s="138" t="inlineStr">
        <is>
          <t>PÇ</t>
        </is>
      </c>
      <c r="H35" s="1471" t="n">
        <v>22250</v>
      </c>
      <c r="I35" s="28" t="n"/>
      <c r="J35" s="20" t="n"/>
      <c r="K35" s="20" t="n"/>
      <c r="L35" s="20" t="n"/>
      <c r="M35" s="20" t="n"/>
      <c r="N35" s="20" t="n"/>
      <c r="O35" s="20" t="n"/>
      <c r="P35" s="20" t="n"/>
      <c r="Q35" s="20" t="n"/>
      <c r="R35" s="20" t="n"/>
      <c r="S35" s="27" t="n"/>
    </row>
    <row r="36" ht="39.6" customHeight="1">
      <c r="B36" s="132" t="n">
        <v>26</v>
      </c>
      <c r="C36" s="1470" t="n"/>
      <c r="D36" s="144" t="n">
        <v>385356</v>
      </c>
      <c r="E36" s="147" t="inlineStr">
        <is>
          <t>INTERFACE,HOMEM MÁQUINA,IHM,P/SISTEMA DE PROTEÇÃO,CONTROLE E AUTOMAÇÃO, P/OPERAÇÃO LOCAL SUBESTAÇÕES.
ET-02111-AD/ES-ET-024.</t>
        </is>
      </c>
      <c r="F36" s="138" t="n">
        <v>1</v>
      </c>
      <c r="G36" s="138" t="inlineStr">
        <is>
          <t>PÇ</t>
        </is>
      </c>
      <c r="H36" s="1471" t="n">
        <v>26700</v>
      </c>
      <c r="I36" s="28" t="n"/>
      <c r="J36" s="20" t="n"/>
      <c r="K36" s="20" t="n"/>
      <c r="L36" s="20" t="n"/>
      <c r="M36" s="20" t="n"/>
      <c r="N36" s="20" t="n"/>
      <c r="O36" s="20" t="n"/>
      <c r="P36" s="20" t="n"/>
      <c r="Q36" s="20" t="n"/>
      <c r="R36" s="20" t="n"/>
      <c r="S36" s="27" t="n"/>
    </row>
    <row r="37" ht="39.6" customHeight="1">
      <c r="B37" s="132" t="n">
        <v>27</v>
      </c>
      <c r="C37" s="1470" t="n"/>
      <c r="D37" s="144" t="n">
        <v>385393</v>
      </c>
      <c r="E37" s="145" t="inlineStr">
        <is>
          <t>UNIDADE CENTRAL CONTROLE (UCC),COMPLETA,C/ED,SD E EA, FONTE ALIMENTAÇÃO,PORTAS COMUNICAÇÃO.
ET-02111-0P/AP-198, ET-22000-ER/SE-6044.</t>
        </is>
      </c>
      <c r="F37" s="138" t="n">
        <v>1</v>
      </c>
      <c r="G37" s="138" t="inlineStr">
        <is>
          <t>PÇ</t>
        </is>
      </c>
      <c r="H37" s="1471" t="n">
        <v>44500</v>
      </c>
      <c r="I37" s="28" t="n"/>
      <c r="J37" s="20" t="n"/>
      <c r="K37" s="20" t="n"/>
      <c r="L37" s="20" t="n"/>
      <c r="M37" s="20" t="n"/>
      <c r="N37" s="20" t="n"/>
      <c r="O37" s="20" t="n"/>
      <c r="P37" s="20" t="n"/>
      <c r="Q37" s="20" t="n"/>
      <c r="R37" s="20" t="n"/>
      <c r="S37" s="27" t="n"/>
    </row>
    <row r="38" ht="39.6" customHeight="1">
      <c r="B38" s="132" t="n">
        <v>28</v>
      </c>
      <c r="C38" s="1470" t="n"/>
      <c r="D38" s="144" t="n">
        <v>385762</v>
      </c>
      <c r="E38" s="145" t="inlineStr">
        <is>
          <t>SWITCH,ROBUSTO, FONTES REDUNDANTES EM 125VCC, MONTAGEM RACK 19".
CERTIFICAÇÕES IEC-61850-3 E IEEE 1613.
ET-02111-OP/AP-198.</t>
        </is>
      </c>
      <c r="F38" s="138" t="n">
        <v>1</v>
      </c>
      <c r="G38" s="138" t="inlineStr">
        <is>
          <t>PÇ</t>
        </is>
      </c>
      <c r="H38" s="1471" t="n">
        <v>21150</v>
      </c>
      <c r="I38" s="28" t="n"/>
      <c r="J38" s="20" t="n"/>
      <c r="K38" s="20" t="n"/>
      <c r="L38" s="20" t="n"/>
      <c r="M38" s="20" t="n"/>
      <c r="N38" s="20" t="n"/>
      <c r="O38" s="20" t="n"/>
      <c r="P38" s="20" t="n"/>
      <c r="Q38" s="20" t="n"/>
      <c r="R38" s="20" t="n"/>
      <c r="S38" s="27" t="n"/>
    </row>
    <row r="39" ht="40.2" customHeight="1" thickBot="1">
      <c r="B39" s="148" t="n">
        <v>29</v>
      </c>
      <c r="C39" s="1247" t="n"/>
      <c r="D39" s="149" t="n">
        <v>384310</v>
      </c>
      <c r="E39" s="150" t="inlineStr">
        <is>
          <t>CONVERSOR,INTERFACE SERIAL RS-232,P/ETHERNET FIBRA MULTIMODO,CONETOR SC,600bps A 230kbps,INDUSTRIAL,TEMPERATURA OPERAÇÃO 0° A 60°C,ALIMENTAÇÃO 12-48VCC.
ET-02111-OP/AP-190.</t>
        </is>
      </c>
      <c r="F39" s="151" t="n">
        <v>1</v>
      </c>
      <c r="G39" s="151" t="inlineStr">
        <is>
          <t>PÇ</t>
        </is>
      </c>
      <c r="H39" s="1472" t="n">
        <v>26700</v>
      </c>
      <c r="I39" s="28" t="n"/>
      <c r="J39" s="20" t="n"/>
      <c r="K39" s="20" t="n"/>
      <c r="L39" s="20" t="n"/>
      <c r="M39" s="20" t="n"/>
      <c r="N39" s="20" t="n"/>
      <c r="O39" s="20" t="n"/>
      <c r="P39" s="20" t="n"/>
      <c r="Q39" s="20" t="n"/>
      <c r="R39" s="20" t="n"/>
      <c r="S39" s="27" t="n"/>
    </row>
    <row r="40" ht="18.6" customHeight="1" thickBot="1">
      <c r="B40" s="1473" t="inlineStr">
        <is>
          <t>PREÇO TOTAL</t>
        </is>
      </c>
      <c r="C40" s="1139" t="n"/>
      <c r="D40" s="1139" t="n"/>
      <c r="E40" s="1139" t="n"/>
      <c r="F40" s="1139" t="n"/>
      <c r="G40" s="1474" t="n"/>
      <c r="H40" s="1475">
        <f>SUM(H11:H39)</f>
        <v/>
      </c>
    </row>
    <row r="41" ht="18.6" customHeight="1" thickBot="1">
      <c r="B41" s="239" t="n"/>
      <c r="E41" s="1476" t="inlineStr">
        <is>
          <t>PERCENTUAL DO VALOR TOTAL DOS SOBRESSANTES QUE FARÁ PARTE DO PREÇO GLOBAL:</t>
        </is>
      </c>
      <c r="F41" s="1467" t="n"/>
      <c r="G41" s="26" t="n">
        <v>0.9</v>
      </c>
      <c r="H41" s="1477">
        <f>G41*H40</f>
        <v/>
      </c>
    </row>
    <row r="42" ht="6" customHeight="1" thickBot="1">
      <c r="B42" s="239" t="n"/>
      <c r="H42" s="240" t="n"/>
    </row>
    <row r="43" ht="33" customHeight="1" thickBot="1">
      <c r="B43" s="1478" t="inlineStr">
        <is>
          <t>Notas:  1) Os PROPONENTES devem preencher os valores totais de cada linha da coluna "H" em função dos seus respectivos quantitativos indicados.
                   Ex.: Onde consta 200 (duzentos) metros, preencher com o valor total dos 200 (duzentos) metros.</t>
        </is>
      </c>
      <c r="C43" s="1139" t="n"/>
      <c r="D43" s="1139" t="n"/>
      <c r="E43" s="1139" t="n"/>
      <c r="F43" s="1139" t="n"/>
      <c r="G43" s="1139" t="n"/>
      <c r="H43" s="1140" t="n"/>
    </row>
  </sheetData>
  <mergeCells count="31">
    <mergeCell ref="F4:G4"/>
    <mergeCell ref="E5:E6"/>
    <mergeCell ref="B5:D6"/>
    <mergeCell ref="B3:E4"/>
    <mergeCell ref="J9:J10"/>
    <mergeCell ref="P9:P10"/>
    <mergeCell ref="F6:G6"/>
    <mergeCell ref="B7:D8"/>
    <mergeCell ref="F7:G7"/>
    <mergeCell ref="F3:G3"/>
    <mergeCell ref="C25:C39"/>
    <mergeCell ref="F5:G5"/>
    <mergeCell ref="Q9:Q10"/>
    <mergeCell ref="S9:S10"/>
    <mergeCell ref="B9:D9"/>
    <mergeCell ref="B40:G40"/>
    <mergeCell ref="F8:G8"/>
    <mergeCell ref="L9:L10"/>
    <mergeCell ref="C17:C20"/>
    <mergeCell ref="N9:N10"/>
    <mergeCell ref="B43:H43"/>
    <mergeCell ref="C11:C16"/>
    <mergeCell ref="B2:H2"/>
    <mergeCell ref="E7:E8"/>
    <mergeCell ref="R9:R10"/>
    <mergeCell ref="E9:H9"/>
    <mergeCell ref="I9:I10"/>
    <mergeCell ref="K9:K10"/>
    <mergeCell ref="M9:M10"/>
    <mergeCell ref="E41:F41"/>
    <mergeCell ref="O9:O10"/>
  </mergeCells>
  <conditionalFormatting sqref="H5:H8">
    <cfRule type="containsBlanks" priority="7" dxfId="1">
      <formula>LEN(TRIM(H5))=0</formula>
    </cfRule>
  </conditionalFormatting>
  <conditionalFormatting sqref="H11:H39">
    <cfRule type="containsBlanks" priority="1" dxfId="1">
      <formula>LEN(TRIM(H11))=0</formula>
    </cfRule>
  </conditionalFormatting>
  <printOptions horizontalCentered="1"/>
  <pageMargins left="0.2362204724409449" right="0.2362204724409449" top="0.1574803149606299" bottom="0.2362204724409449" header="0.1181102362204725" footer="0.1181102362204725"/>
  <pageSetup orientation="portrait" paperSize="9" scale="69"/>
  <headerFooter>
    <oddHeader/>
    <oddFooter>&amp;CPágina &amp;P de &amp;N&amp;R&amp;"Calibri"&amp;10 &amp;K000000_x000a_Classificação: Direcionado_x000d_# Classificação: Público</oddFooter>
    <evenHeader/>
    <evenFooter/>
    <firstHeader/>
    <firstFooter/>
  </headerFooter>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fitToPage="1"/>
  </sheetPr>
  <dimension ref="A1:AI87"/>
  <sheetViews>
    <sheetView showGridLines="0" topLeftCell="P181" zoomScaleNormal="100" workbookViewId="0">
      <selection activeCell="B55" sqref="B55:B60"/>
    </sheetView>
  </sheetViews>
  <sheetFormatPr baseColWidth="8" defaultRowHeight="14.4"/>
  <cols>
    <col width="11" bestFit="1" customWidth="1" min="1" max="1"/>
    <col width="13.5546875" customWidth="1" min="2" max="2"/>
    <col width="15.6640625" customWidth="1" min="3" max="3"/>
    <col width="32.44140625" customWidth="1" min="4" max="4"/>
    <col width="16.5546875" customWidth="1" min="5" max="5"/>
    <col width="30.109375" customWidth="1" min="6" max="6"/>
    <col width="31.88671875" bestFit="1" customWidth="1" min="7" max="7"/>
    <col width="32.44140625" customWidth="1" min="8" max="11"/>
    <col width="30.109375" customWidth="1" min="12" max="12"/>
    <col width="32.44140625" customWidth="1" min="13" max="15"/>
    <col width="25.5546875" customWidth="1" min="16" max="17"/>
    <col width="31.88671875" bestFit="1" customWidth="1" min="18" max="18"/>
    <col width="30.109375" bestFit="1" customWidth="1" min="19" max="19"/>
    <col width="30.109375" customWidth="1" min="20" max="20"/>
    <col width="35" bestFit="1" customWidth="1" min="21" max="21"/>
    <col width="33.33203125" bestFit="1" customWidth="1" min="22" max="22"/>
    <col width="33.33203125" customWidth="1" min="23" max="25"/>
    <col width="15.6640625" bestFit="1" customWidth="1" min="26" max="26"/>
    <col width="25.44140625" customWidth="1" min="27" max="27"/>
    <col width="32.88671875" customWidth="1" min="28" max="28"/>
    <col width="27.109375" customWidth="1" min="29" max="29"/>
    <col width="36.88671875" bestFit="1" customWidth="1" min="30" max="30"/>
    <col width="41.109375" customWidth="1" min="31" max="31"/>
    <col width="2.44140625" customWidth="1" min="32" max="32"/>
    <col width="11.6640625" bestFit="1" customWidth="1" min="35" max="35"/>
  </cols>
  <sheetData>
    <row r="1" ht="36" customHeight="1">
      <c r="A1" s="1319">
        <f>'01_Preço'!A1</f>
        <v/>
      </c>
      <c r="B1" s="1142" t="n"/>
      <c r="C1" s="1142" t="n"/>
      <c r="D1" s="1142" t="n"/>
      <c r="E1" s="1142" t="n"/>
      <c r="F1" s="1142" t="n"/>
      <c r="G1" s="1142" t="n"/>
      <c r="H1" s="1142" t="n"/>
      <c r="I1" s="1142" t="n"/>
      <c r="J1" s="1142" t="n"/>
      <c r="K1" s="1142" t="n"/>
      <c r="L1" s="1142" t="n"/>
      <c r="M1" s="1142" t="n"/>
      <c r="N1" s="1142" t="n"/>
      <c r="O1" s="1142" t="n"/>
      <c r="P1" s="1142" t="n"/>
      <c r="Q1" s="1142" t="n"/>
      <c r="R1" s="1142" t="n"/>
      <c r="S1" s="1142" t="n"/>
      <c r="T1" s="1142" t="n"/>
      <c r="U1" s="1142" t="n"/>
      <c r="V1" s="1142" t="n"/>
      <c r="W1" s="1142" t="n"/>
      <c r="X1" s="1142" t="n"/>
      <c r="Y1" s="1142" t="n"/>
      <c r="Z1" s="1142" t="n"/>
      <c r="AA1" s="1142" t="n"/>
      <c r="AB1" s="1142" t="n"/>
      <c r="AC1" s="1142" t="n"/>
      <c r="AD1" s="1142" t="n"/>
      <c r="AE1" s="1320" t="n"/>
    </row>
    <row r="2" ht="21" customHeight="1" thickBot="1">
      <c r="A2" s="1321" t="inlineStr">
        <is>
          <t>TABELA TOTALIZADORA DOS PREÇOS DOS MATERIAIS E SERVIÇOS DA REFORMA E MODERNIZAÇÃO DA UHE SALTO GRANDE E MODERNIZAÇÃO E DIGITALIZAÇÃO DA SE UHE SALTO GRANDE – ATIVOS CEMIG D</t>
        </is>
      </c>
      <c r="B2" s="1210" t="n"/>
      <c r="C2" s="1210" t="n"/>
      <c r="D2" s="1210" t="n"/>
      <c r="E2" s="1210" t="n"/>
      <c r="F2" s="1210" t="n"/>
      <c r="G2" s="1210" t="n"/>
      <c r="H2" s="1210" t="n"/>
      <c r="I2" s="1210" t="n"/>
      <c r="J2" s="1210" t="n"/>
      <c r="K2" s="1210" t="n"/>
      <c r="L2" s="1210" t="n"/>
      <c r="M2" s="1210" t="n"/>
      <c r="N2" s="1210" t="n"/>
      <c r="O2" s="1210" t="n"/>
      <c r="P2" s="1210" t="n"/>
      <c r="Q2" s="1210" t="n"/>
      <c r="R2" s="1210" t="n"/>
      <c r="S2" s="1210" t="n"/>
      <c r="T2" s="1210" t="n"/>
      <c r="U2" s="1210" t="n"/>
      <c r="V2" s="1210" t="n"/>
      <c r="W2" s="1210" t="n"/>
      <c r="X2" s="1210" t="n"/>
      <c r="Y2" s="1210" t="n"/>
      <c r="Z2" s="1210" t="n"/>
      <c r="AA2" s="1210" t="n"/>
      <c r="AB2" s="1210" t="n"/>
      <c r="AC2" s="1210" t="n"/>
      <c r="AD2" s="1210" t="n"/>
      <c r="AE2" s="1250" t="n"/>
    </row>
    <row r="3" ht="9" customHeight="1" thickBot="1">
      <c r="A3" s="30" t="n"/>
      <c r="B3" s="31" t="n"/>
      <c r="C3" s="31" t="n"/>
      <c r="D3" s="31" t="n"/>
      <c r="E3" s="31" t="n"/>
      <c r="F3" s="31" t="n"/>
      <c r="G3" s="31" t="n"/>
      <c r="H3" s="31" t="n"/>
      <c r="I3" s="31" t="n"/>
      <c r="J3" s="31" t="n"/>
      <c r="K3" s="31" t="n"/>
      <c r="L3" s="31" t="n"/>
      <c r="M3" s="31" t="n"/>
      <c r="N3" s="31" t="n"/>
      <c r="O3" s="31" t="n"/>
      <c r="P3" s="31" t="n"/>
      <c r="Q3" s="31" t="n"/>
      <c r="R3" s="31" t="n"/>
      <c r="S3" s="31" t="n"/>
      <c r="T3" s="31" t="n"/>
      <c r="U3" s="31" t="n"/>
      <c r="V3" s="31" t="n"/>
      <c r="W3" s="31" t="n"/>
      <c r="X3" s="31" t="n"/>
      <c r="Y3" s="31" t="n"/>
      <c r="Z3" s="31" t="n"/>
      <c r="AA3" s="31" t="n"/>
      <c r="AB3" s="31" t="n"/>
      <c r="AC3" s="31" t="n"/>
      <c r="AD3" s="31" t="n"/>
      <c r="AE3" s="32" t="n"/>
    </row>
    <row r="4" ht="21" customHeight="1">
      <c r="A4" s="801" t="inlineStr">
        <is>
          <t>OBJETO: CONTRATAÇÃO DE SERVIÇOS PARA EXECUÇÃO DA MODERNIZAÇÃO DA UHE SALTO GRANDE</t>
        </is>
      </c>
      <c r="B4" s="1142" t="n"/>
      <c r="C4" s="1142" t="n"/>
      <c r="D4" s="1142" t="n"/>
      <c r="E4" s="1142" t="n"/>
      <c r="F4" s="1142" t="n"/>
      <c r="G4" s="1142" t="n"/>
      <c r="H4" s="1142" t="n"/>
      <c r="I4" s="1142" t="n"/>
      <c r="J4" s="1142" t="n"/>
      <c r="K4" s="1142" t="n"/>
      <c r="L4" s="1142" t="n"/>
      <c r="M4" s="1142" t="n"/>
      <c r="N4" s="1142" t="n"/>
      <c r="O4" s="1142" t="n"/>
      <c r="P4" s="1142" t="n"/>
      <c r="Q4" s="1142" t="n"/>
      <c r="R4" s="1142" t="n"/>
      <c r="S4" s="1142" t="n"/>
      <c r="T4" s="1142" t="n"/>
      <c r="U4" s="1142" t="n"/>
      <c r="V4" s="1142" t="n"/>
      <c r="W4" s="1142" t="n"/>
      <c r="X4" s="1142" t="n"/>
      <c r="Y4" s="1142" t="n"/>
      <c r="Z4" s="1142" t="n"/>
      <c r="AA4" s="1142" t="n"/>
      <c r="AB4" s="803">
        <f>_xlfn.CONCAT('01_Preço'!M4,"  ",'01_Preço'!O4)</f>
        <v/>
      </c>
      <c r="AC4" s="1142" t="n"/>
      <c r="AD4" s="33" t="inlineStr">
        <is>
          <t>BASE ECONÔMICA TRIBUTÁRIA:</t>
        </is>
      </c>
      <c r="AE4" s="1323">
        <f>'01_Preço'!V4</f>
        <v/>
      </c>
    </row>
    <row r="5" ht="21" customHeight="1">
      <c r="A5" s="804" t="inlineStr">
        <is>
          <t>NOME EMPRESA PROPONENTE:</t>
        </is>
      </c>
      <c r="B5" s="1201" t="n"/>
      <c r="C5" s="1201" t="n"/>
      <c r="D5" s="1144" t="n"/>
      <c r="E5" s="807">
        <f>'01_Preço'!C5</f>
        <v/>
      </c>
      <c r="F5" s="1201" t="n"/>
      <c r="G5" s="1201" t="n"/>
      <c r="H5" s="1201" t="n"/>
      <c r="I5" s="1201" t="n"/>
      <c r="J5" s="1201" t="n"/>
      <c r="K5" s="1201" t="n"/>
      <c r="L5" s="1201" t="n"/>
      <c r="M5" s="1201" t="n"/>
      <c r="N5" s="1201" t="n"/>
      <c r="O5" s="1201" t="n"/>
      <c r="P5" s="1201" t="n"/>
      <c r="Q5" s="1201" t="n"/>
      <c r="R5" s="1201" t="n"/>
      <c r="S5" s="1201" t="n"/>
      <c r="T5" s="1201" t="n"/>
      <c r="U5" s="1201" t="n"/>
      <c r="V5" s="1201" t="n"/>
      <c r="W5" s="1201" t="n"/>
      <c r="X5" s="1201" t="n"/>
      <c r="Y5" s="1201" t="n"/>
      <c r="Z5" s="1201" t="n"/>
      <c r="AA5" s="1144" t="n"/>
      <c r="AB5" s="810" t="inlineStr">
        <is>
          <t>Nº CNPJ:</t>
        </is>
      </c>
      <c r="AC5" s="807">
        <f>'01_Preço'!L5</f>
        <v/>
      </c>
      <c r="AD5" s="810" t="inlineStr">
        <is>
          <t>Nº INSC ESTADUAL:</t>
        </is>
      </c>
      <c r="AE5" s="37">
        <f>'01_Preço'!Q5</f>
        <v/>
      </c>
    </row>
    <row r="6" ht="21" customHeight="1">
      <c r="A6" s="808" t="inlineStr">
        <is>
          <t>NOME REPRESENTANTE LEGAL:</t>
        </is>
      </c>
      <c r="B6" s="1201" t="n"/>
      <c r="C6" s="1201" t="n"/>
      <c r="D6" s="1144" t="n"/>
      <c r="E6" s="807">
        <f>'01_Preço'!C6</f>
        <v/>
      </c>
      <c r="F6" s="1201" t="n"/>
      <c r="G6" s="1201" t="n"/>
      <c r="H6" s="1201" t="n"/>
      <c r="I6" s="1201" t="n"/>
      <c r="J6" s="1201" t="n"/>
      <c r="K6" s="1201" t="n"/>
      <c r="L6" s="1201" t="n"/>
      <c r="M6" s="1201" t="n"/>
      <c r="N6" s="1201" t="n"/>
      <c r="O6" s="1201" t="n"/>
      <c r="P6" s="1201" t="n"/>
      <c r="Q6" s="1201" t="n"/>
      <c r="R6" s="1201" t="n"/>
      <c r="S6" s="1201" t="n"/>
      <c r="T6" s="1201" t="n"/>
      <c r="U6" s="1201" t="n"/>
      <c r="V6" s="1201" t="n"/>
      <c r="W6" s="1201" t="n"/>
      <c r="X6" s="1201" t="n"/>
      <c r="Y6" s="1201" t="n"/>
      <c r="Z6" s="1201" t="n"/>
      <c r="AA6" s="1144" t="n"/>
      <c r="AB6" s="810" t="inlineStr">
        <is>
          <t>Nº CPF:</t>
        </is>
      </c>
      <c r="AC6" s="807">
        <f>'01_Preço'!L6</f>
        <v/>
      </c>
      <c r="AD6" s="810" t="inlineStr">
        <is>
          <t>Nº IDENTIDADE:</t>
        </is>
      </c>
      <c r="AE6" s="37">
        <f>'01_Preço'!Q6</f>
        <v/>
      </c>
    </row>
    <row r="7" ht="40.5" customHeight="1" thickBot="1">
      <c r="A7" s="1135" t="inlineStr">
        <is>
          <t>ASSINATURA DO REPRESENTANTE LEGAL DA EMPRESA:</t>
        </is>
      </c>
      <c r="B7" s="1210" t="n"/>
      <c r="C7" s="1210" t="n"/>
      <c r="D7" s="1210" t="n"/>
      <c r="E7" s="1151" t="n"/>
      <c r="F7" s="1326">
        <f>'01_Preço'!E7</f>
        <v/>
      </c>
      <c r="G7" s="1210" t="n"/>
      <c r="H7" s="1210" t="n"/>
      <c r="I7" s="1210" t="n"/>
      <c r="J7" s="1210" t="n"/>
      <c r="K7" s="1210" t="n"/>
      <c r="L7" s="1210" t="n"/>
      <c r="M7" s="1210" t="n"/>
      <c r="N7" s="1210" t="n"/>
      <c r="O7" s="1210" t="n"/>
      <c r="P7" s="1210" t="n"/>
      <c r="Q7" s="1210" t="n"/>
      <c r="R7" s="1210" t="n"/>
      <c r="S7" s="1210" t="n"/>
      <c r="T7" s="1210" t="n"/>
      <c r="U7" s="1210" t="n"/>
      <c r="V7" s="1210" t="n"/>
      <c r="W7" s="1210" t="n"/>
      <c r="X7" s="1210" t="n"/>
      <c r="Y7" s="1210" t="n"/>
      <c r="Z7" s="1210" t="n"/>
      <c r="AA7" s="1210" t="n"/>
      <c r="AB7" s="1210" t="n"/>
      <c r="AC7" s="1151" t="n"/>
      <c r="AD7" s="1136" t="inlineStr">
        <is>
          <t>DATA DE EMISSÃO:</t>
        </is>
      </c>
      <c r="AE7" s="40">
        <f>'01_Preço'!V5</f>
        <v/>
      </c>
    </row>
    <row r="8" ht="9" customHeight="1" thickBot="1">
      <c r="A8" s="41" t="n"/>
      <c r="B8" s="42" t="n"/>
      <c r="C8" s="42" t="n"/>
      <c r="D8" s="42" t="n"/>
      <c r="E8" s="42" t="n"/>
      <c r="F8" s="42" t="n"/>
      <c r="G8" s="42" t="n"/>
      <c r="H8" s="42" t="n"/>
      <c r="I8" s="42" t="n"/>
      <c r="J8" s="42" t="n"/>
      <c r="K8" s="42" t="n"/>
      <c r="L8" s="42" t="n"/>
      <c r="M8" s="42" t="n"/>
      <c r="N8" s="42" t="n"/>
      <c r="O8" s="42" t="n"/>
      <c r="P8" s="42" t="n"/>
      <c r="Q8" s="42" t="n"/>
      <c r="R8" s="42" t="n"/>
      <c r="S8" s="42" t="n"/>
      <c r="T8" s="42" t="n"/>
      <c r="U8" s="42" t="n"/>
      <c r="V8" s="42" t="n"/>
      <c r="W8" s="42" t="n"/>
      <c r="X8" s="42" t="n"/>
      <c r="Y8" s="42" t="n"/>
      <c r="Z8" s="42" t="n"/>
      <c r="AA8" s="42" t="n"/>
      <c r="AB8" s="42" t="n"/>
      <c r="AC8" s="42" t="n"/>
      <c r="AD8" s="42" t="n"/>
      <c r="AE8" s="43" t="n"/>
    </row>
    <row r="9" ht="33.9" customHeight="1">
      <c r="A9" s="817" t="inlineStr">
        <is>
          <t>% DA ANTECIPAÇÃO SOLICITADA</t>
        </is>
      </c>
      <c r="B9" s="181" t="n"/>
      <c r="C9" s="181" t="n"/>
      <c r="D9" s="1408" t="n"/>
      <c r="E9" s="823" t="n">
        <v>0.05</v>
      </c>
      <c r="F9" s="819" t="inlineStr">
        <is>
          <t>VALOR ANTECIPAÇÃO SOLICITADA</t>
        </is>
      </c>
      <c r="G9" s="181" t="n"/>
      <c r="H9" s="1408" t="n"/>
      <c r="I9" s="819" t="n"/>
      <c r="J9" s="819" t="n"/>
      <c r="K9" s="819" t="inlineStr">
        <is>
          <t>Amortização</t>
        </is>
      </c>
      <c r="L9" s="1446">
        <f>SUM(L14:L82)</f>
        <v/>
      </c>
      <c r="M9" s="700" t="n"/>
      <c r="N9" s="700" t="n"/>
      <c r="O9" s="700" t="n"/>
      <c r="P9" s="494" t="n"/>
      <c r="Q9" s="494" t="n"/>
      <c r="R9" s="494" t="n"/>
      <c r="S9" s="494" t="n"/>
      <c r="T9" s="494" t="n"/>
      <c r="U9" s="494" t="n"/>
      <c r="V9" s="494" t="n"/>
      <c r="W9" s="494" t="n"/>
      <c r="X9" s="494" t="n"/>
      <c r="Y9" s="494" t="n"/>
      <c r="Z9" s="1409">
        <f>E9*AD9</f>
        <v/>
      </c>
      <c r="AA9" s="1408" t="n"/>
      <c r="AB9" s="827" t="inlineStr">
        <is>
          <t>PREÇO GLOBAL</t>
        </is>
      </c>
      <c r="AC9" s="1408" t="n"/>
      <c r="AD9" s="1410">
        <f>AB83</f>
        <v/>
      </c>
      <c r="AE9" s="1408" t="n"/>
    </row>
    <row r="10" ht="33.9" customHeight="1" thickBot="1">
      <c r="A10" s="1411" t="n"/>
      <c r="B10" s="1191" t="n"/>
      <c r="C10" s="1191" t="n"/>
      <c r="D10" s="1412" t="n"/>
      <c r="E10" s="1413" t="n"/>
      <c r="F10" s="1414" t="n"/>
      <c r="G10" s="1191" t="n"/>
      <c r="H10" s="1412" t="n"/>
      <c r="I10" s="822" t="n"/>
      <c r="J10" s="822" t="n"/>
      <c r="K10" s="822" t="inlineStr">
        <is>
          <t>Entrada</t>
        </is>
      </c>
      <c r="L10" s="1447">
        <f>V15</f>
        <v/>
      </c>
      <c r="M10" s="701" t="n"/>
      <c r="N10" s="701" t="n"/>
      <c r="O10" s="701" t="n"/>
      <c r="P10" s="495" t="n"/>
      <c r="Q10" s="495" t="n"/>
      <c r="R10" s="495" t="n"/>
      <c r="S10" s="495" t="n"/>
      <c r="T10" s="495" t="n"/>
      <c r="U10" s="495" t="n"/>
      <c r="V10" s="495" t="n"/>
      <c r="W10" s="495" t="n"/>
      <c r="X10" s="495" t="n"/>
      <c r="Y10" s="495" t="n"/>
      <c r="Z10" s="1414" t="n"/>
      <c r="AA10" s="1412" t="n"/>
      <c r="AB10" s="1414" t="n"/>
      <c r="AC10" s="1412" t="n"/>
      <c r="AD10" s="1414" t="n"/>
      <c r="AE10" s="1412" t="n"/>
    </row>
    <row r="11" ht="9" customHeight="1" thickBot="1">
      <c r="A11" s="44" t="n"/>
      <c r="B11" s="45" t="n"/>
      <c r="C11" s="45" t="n"/>
      <c r="D11" s="45" t="n"/>
      <c r="E11" s="45" t="n"/>
      <c r="F11" s="45" t="n"/>
      <c r="G11" s="45" t="n"/>
      <c r="H11" s="45" t="n"/>
      <c r="I11" s="45" t="n"/>
      <c r="J11" s="45" t="n"/>
      <c r="K11" s="45" t="n"/>
      <c r="L11" s="45" t="n"/>
      <c r="M11" s="45" t="n"/>
      <c r="N11" s="45" t="n"/>
      <c r="O11" s="45" t="n"/>
      <c r="P11" s="45" t="n"/>
      <c r="Q11" s="45" t="n"/>
      <c r="R11" s="45" t="n"/>
      <c r="S11" s="45" t="n"/>
      <c r="T11" s="45" t="n"/>
      <c r="U11" s="45" t="n"/>
      <c r="V11" s="45" t="n"/>
      <c r="W11" s="45" t="n"/>
      <c r="X11" s="45" t="n"/>
      <c r="Y11" s="45" t="n"/>
      <c r="Z11" s="45" t="n"/>
      <c r="AA11" s="45" t="n"/>
      <c r="AB11" s="45" t="n"/>
      <c r="AC11" s="45" t="n"/>
      <c r="AD11" s="45" t="n"/>
      <c r="AE11" s="46" t="n"/>
    </row>
    <row r="12" ht="53.25" customHeight="1">
      <c r="A12" s="836" t="inlineStr">
        <is>
          <t>MÊS</t>
        </is>
      </c>
      <c r="B12" s="855" t="inlineStr">
        <is>
          <t>EVENTOS NO MÊS</t>
        </is>
      </c>
      <c r="C12" s="838" t="inlineStr">
        <is>
          <t>ESCOPO CEMIG GT</t>
        </is>
      </c>
      <c r="D12" s="1143" t="n"/>
      <c r="E12" s="838" t="inlineStr">
        <is>
          <t>ESCOPO CEMIG D</t>
        </is>
      </c>
      <c r="F12" s="1143" t="n"/>
      <c r="G12" s="842" t="inlineStr">
        <is>
          <t>RECEITA MENSAL PREVISTA</t>
        </is>
      </c>
      <c r="H12" s="840" t="inlineStr">
        <is>
          <t>RECEITA TOTAL PREVISTA</t>
        </is>
      </c>
      <c r="I12" s="792" t="n"/>
      <c r="J12" s="1479" t="inlineStr">
        <is>
          <t>RECEITA ACUMULADA  INSIGHT</t>
        </is>
      </c>
      <c r="K12" s="838" t="n"/>
      <c r="L12" s="838" t="n"/>
      <c r="M12" s="838" t="n"/>
      <c r="N12" s="838" t="n"/>
      <c r="O12" s="838" t="n"/>
      <c r="P12" s="760" t="inlineStr">
        <is>
          <t>INSIGHT</t>
        </is>
      </c>
      <c r="Q12" s="769" t="n"/>
      <c r="R12" s="842" t="inlineStr">
        <is>
          <t>DESEMBOLSO INSIGHT MENSAL  PREVISTO</t>
        </is>
      </c>
      <c r="S12" s="844" t="inlineStr">
        <is>
          <t>FAT. DIRETO MENSAL PREVISTO</t>
        </is>
      </c>
      <c r="T12" s="844" t="inlineStr">
        <is>
          <t>FAT. DIRETO ACUMULADO PREVISTO</t>
        </is>
      </c>
      <c r="U12" s="844" t="inlineStr">
        <is>
          <t xml:space="preserve">DESEMBOLSO INSIGHT ACUMULADO </t>
        </is>
      </c>
      <c r="V12" s="846" t="inlineStr">
        <is>
          <t>FATURAMENTO REALIZADO</t>
        </is>
      </c>
      <c r="W12" s="1416" t="inlineStr">
        <is>
          <t>FATURAMENTO ACUMULADO</t>
        </is>
      </c>
      <c r="X12" s="1416" t="inlineStr">
        <is>
          <t>PROGRAMAÇÃO DE PEDIDOS REALIZADOS</t>
        </is>
      </c>
      <c r="Y12" s="1416" t="inlineStr">
        <is>
          <t>PROGRAMAÇÃO ACUMULADA DE PEDIDOS REALIZADOS</t>
        </is>
      </c>
      <c r="Z12" s="871" t="inlineStr">
        <is>
          <t>PREÇO DA REFORMA E MODERNIZAÇÃO DA UHE SALTO GRANDE</t>
        </is>
      </c>
      <c r="AA12" s="1142" t="n"/>
      <c r="AB12" s="1142" t="n"/>
      <c r="AC12" s="1143" t="n"/>
      <c r="AD12" s="1417">
        <f>D84</f>
        <v/>
      </c>
      <c r="AE12" s="1143" t="n"/>
    </row>
    <row r="13" ht="53.25" customHeight="1" thickBot="1">
      <c r="A13" s="1411" t="n"/>
      <c r="B13" s="1418" t="n"/>
      <c r="C13" s="47" t="inlineStr">
        <is>
          <t>EVENTOS NO MÊS</t>
        </is>
      </c>
      <c r="D13" s="47" t="inlineStr">
        <is>
          <t>VALOR TOTAL MENSAL  (com todos os impostos) (R$)</t>
        </is>
      </c>
      <c r="E13" s="47" t="inlineStr">
        <is>
          <t>EVENTOS NO MÊS</t>
        </is>
      </c>
      <c r="F13" s="768" t="inlineStr">
        <is>
          <t>VALOR TOTAL MENSAL  (com todos os impostos) (R$)</t>
        </is>
      </c>
      <c r="G13" s="1453" t="n"/>
      <c r="H13" s="1412" t="n"/>
      <c r="I13" s="793" t="inlineStr">
        <is>
          <t>RECEITA INSIGHT MENSAL</t>
        </is>
      </c>
      <c r="J13" s="1468" t="n"/>
      <c r="K13" s="47" t="inlineStr">
        <is>
          <t>VALOR DA MEDIÇÃO PELA INSIGHT</t>
        </is>
      </c>
      <c r="L13" s="47" t="inlineStr">
        <is>
          <t xml:space="preserve">VALOR A AMORTIZAR </t>
        </is>
      </c>
      <c r="M13" s="47" t="inlineStr">
        <is>
          <t>VALOR PARA ENTRAR EM CAIXA DA INSIGHT</t>
        </is>
      </c>
      <c r="N13" s="47" t="inlineStr">
        <is>
          <t>VALOR A RECEBER (INSIGHT + DIRETO)</t>
        </is>
      </c>
      <c r="O13" s="47" t="inlineStr">
        <is>
          <t>RECEITA LÍQUIDA INSIGHT</t>
        </is>
      </c>
      <c r="P13" s="767" t="inlineStr">
        <is>
          <t>DESEMBOLSO MENSAL INSIGHT  PREVISTO</t>
        </is>
      </c>
      <c r="Q13" s="770" t="n"/>
      <c r="R13" s="1453" t="n"/>
      <c r="S13" s="1480" t="n"/>
      <c r="T13" s="1480" t="n"/>
      <c r="U13" s="1480" t="n"/>
      <c r="V13" s="1420" t="n"/>
      <c r="W13" s="1187" t="n"/>
      <c r="X13" s="1187" t="n"/>
      <c r="Y13" s="1187" t="n"/>
      <c r="Z13" s="875" t="inlineStr">
        <is>
          <t>PREÇO DA MODERNIZAÇÃO E DIGITALIZAÇÃO DA SE UHE SALTO GRANDE - ATIVO CEMIG D</t>
        </is>
      </c>
      <c r="AA13" s="1210" t="n"/>
      <c r="AB13" s="1210" t="n"/>
      <c r="AC13" s="1151" t="n"/>
      <c r="AD13" s="1421">
        <f>F84</f>
        <v/>
      </c>
      <c r="AE13" s="1151" t="n"/>
    </row>
    <row r="14" ht="15" customHeight="1">
      <c r="A14" s="757" t="n">
        <v>1</v>
      </c>
      <c r="B14" s="766" t="n">
        <v>45474</v>
      </c>
      <c r="C14" s="48">
        <f>SUM(COUNTIF('03_Eventos_pagamentos'!$E$11:$E$697,'04_TOTALIZADORA (3)'!A14)+COUNTIF('03_Eventos_pagamentos'!$E$766:$E$836,'04_TOTALIZADORA (3)'!A14))</f>
        <v/>
      </c>
      <c r="D14" s="1427">
        <f>SUMIF('03_Eventos_pagamentos'!$E$11:$E$699,A14,'03_Eventos_pagamentos'!$O$11:$O$697)+SUMIF('03_Eventos_pagamentos'!$E$766:$E$836,A14,'03_Eventos_pagamentos'!$O$766:$O$836)</f>
        <v/>
      </c>
      <c r="E14" s="48">
        <f>COUNTIF('03_Eventos_pagamentos'!$E$702:$E$763,'04_TOTALIZADORA (3)'!A14)</f>
        <v/>
      </c>
      <c r="F14" s="1425">
        <f>SUMIF('03_Eventos_pagamentos'!$E$702:$E$763,A14,'03_Eventos_pagamentos'!$O$702:$O$763)</f>
        <v/>
      </c>
      <c r="G14" s="1426">
        <f>D14+F14</f>
        <v/>
      </c>
      <c r="H14" s="1481">
        <f>D14+F14</f>
        <v/>
      </c>
      <c r="I14" s="1481">
        <f>G14-S14</f>
        <v/>
      </c>
      <c r="J14" s="1481">
        <f>H14-T14</f>
        <v/>
      </c>
      <c r="K14" s="1452">
        <f>SUMIF('03_Eventos_pagamentos'!$E$11:$E$699,H14,'03_Eventos_pagamentos'!$O$11:$O$697)+SUMIF('03_Eventos_pagamentos'!$E$766:$E$836,H14,'03_Eventos_pagamentos'!$O$766:$O$836)</f>
        <v/>
      </c>
      <c r="L14" s="1452">
        <f>SUMIF('03_Eventos_pagamentos'!$E$702:$E$763,H14,'03_Eventos_pagamentos'!$O$702:$O$763)</f>
        <v/>
      </c>
      <c r="M14" s="1452">
        <f>L10</f>
        <v/>
      </c>
      <c r="N14" s="1452">
        <f>M14+S14</f>
        <v/>
      </c>
      <c r="O14" s="1452">
        <f>I14-R14</f>
        <v/>
      </c>
      <c r="P14" s="1427">
        <f>SUMIF('03_Eventos_pagamentos'!$P$11:$P$843,A15,'03_Eventos_pagamentos'!$Q$11:$Q$843)</f>
        <v/>
      </c>
      <c r="Q14" s="1482" t="n">
        <v>100000</v>
      </c>
      <c r="R14" s="1426">
        <f>P14+Q14</f>
        <v/>
      </c>
      <c r="S14" s="1483">
        <f>SUMIFS( '03_Eventos_pagamentos'!$O$11:$O$843,'03_Eventos_pagamentos'!$E$11:$E$843,A14,'03_Eventos_pagamentos'!$I$11:$I$843,"FAT. DIRETO")</f>
        <v/>
      </c>
      <c r="T14" s="1483">
        <f>S14</f>
        <v/>
      </c>
      <c r="U14" s="1484">
        <f>R14+S14</f>
        <v/>
      </c>
      <c r="V14" s="1424" t="n">
        <v>0</v>
      </c>
      <c r="W14" s="1424">
        <f>V14</f>
        <v/>
      </c>
      <c r="X14" s="1451" t="n">
        <v>9546933.060000001</v>
      </c>
      <c r="Y14" s="1451">
        <f>X14</f>
        <v/>
      </c>
      <c r="Z14" s="1428" t="n"/>
      <c r="AA14" s="1429" t="n"/>
      <c r="AB14" s="1429" t="n"/>
      <c r="AC14" s="1429" t="n"/>
      <c r="AD14" s="1429" t="n"/>
      <c r="AE14" s="1430" t="n"/>
    </row>
    <row r="15">
      <c r="A15" s="758" t="n">
        <v>2</v>
      </c>
      <c r="B15" s="761" t="n">
        <v>45505</v>
      </c>
      <c r="C15" s="523">
        <f>SUM(COUNTIF('03_Eventos_pagamentos'!$E$11:$E$697,'04_TOTALIZADORA (3)'!A15)+COUNTIF('03_Eventos_pagamentos'!$E$766:$E$836,'04_TOTALIZADORA (3)'!A15))</f>
        <v/>
      </c>
      <c r="D15" s="1422">
        <f>SUMIF('03_Eventos_pagamentos'!$E$11:$E$699,A15,'03_Eventos_pagamentos'!$O$11:$O$697)+SUMIF('03_Eventos_pagamentos'!$E$766:$E$836,A15,'03_Eventos_pagamentos'!$O$766:$O$836)</f>
        <v/>
      </c>
      <c r="E15" s="523">
        <f>COUNTIF('03_Eventos_pagamentos'!$E$702:$E$763,'04_TOTALIZADORA (3)'!A15)</f>
        <v/>
      </c>
      <c r="F15" s="1485">
        <f>SUMIF('03_Eventos_pagamentos'!$E$702:$E$763,A15,'03_Eventos_pagamentos'!$O$702:$O$763)</f>
        <v/>
      </c>
      <c r="G15" s="1432">
        <f>D15+F15</f>
        <v/>
      </c>
      <c r="H15" s="1486">
        <f>D15+F15+H14</f>
        <v/>
      </c>
      <c r="I15" s="1481">
        <f>G15-S15</f>
        <v/>
      </c>
      <c r="J15" s="1481">
        <f>H15-T15</f>
        <v/>
      </c>
      <c r="K15" s="1448" t="n"/>
      <c r="L15" s="1448">
        <f>SUMIF('03_Eventos_pagamentos'!$E$702:$E$763,H15,'03_Eventos_pagamentos'!$O$702:$O$763)</f>
        <v/>
      </c>
      <c r="M15" s="1448">
        <f>K15-L15</f>
        <v/>
      </c>
      <c r="N15" s="1448">
        <f>M15+S15</f>
        <v/>
      </c>
      <c r="O15" s="1452">
        <f>I15-R15</f>
        <v/>
      </c>
      <c r="P15" s="1422">
        <f>SUMIF('03_Eventos_pagamentos'!$P$11:$P$843,A16,'03_Eventos_pagamentos'!$Q$11:$Q$843)</f>
        <v/>
      </c>
      <c r="Q15" s="1487" t="n">
        <v>100000</v>
      </c>
      <c r="R15" s="1432">
        <f>P15+Q15</f>
        <v/>
      </c>
      <c r="S15" s="1488">
        <f>SUMIFS( '03_Eventos_pagamentos'!$O$11:$O$843,'03_Eventos_pagamentos'!$E$11:$E$843,A15,'03_Eventos_pagamentos'!$I$11:$I$843,"FAT. DIRETO")</f>
        <v/>
      </c>
      <c r="T15" s="1488">
        <f>S15+T14</f>
        <v/>
      </c>
      <c r="U15" s="1488">
        <f>P15+S15+U14</f>
        <v/>
      </c>
      <c r="V15" s="1431">
        <f>AE83</f>
        <v/>
      </c>
      <c r="W15" s="1431">
        <f>V15+W14</f>
        <v/>
      </c>
      <c r="X15" s="1438" t="n"/>
      <c r="Y15" s="1438" t="n"/>
      <c r="Z15" s="1433" t="n"/>
      <c r="AA15" s="1434" t="n"/>
      <c r="AB15" s="1434" t="n"/>
      <c r="AC15" s="1434" t="n"/>
      <c r="AD15" s="1434" t="n"/>
      <c r="AE15" s="1435" t="n"/>
    </row>
    <row r="16">
      <c r="A16" s="758" t="n">
        <v>3</v>
      </c>
      <c r="B16" s="761" t="n">
        <v>45536</v>
      </c>
      <c r="C16" s="523">
        <f>SUM(COUNTIF('03_Eventos_pagamentos'!$E$11:$E$697,'04_TOTALIZADORA (3)'!A16)+COUNTIF('03_Eventos_pagamentos'!$E$766:$E$836,'04_TOTALIZADORA (3)'!A16))</f>
        <v/>
      </c>
      <c r="D16" s="1422">
        <f>SUMIF('03_Eventos_pagamentos'!$E$11:$E$699,A16,'03_Eventos_pagamentos'!$O$11:$O$697)+SUMIF('03_Eventos_pagamentos'!$E$766:$E$836,A16,'03_Eventos_pagamentos'!$O$766:$O$836)</f>
        <v/>
      </c>
      <c r="E16" s="523">
        <f>COUNTIF('03_Eventos_pagamentos'!$E$702:$E$763,'04_TOTALIZADORA (3)'!A16)</f>
        <v/>
      </c>
      <c r="F16" s="1485">
        <f>SUMIF('03_Eventos_pagamentos'!$E$702:$E$763,A16,'03_Eventos_pagamentos'!$O$702:$O$763)</f>
        <v/>
      </c>
      <c r="G16" s="1432">
        <f>D16+F16</f>
        <v/>
      </c>
      <c r="H16" s="1486">
        <f>D16+F16+H15</f>
        <v/>
      </c>
      <c r="I16" s="1481">
        <f>G16-S16</f>
        <v/>
      </c>
      <c r="J16" s="1481">
        <f>H16-T16</f>
        <v/>
      </c>
      <c r="K16" s="1448">
        <f>D16+F16-S16</f>
        <v/>
      </c>
      <c r="L16" s="1448">
        <f>SUMIF('03_Eventos_pagamentos'!$E$702:$E$763,H16,'03_Eventos_pagamentos'!$O$702:$O$763)</f>
        <v/>
      </c>
      <c r="M16" s="1448">
        <f>K16-L16</f>
        <v/>
      </c>
      <c r="N16" s="1448">
        <f>M16+S16</f>
        <v/>
      </c>
      <c r="O16" s="1452">
        <f>I16-R16</f>
        <v/>
      </c>
      <c r="P16" s="1422">
        <f>SUMIF('03_Eventos_pagamentos'!$P$11:$P$843,A17,'03_Eventos_pagamentos'!$Q$11:$Q$843)</f>
        <v/>
      </c>
      <c r="Q16" s="1487" t="n">
        <v>100000</v>
      </c>
      <c r="R16" s="1432">
        <f>P16+Q16</f>
        <v/>
      </c>
      <c r="S16" s="1488">
        <f>SUMIFS( '03_Eventos_pagamentos'!$O$11:$O$843,'03_Eventos_pagamentos'!$E$11:$E$843,A16,'03_Eventos_pagamentos'!$I$11:$I$843,"FAT. DIRETO")</f>
        <v/>
      </c>
      <c r="T16" s="1488">
        <f>S16+T15</f>
        <v/>
      </c>
      <c r="U16" s="1488">
        <f>P16+S16+U15</f>
        <v/>
      </c>
      <c r="V16" s="1431" t="n"/>
      <c r="W16" s="1431">
        <f>V16+W15</f>
        <v/>
      </c>
      <c r="X16" s="1438" t="n"/>
      <c r="Y16" s="1438" t="n"/>
      <c r="Z16" s="1433" t="n"/>
      <c r="AA16" s="1434" t="n"/>
      <c r="AB16" s="1434" t="n"/>
      <c r="AC16" s="1434" t="n"/>
      <c r="AD16" s="1434" t="n"/>
      <c r="AE16" s="1435" t="n"/>
    </row>
    <row r="17">
      <c r="A17" s="758" t="n">
        <v>4</v>
      </c>
      <c r="B17" s="761" t="n">
        <v>45566</v>
      </c>
      <c r="C17" s="523">
        <f>SUM(COUNTIF('03_Eventos_pagamentos'!$E$11:$E$697,'04_TOTALIZADORA (3)'!A17)+COUNTIF('03_Eventos_pagamentos'!$E$766:$E$836,'04_TOTALIZADORA (3)'!A17))</f>
        <v/>
      </c>
      <c r="D17" s="1422">
        <f>SUMIF('03_Eventos_pagamentos'!$E$11:$E$699,A17,'03_Eventos_pagamentos'!$O$11:$O$697)+SUMIF('03_Eventos_pagamentos'!$E$766:$E$836,A17,'03_Eventos_pagamentos'!$O$766:$O$836)</f>
        <v/>
      </c>
      <c r="E17" s="523">
        <f>COUNTIF('03_Eventos_pagamentos'!$E$702:$E$763,'04_TOTALIZADORA (3)'!A17)</f>
        <v/>
      </c>
      <c r="F17" s="1485">
        <f>SUMIF('03_Eventos_pagamentos'!$E$702:$E$763,A17,'03_Eventos_pagamentos'!$O$702:$O$763)</f>
        <v/>
      </c>
      <c r="G17" s="1432">
        <f>D17+F17</f>
        <v/>
      </c>
      <c r="H17" s="1486">
        <f>D17+F17+H16</f>
        <v/>
      </c>
      <c r="I17" s="1481">
        <f>G17-S17</f>
        <v/>
      </c>
      <c r="J17" s="1481">
        <f>H17-T17</f>
        <v/>
      </c>
      <c r="K17" s="1448">
        <f>D17+F17-S17</f>
        <v/>
      </c>
      <c r="L17" s="1448">
        <f>SUMIF('03_Eventos_pagamentos'!$E$702:$E$763,H17,'03_Eventos_pagamentos'!$O$702:$O$763)</f>
        <v/>
      </c>
      <c r="M17" s="1448">
        <f>K17-L17</f>
        <v/>
      </c>
      <c r="N17" s="1448">
        <f>M17+S17</f>
        <v/>
      </c>
      <c r="O17" s="1452">
        <f>I17-R17</f>
        <v/>
      </c>
      <c r="P17" s="1422">
        <f>SUMIF('03_Eventos_pagamentos'!$P$11:$P$843,A18,'03_Eventos_pagamentos'!$Q$11:$Q$843)</f>
        <v/>
      </c>
      <c r="Q17" s="1487" t="n">
        <v>100000</v>
      </c>
      <c r="R17" s="1432">
        <f>P17+Q17</f>
        <v/>
      </c>
      <c r="S17" s="1488">
        <f>SUMIFS( '03_Eventos_pagamentos'!$O$11:$O$843,'03_Eventos_pagamentos'!$E$11:$E$843,A17,'03_Eventos_pagamentos'!$I$11:$I$843,"FAT. DIRETO")</f>
        <v/>
      </c>
      <c r="T17" s="1488">
        <f>S17+T16</f>
        <v/>
      </c>
      <c r="U17" s="1488">
        <f>P17+S17+U16</f>
        <v/>
      </c>
      <c r="V17" s="1431" t="n"/>
      <c r="W17" s="1431">
        <f>V17+W16</f>
        <v/>
      </c>
      <c r="X17" s="1438" t="n"/>
      <c r="Y17" s="1438" t="n"/>
      <c r="Z17" s="1433" t="n"/>
      <c r="AA17" s="1434" t="n"/>
      <c r="AB17" s="1434" t="n"/>
      <c r="AC17" s="1434" t="n"/>
      <c r="AD17" s="1434" t="n"/>
      <c r="AE17" s="1435" t="n"/>
    </row>
    <row r="18">
      <c r="A18" s="758" t="n">
        <v>5</v>
      </c>
      <c r="B18" s="761" t="n">
        <v>45597</v>
      </c>
      <c r="C18" s="523">
        <f>SUM(COUNTIF('03_Eventos_pagamentos'!$E$11:$E$697,'04_TOTALIZADORA (3)'!A18)+COUNTIF('03_Eventos_pagamentos'!$E$766:$E$836,'04_TOTALIZADORA (3)'!A18))</f>
        <v/>
      </c>
      <c r="D18" s="1422">
        <f>SUMIF('03_Eventos_pagamentos'!$E$11:$E$699,A18,'03_Eventos_pagamentos'!$O$11:$O$697)+SUMIF('03_Eventos_pagamentos'!$E$766:$E$836,A18,'03_Eventos_pagamentos'!$O$766:$O$836)</f>
        <v/>
      </c>
      <c r="E18" s="523">
        <f>COUNTIF('03_Eventos_pagamentos'!$E$702:$E$763,'04_TOTALIZADORA (3)'!A18)</f>
        <v/>
      </c>
      <c r="F18" s="1485">
        <f>SUMIF('03_Eventos_pagamentos'!$E$702:$E$763,A18,'03_Eventos_pagamentos'!$O$702:$O$763)</f>
        <v/>
      </c>
      <c r="G18" s="1432">
        <f>D18+F18</f>
        <v/>
      </c>
      <c r="H18" s="1486">
        <f>D18+F18+H17</f>
        <v/>
      </c>
      <c r="I18" s="1481">
        <f>G18-S18</f>
        <v/>
      </c>
      <c r="J18" s="1481">
        <f>H18-T18</f>
        <v/>
      </c>
      <c r="K18" s="1448">
        <f>D18+F18-S18</f>
        <v/>
      </c>
      <c r="L18" s="1448">
        <f>SUMIF('03_Eventos_pagamentos'!$E$702:$E$763,H18,'03_Eventos_pagamentos'!$O$702:$O$763)</f>
        <v/>
      </c>
      <c r="M18" s="1448">
        <f>K18-L18</f>
        <v/>
      </c>
      <c r="N18" s="1448">
        <f>M18+S18</f>
        <v/>
      </c>
      <c r="O18" s="1452">
        <f>I18-R18</f>
        <v/>
      </c>
      <c r="P18" s="1422">
        <f>SUMIF('03_Eventos_pagamentos'!$P$11:$P$843,A19,'03_Eventos_pagamentos'!$Q$11:$Q$843)</f>
        <v/>
      </c>
      <c r="Q18" s="1487" t="n">
        <v>100000</v>
      </c>
      <c r="R18" s="1432">
        <f>P18+Q18</f>
        <v/>
      </c>
      <c r="S18" s="1488">
        <f>SUMIFS( '03_Eventos_pagamentos'!$O$11:$O$843,'03_Eventos_pagamentos'!$E$11:$E$843,A18,'03_Eventos_pagamentos'!$I$11:$I$843,"FAT. DIRETO")</f>
        <v/>
      </c>
      <c r="T18" s="1488">
        <f>S18+T17</f>
        <v/>
      </c>
      <c r="U18" s="1488">
        <f>P18+S18+U17</f>
        <v/>
      </c>
      <c r="V18" s="1431" t="n"/>
      <c r="W18" s="1431">
        <f>V18+W17</f>
        <v/>
      </c>
      <c r="X18" s="1438" t="n"/>
      <c r="Y18" s="1438" t="n"/>
      <c r="Z18" s="1433" t="n"/>
      <c r="AA18" s="1434" t="n"/>
      <c r="AB18" s="1434" t="n"/>
      <c r="AC18" s="1434" t="n"/>
      <c r="AD18" s="1434" t="n"/>
      <c r="AE18" s="1435" t="n"/>
    </row>
    <row r="19">
      <c r="A19" s="758" t="n">
        <v>6</v>
      </c>
      <c r="B19" s="761" t="n">
        <v>45627</v>
      </c>
      <c r="C19" s="523">
        <f>SUM(COUNTIF('03_Eventos_pagamentos'!$E$11:$E$697,'04_TOTALIZADORA (3)'!A19)+COUNTIF('03_Eventos_pagamentos'!$E$766:$E$836,'04_TOTALIZADORA (3)'!A19))</f>
        <v/>
      </c>
      <c r="D19" s="1422">
        <f>SUMIF('03_Eventos_pagamentos'!$E$11:$E$699,A19,'03_Eventos_pagamentos'!$O$11:$O$697)+SUMIF('03_Eventos_pagamentos'!$E$766:$E$836,A19,'03_Eventos_pagamentos'!$O$766:$O$836)</f>
        <v/>
      </c>
      <c r="E19" s="523">
        <f>COUNTIF('03_Eventos_pagamentos'!$E$702:$E$763,'04_TOTALIZADORA (3)'!A19)</f>
        <v/>
      </c>
      <c r="F19" s="1485">
        <f>SUMIF('03_Eventos_pagamentos'!$E$702:$E$763,A19,'03_Eventos_pagamentos'!$O$702:$O$763)</f>
        <v/>
      </c>
      <c r="G19" s="1432">
        <f>D19+F19</f>
        <v/>
      </c>
      <c r="H19" s="1486">
        <f>D19+F19+H18</f>
        <v/>
      </c>
      <c r="I19" s="1481">
        <f>G19-S19</f>
        <v/>
      </c>
      <c r="J19" s="1481">
        <f>H19-T19</f>
        <v/>
      </c>
      <c r="K19" s="1448">
        <f>D19+F19-S19</f>
        <v/>
      </c>
      <c r="L19" s="1448">
        <f>SUMIF('03_Eventos_pagamentos'!$E$702:$E$763,H19,'03_Eventos_pagamentos'!$O$702:$O$763)</f>
        <v/>
      </c>
      <c r="M19" s="1448">
        <f>K19-L19</f>
        <v/>
      </c>
      <c r="N19" s="1448">
        <f>M19+S19</f>
        <v/>
      </c>
      <c r="O19" s="1452">
        <f>I19-R19</f>
        <v/>
      </c>
      <c r="P19" s="1422">
        <f>SUMIF('03_Eventos_pagamentos'!$P$11:$P$843,A20,'03_Eventos_pagamentos'!$Q$11:$Q$843)</f>
        <v/>
      </c>
      <c r="Q19" s="1487" t="n">
        <v>100000</v>
      </c>
      <c r="R19" s="1432">
        <f>P19+Q19</f>
        <v/>
      </c>
      <c r="S19" s="1488">
        <f>SUMIFS( '03_Eventos_pagamentos'!$O$11:$O$843,'03_Eventos_pagamentos'!$E$11:$E$843,A19,'03_Eventos_pagamentos'!$I$11:$I$843,"FAT. DIRETO")</f>
        <v/>
      </c>
      <c r="T19" s="1488">
        <f>S19+T18</f>
        <v/>
      </c>
      <c r="U19" s="1488">
        <f>P19+S19+U18</f>
        <v/>
      </c>
      <c r="V19" s="1431" t="n"/>
      <c r="W19" s="1431">
        <f>V19+W18</f>
        <v/>
      </c>
      <c r="X19" s="1438" t="n"/>
      <c r="Y19" s="1438" t="n"/>
      <c r="Z19" s="1433" t="n"/>
      <c r="AA19" s="1434" t="n"/>
      <c r="AB19" s="1434" t="n"/>
      <c r="AC19" s="1434" t="n"/>
      <c r="AD19" s="1434" t="n"/>
      <c r="AE19" s="1435" t="n"/>
    </row>
    <row r="20">
      <c r="A20" s="758" t="n">
        <v>7</v>
      </c>
      <c r="B20" s="761" t="n">
        <v>45658</v>
      </c>
      <c r="C20" s="523">
        <f>SUM(COUNTIF('03_Eventos_pagamentos'!$E$11:$E$697,'04_TOTALIZADORA (3)'!A20)+COUNTIF('03_Eventos_pagamentos'!$E$766:$E$836,'04_TOTALIZADORA (3)'!A20))</f>
        <v/>
      </c>
      <c r="D20" s="1422">
        <f>SUMIF('03_Eventos_pagamentos'!$E$11:$E$699,A20,'03_Eventos_pagamentos'!$O$11:$O$697)+SUMIF('03_Eventos_pagamentos'!$E$766:$E$836,A20,'03_Eventos_pagamentos'!$O$766:$O$836)</f>
        <v/>
      </c>
      <c r="E20" s="523">
        <f>COUNTIF('03_Eventos_pagamentos'!$E$702:$E$763,'04_TOTALIZADORA (3)'!A20)</f>
        <v/>
      </c>
      <c r="F20" s="1485">
        <f>SUMIF('03_Eventos_pagamentos'!$E$702:$E$763,A20,'03_Eventos_pagamentos'!$O$702:$O$763)</f>
        <v/>
      </c>
      <c r="G20" s="1432">
        <f>D20+F20</f>
        <v/>
      </c>
      <c r="H20" s="1486">
        <f>D20+F20+H19</f>
        <v/>
      </c>
      <c r="I20" s="1481">
        <f>G20-S20</f>
        <v/>
      </c>
      <c r="J20" s="1481">
        <f>H20-T20</f>
        <v/>
      </c>
      <c r="K20" s="1448">
        <f>D20+F20-S20</f>
        <v/>
      </c>
      <c r="L20" s="1448">
        <f>SUMIF('03_Eventos_pagamentos'!$E$702:$E$763,H20,'03_Eventos_pagamentos'!$O$702:$O$763)</f>
        <v/>
      </c>
      <c r="M20" s="1448">
        <f>K20-L20</f>
        <v/>
      </c>
      <c r="N20" s="1448">
        <f>M20+S20</f>
        <v/>
      </c>
      <c r="O20" s="1452">
        <f>I20-R20</f>
        <v/>
      </c>
      <c r="P20" s="1422">
        <f>SUMIF('03_Eventos_pagamentos'!$P$11:$P$843,A21,'03_Eventos_pagamentos'!$Q$11:$Q$843)</f>
        <v/>
      </c>
      <c r="Q20" s="1487" t="n">
        <v>100000</v>
      </c>
      <c r="R20" s="1432">
        <f>P20+Q20</f>
        <v/>
      </c>
      <c r="S20" s="1488">
        <f>SUMIFS( '03_Eventos_pagamentos'!$O$11:$O$843,'03_Eventos_pagamentos'!$E$11:$E$843,A20,'03_Eventos_pagamentos'!$I$11:$I$843,"FAT. DIRETO")</f>
        <v/>
      </c>
      <c r="T20" s="1488">
        <f>S20+T19</f>
        <v/>
      </c>
      <c r="U20" s="1488">
        <f>P20+S20+U19</f>
        <v/>
      </c>
      <c r="V20" s="1431" t="n"/>
      <c r="W20" s="1431">
        <f>V20+W19</f>
        <v/>
      </c>
      <c r="X20" s="1438" t="n"/>
      <c r="Y20" s="1438" t="n"/>
      <c r="Z20" s="1433" t="n"/>
      <c r="AA20" s="1434" t="n"/>
      <c r="AB20" s="1434" t="n"/>
      <c r="AC20" s="1434" t="n"/>
      <c r="AD20" s="1434" t="n"/>
      <c r="AE20" s="1435" t="n"/>
    </row>
    <row r="21">
      <c r="A21" s="758" t="n">
        <v>8</v>
      </c>
      <c r="B21" s="761" t="n">
        <v>45689</v>
      </c>
      <c r="C21" s="523">
        <f>SUM(COUNTIF('03_Eventos_pagamentos'!$E$11:$E$697,'04_TOTALIZADORA (3)'!A21)+COUNTIF('03_Eventos_pagamentos'!$E$766:$E$836,'04_TOTALIZADORA (3)'!A21))</f>
        <v/>
      </c>
      <c r="D21" s="1422">
        <f>SUMIF('03_Eventos_pagamentos'!$E$11:$E$699,A21,'03_Eventos_pagamentos'!$O$11:$O$697)+SUMIF('03_Eventos_pagamentos'!$E$766:$E$836,A21,'03_Eventos_pagamentos'!$O$766:$O$836)</f>
        <v/>
      </c>
      <c r="E21" s="523">
        <f>COUNTIF('03_Eventos_pagamentos'!$E$702:$E$763,'04_TOTALIZADORA (3)'!A21)</f>
        <v/>
      </c>
      <c r="F21" s="1485">
        <f>SUMIF('03_Eventos_pagamentos'!$E$702:$E$763,A21,'03_Eventos_pagamentos'!$O$702:$O$763)</f>
        <v/>
      </c>
      <c r="G21" s="1432">
        <f>D21+F21</f>
        <v/>
      </c>
      <c r="H21" s="1486">
        <f>D21+F21+H20</f>
        <v/>
      </c>
      <c r="I21" s="1481">
        <f>G21-S21</f>
        <v/>
      </c>
      <c r="J21" s="1481">
        <f>H21-T21</f>
        <v/>
      </c>
      <c r="K21" s="1448">
        <f>D21+F21-S21</f>
        <v/>
      </c>
      <c r="L21" s="1448">
        <f>SUMIF('03_Eventos_pagamentos'!$E$702:$E$763,H21,'03_Eventos_pagamentos'!$O$702:$O$763)</f>
        <v/>
      </c>
      <c r="M21" s="1448">
        <f>K21-L21</f>
        <v/>
      </c>
      <c r="N21" s="1448">
        <f>M21+S21</f>
        <v/>
      </c>
      <c r="O21" s="1452">
        <f>I21-R21</f>
        <v/>
      </c>
      <c r="P21" s="1422">
        <f>SUMIF('03_Eventos_pagamentos'!$P$11:$P$843,A22,'03_Eventos_pagamentos'!$Q$11:$Q$843)</f>
        <v/>
      </c>
      <c r="Q21" s="1487" t="n">
        <v>100000</v>
      </c>
      <c r="R21" s="1432">
        <f>P21+Q21</f>
        <v/>
      </c>
      <c r="S21" s="1488">
        <f>SUMIFS( '03_Eventos_pagamentos'!$O$11:$O$843,'03_Eventos_pagamentos'!$E$11:$E$843,A21,'03_Eventos_pagamentos'!$I$11:$I$843,"FAT. DIRETO")</f>
        <v/>
      </c>
      <c r="T21" s="1488">
        <f>S21+T20</f>
        <v/>
      </c>
      <c r="U21" s="1488">
        <f>P21+S21+U20</f>
        <v/>
      </c>
      <c r="V21" s="1431" t="n"/>
      <c r="W21" s="1431">
        <f>V21+W20</f>
        <v/>
      </c>
      <c r="X21" s="1438" t="n"/>
      <c r="Y21" s="1438" t="n"/>
      <c r="Z21" s="1433" t="n"/>
      <c r="AA21" s="1434" t="n"/>
      <c r="AB21" s="1434" t="n"/>
      <c r="AC21" s="1434" t="n"/>
      <c r="AD21" s="1434" t="n"/>
      <c r="AE21" s="1435" t="n"/>
    </row>
    <row r="22">
      <c r="A22" s="758" t="n">
        <v>9</v>
      </c>
      <c r="B22" s="761" t="n">
        <v>45717</v>
      </c>
      <c r="C22" s="523">
        <f>SUM(COUNTIF('03_Eventos_pagamentos'!$E$11:$E$697,'04_TOTALIZADORA (3)'!A22)+COUNTIF('03_Eventos_pagamentos'!$E$766:$E$836,'04_TOTALIZADORA (3)'!A22))</f>
        <v/>
      </c>
      <c r="D22" s="1422">
        <f>SUMIF('03_Eventos_pagamentos'!$E$11:$E$699,A22,'03_Eventos_pagamentos'!$O$11:$O$697)+SUMIF('03_Eventos_pagamentos'!$E$766:$E$836,A22,'03_Eventos_pagamentos'!$O$766:$O$836)</f>
        <v/>
      </c>
      <c r="E22" s="523">
        <f>COUNTIF('03_Eventos_pagamentos'!$E$702:$E$763,'04_TOTALIZADORA (3)'!A22)</f>
        <v/>
      </c>
      <c r="F22" s="1485">
        <f>SUMIF('03_Eventos_pagamentos'!$E$702:$E$763,A22,'03_Eventos_pagamentos'!$O$702:$O$763)</f>
        <v/>
      </c>
      <c r="G22" s="1432">
        <f>D22+F22</f>
        <v/>
      </c>
      <c r="H22" s="1486">
        <f>D22+F22+H21</f>
        <v/>
      </c>
      <c r="I22" s="1481">
        <f>G22-S22</f>
        <v/>
      </c>
      <c r="J22" s="1481">
        <f>H22-T22</f>
        <v/>
      </c>
      <c r="K22" s="1448">
        <f>D22+F22-S22</f>
        <v/>
      </c>
      <c r="L22" s="1448">
        <f>SUMIF('03_Eventos_pagamentos'!$E$702:$E$763,H22,'03_Eventos_pagamentos'!$O$702:$O$763)</f>
        <v/>
      </c>
      <c r="M22" s="1448">
        <f>K22-L22</f>
        <v/>
      </c>
      <c r="N22" s="1448">
        <f>M22+S22</f>
        <v/>
      </c>
      <c r="O22" s="1452">
        <f>I22-R22</f>
        <v/>
      </c>
      <c r="P22" s="1422">
        <f>SUMIF('03_Eventos_pagamentos'!$P$11:$P$843,A23,'03_Eventos_pagamentos'!$Q$11:$Q$843)</f>
        <v/>
      </c>
      <c r="Q22" s="1487" t="n">
        <v>100000</v>
      </c>
      <c r="R22" s="1432">
        <f>P22+Q22</f>
        <v/>
      </c>
      <c r="S22" s="1488">
        <f>SUMIFS( '03_Eventos_pagamentos'!$O$11:$O$843,'03_Eventos_pagamentos'!$E$11:$E$843,A22,'03_Eventos_pagamentos'!$I$11:$I$843,"FAT. DIRETO")</f>
        <v/>
      </c>
      <c r="T22" s="1488">
        <f>S22+T21</f>
        <v/>
      </c>
      <c r="U22" s="1488">
        <f>P22+S22+U21</f>
        <v/>
      </c>
      <c r="V22" s="1431" t="n"/>
      <c r="W22" s="1431">
        <f>V22+W21</f>
        <v/>
      </c>
      <c r="X22" s="1438" t="n"/>
      <c r="Y22" s="1438" t="n"/>
      <c r="Z22" s="1433" t="n"/>
      <c r="AA22" s="1434" t="n"/>
      <c r="AB22" s="1434" t="n"/>
      <c r="AC22" s="1434" t="n"/>
      <c r="AD22" s="1434" t="n"/>
      <c r="AE22" s="1435" t="n"/>
    </row>
    <row r="23">
      <c r="A23" s="758" t="n">
        <v>10</v>
      </c>
      <c r="B23" s="761" t="n">
        <v>45748</v>
      </c>
      <c r="C23" s="523">
        <f>SUM(COUNTIF('03_Eventos_pagamentos'!$E$11:$E$697,'04_TOTALIZADORA (3)'!A23)+COUNTIF('03_Eventos_pagamentos'!$E$766:$E$836,'04_TOTALIZADORA (3)'!A23))</f>
        <v/>
      </c>
      <c r="D23" s="1422">
        <f>SUMIF('03_Eventos_pagamentos'!$E$11:$E$699,A23,'03_Eventos_pagamentos'!$O$11:$O$697)+SUMIF('03_Eventos_pagamentos'!$E$766:$E$836,A23,'03_Eventos_pagamentos'!$O$766:$O$836)</f>
        <v/>
      </c>
      <c r="E23" s="523">
        <f>COUNTIF('03_Eventos_pagamentos'!$E$702:$E$763,'04_TOTALIZADORA (3)'!A23)</f>
        <v/>
      </c>
      <c r="F23" s="1485">
        <f>SUMIF('03_Eventos_pagamentos'!$E$702:$E$763,A23,'03_Eventos_pagamentos'!$O$702:$O$763)</f>
        <v/>
      </c>
      <c r="G23" s="1432">
        <f>D23+F23</f>
        <v/>
      </c>
      <c r="H23" s="1486">
        <f>D23+F23+H22</f>
        <v/>
      </c>
      <c r="I23" s="1481">
        <f>G23-S23</f>
        <v/>
      </c>
      <c r="J23" s="1481">
        <f>H23-T23</f>
        <v/>
      </c>
      <c r="K23" s="1448">
        <f>D23+F23-S23</f>
        <v/>
      </c>
      <c r="L23" s="1448">
        <f>SUMIF('03_Eventos_pagamentos'!$E$702:$E$763,H23,'03_Eventos_pagamentos'!$O$702:$O$763)</f>
        <v/>
      </c>
      <c r="M23" s="1448">
        <f>K23-L23</f>
        <v/>
      </c>
      <c r="N23" s="1448">
        <f>M23+S23</f>
        <v/>
      </c>
      <c r="O23" s="1452">
        <f>I23-R23</f>
        <v/>
      </c>
      <c r="P23" s="1422">
        <f>SUMIF('03_Eventos_pagamentos'!$P$11:$P$843,A24,'03_Eventos_pagamentos'!$Q$11:$Q$843)</f>
        <v/>
      </c>
      <c r="Q23" s="1487" t="n">
        <v>100000</v>
      </c>
      <c r="R23" s="1432">
        <f>P23+Q23</f>
        <v/>
      </c>
      <c r="S23" s="1488">
        <f>SUMIFS( '03_Eventos_pagamentos'!$O$11:$O$843,'03_Eventos_pagamentos'!$E$11:$E$843,A23,'03_Eventos_pagamentos'!$I$11:$I$843,"FAT. DIRETO")</f>
        <v/>
      </c>
      <c r="T23" s="1488">
        <f>S23+T22</f>
        <v/>
      </c>
      <c r="U23" s="1488">
        <f>P23+S23+U22</f>
        <v/>
      </c>
      <c r="V23" s="1431" t="n"/>
      <c r="W23" s="1431">
        <f>V23+W22</f>
        <v/>
      </c>
      <c r="X23" s="1438" t="n"/>
      <c r="Y23" s="1438" t="n"/>
      <c r="Z23" s="1433" t="n"/>
      <c r="AA23" s="1434" t="n"/>
      <c r="AB23" s="1434" t="n"/>
      <c r="AC23" s="1434" t="n"/>
      <c r="AD23" s="1434" t="n"/>
      <c r="AE23" s="1435" t="n"/>
    </row>
    <row r="24">
      <c r="A24" s="758" t="n">
        <v>11</v>
      </c>
      <c r="B24" s="761" t="n">
        <v>45778</v>
      </c>
      <c r="C24" s="523">
        <f>SUM(COUNTIF('03_Eventos_pagamentos'!$E$11:$E$697,'04_TOTALIZADORA (3)'!A24)+COUNTIF('03_Eventos_pagamentos'!$E$766:$E$836,'04_TOTALIZADORA (3)'!A24))</f>
        <v/>
      </c>
      <c r="D24" s="1422">
        <f>SUMIF('03_Eventos_pagamentos'!$E$11:$E$699,A24,'03_Eventos_pagamentos'!$O$11:$O$697)+SUMIF('03_Eventos_pagamentos'!$E$766:$E$836,A24,'03_Eventos_pagamentos'!$O$766:$O$836)</f>
        <v/>
      </c>
      <c r="E24" s="523">
        <f>COUNTIF('03_Eventos_pagamentos'!$E$702:$E$763,'04_TOTALIZADORA (3)'!A24)</f>
        <v/>
      </c>
      <c r="F24" s="1485">
        <f>SUMIF('03_Eventos_pagamentos'!$E$702:$E$763,A24,'03_Eventos_pagamentos'!$O$702:$O$763)</f>
        <v/>
      </c>
      <c r="G24" s="1432">
        <f>D24+F24</f>
        <v/>
      </c>
      <c r="H24" s="1486">
        <f>D24+F24+H23</f>
        <v/>
      </c>
      <c r="I24" s="1481">
        <f>G24-S24</f>
        <v/>
      </c>
      <c r="J24" s="1481">
        <f>H24-T24</f>
        <v/>
      </c>
      <c r="K24" s="1448">
        <f>D24+F24-S24</f>
        <v/>
      </c>
      <c r="L24" s="1448">
        <f>SUMIF('03_Eventos_pagamentos'!$E$702:$E$763,H24,'03_Eventos_pagamentos'!$O$702:$O$763)</f>
        <v/>
      </c>
      <c r="M24" s="1448">
        <f>K24-L24</f>
        <v/>
      </c>
      <c r="N24" s="1448">
        <f>M24+S24</f>
        <v/>
      </c>
      <c r="O24" s="1452">
        <f>I24-R24</f>
        <v/>
      </c>
      <c r="P24" s="1422">
        <f>SUMIF('03_Eventos_pagamentos'!$P$11:$P$843,A25,'03_Eventos_pagamentos'!$Q$11:$Q$843)</f>
        <v/>
      </c>
      <c r="Q24" s="1487" t="n">
        <v>100000</v>
      </c>
      <c r="R24" s="1432">
        <f>P24+Q24</f>
        <v/>
      </c>
      <c r="S24" s="1488">
        <f>SUMIFS( '03_Eventos_pagamentos'!$O$11:$O$843,'03_Eventos_pagamentos'!$E$11:$E$843,A24,'03_Eventos_pagamentos'!$I$11:$I$843,"FAT. DIRETO")</f>
        <v/>
      </c>
      <c r="T24" s="1488">
        <f>S24+T23</f>
        <v/>
      </c>
      <c r="U24" s="1488">
        <f>P24+S24+U23</f>
        <v/>
      </c>
      <c r="V24" s="1431" t="n"/>
      <c r="W24" s="1431">
        <f>V24+W23</f>
        <v/>
      </c>
      <c r="X24" s="1438" t="n"/>
      <c r="Y24" s="1438" t="n"/>
      <c r="Z24" s="1433" t="n"/>
      <c r="AA24" s="1434" t="n"/>
      <c r="AB24" s="1434" t="n"/>
      <c r="AC24" s="1434" t="n"/>
      <c r="AD24" s="1434" t="n"/>
      <c r="AE24" s="1435" t="n"/>
    </row>
    <row r="25">
      <c r="A25" s="758" t="n">
        <v>12</v>
      </c>
      <c r="B25" s="761" t="n">
        <v>45809</v>
      </c>
      <c r="C25" s="523">
        <f>SUM(COUNTIF('03_Eventos_pagamentos'!$E$11:$E$697,'04_TOTALIZADORA (3)'!A25)+COUNTIF('03_Eventos_pagamentos'!$E$766:$E$836,'04_TOTALIZADORA (3)'!A25))</f>
        <v/>
      </c>
      <c r="D25" s="1422">
        <f>SUMIF('03_Eventos_pagamentos'!$E$11:$E$699,A25,'03_Eventos_pagamentos'!$O$11:$O$697)+SUMIF('03_Eventos_pagamentos'!$E$766:$E$836,A25,'03_Eventos_pagamentos'!$O$766:$O$836)</f>
        <v/>
      </c>
      <c r="E25" s="523">
        <f>COUNTIF('03_Eventos_pagamentos'!$E$702:$E$763,'04_TOTALIZADORA (3)'!A25)</f>
        <v/>
      </c>
      <c r="F25" s="1485">
        <f>SUMIF('03_Eventos_pagamentos'!$E$702:$E$763,A25,'03_Eventos_pagamentos'!$O$702:$O$763)</f>
        <v/>
      </c>
      <c r="G25" s="1432">
        <f>D25+F25</f>
        <v/>
      </c>
      <c r="H25" s="1486">
        <f>D25+F25+H24</f>
        <v/>
      </c>
      <c r="I25" s="1481">
        <f>G25-S25</f>
        <v/>
      </c>
      <c r="J25" s="1481">
        <f>H25-T25</f>
        <v/>
      </c>
      <c r="K25" s="1448">
        <f>D25+F25-S25</f>
        <v/>
      </c>
      <c r="L25" s="1448">
        <f>SUMIF('03_Eventos_pagamentos'!$E$702:$E$763,H25,'03_Eventos_pagamentos'!$O$702:$O$763)</f>
        <v/>
      </c>
      <c r="M25" s="1448">
        <f>K25-L25</f>
        <v/>
      </c>
      <c r="N25" s="1448">
        <f>M25+S25</f>
        <v/>
      </c>
      <c r="O25" s="1452">
        <f>I25-R25</f>
        <v/>
      </c>
      <c r="P25" s="1422">
        <f>SUMIF('03_Eventos_pagamentos'!$P$11:$P$843,A26,'03_Eventos_pagamentos'!$Q$11:$Q$843)</f>
        <v/>
      </c>
      <c r="Q25" s="1487" t="n">
        <v>100000</v>
      </c>
      <c r="R25" s="1432">
        <f>P25+Q25</f>
        <v/>
      </c>
      <c r="S25" s="1488">
        <f>SUMIFS( '03_Eventos_pagamentos'!$O$11:$O$843,'03_Eventos_pagamentos'!$E$11:$E$843,A25,'03_Eventos_pagamentos'!$I$11:$I$843,"FAT. DIRETO")</f>
        <v/>
      </c>
      <c r="T25" s="1488">
        <f>S25+T24</f>
        <v/>
      </c>
      <c r="U25" s="1488">
        <f>P25+S25+U24</f>
        <v/>
      </c>
      <c r="V25" s="1431" t="n"/>
      <c r="W25" s="1431">
        <f>V25+W24</f>
        <v/>
      </c>
      <c r="X25" s="1438" t="n"/>
      <c r="Y25" s="1438" t="n"/>
      <c r="Z25" s="1433" t="n"/>
      <c r="AA25" s="1434" t="n"/>
      <c r="AB25" s="1434" t="n"/>
      <c r="AC25" s="1434" t="n"/>
      <c r="AD25" s="1434" t="n"/>
      <c r="AE25" s="1435" t="n"/>
    </row>
    <row r="26">
      <c r="A26" s="758" t="n">
        <v>13</v>
      </c>
      <c r="B26" s="761" t="n">
        <v>45839</v>
      </c>
      <c r="C26" s="523">
        <f>SUM(COUNTIF('03_Eventos_pagamentos'!$E$11:$E$697,'04_TOTALIZADORA (3)'!A26)+COUNTIF('03_Eventos_pagamentos'!$E$766:$E$836,'04_TOTALIZADORA (3)'!A26))</f>
        <v/>
      </c>
      <c r="D26" s="1422">
        <f>SUMIF('03_Eventos_pagamentos'!$E$11:$E$699,A26,'03_Eventos_pagamentos'!$O$11:$O$697)+SUMIF('03_Eventos_pagamentos'!$E$766:$E$836,A26,'03_Eventos_pagamentos'!$O$766:$O$836)</f>
        <v/>
      </c>
      <c r="E26" s="523">
        <f>COUNTIF('03_Eventos_pagamentos'!$E$702:$E$763,'04_TOTALIZADORA (3)'!A26)</f>
        <v/>
      </c>
      <c r="F26" s="1485">
        <f>SUMIF('03_Eventos_pagamentos'!$E$702:$E$763,A26,'03_Eventos_pagamentos'!$O$702:$O$763)</f>
        <v/>
      </c>
      <c r="G26" s="1432">
        <f>D26+F26</f>
        <v/>
      </c>
      <c r="H26" s="1486">
        <f>D26+F26+H25</f>
        <v/>
      </c>
      <c r="I26" s="1481">
        <f>G26-S26</f>
        <v/>
      </c>
      <c r="J26" s="1481">
        <f>H26-T26</f>
        <v/>
      </c>
      <c r="K26" s="1448">
        <f>D26+F26-S26</f>
        <v/>
      </c>
      <c r="L26" s="1448">
        <f>SUMIF('03_Eventos_pagamentos'!$E$702:$E$763,H26,'03_Eventos_pagamentos'!$O$702:$O$763)</f>
        <v/>
      </c>
      <c r="M26" s="1448">
        <f>K26-L26</f>
        <v/>
      </c>
      <c r="N26" s="1448">
        <f>M26+S26</f>
        <v/>
      </c>
      <c r="O26" s="1452">
        <f>I26-R26</f>
        <v/>
      </c>
      <c r="P26" s="1422">
        <f>SUMIF('03_Eventos_pagamentos'!$P$11:$P$843,A27,'03_Eventos_pagamentos'!$Q$11:$Q$843)</f>
        <v/>
      </c>
      <c r="Q26" s="1487" t="n">
        <v>100000</v>
      </c>
      <c r="R26" s="1432">
        <f>P26+Q26</f>
        <v/>
      </c>
      <c r="S26" s="1488">
        <f>SUMIFS( '03_Eventos_pagamentos'!$O$11:$O$843,'03_Eventos_pagamentos'!$E$11:$E$843,A26,'03_Eventos_pagamentos'!$I$11:$I$843,"FAT. DIRETO")</f>
        <v/>
      </c>
      <c r="T26" s="1488">
        <f>S26+T25</f>
        <v/>
      </c>
      <c r="U26" s="1488">
        <f>P26+S26+U25</f>
        <v/>
      </c>
      <c r="V26" s="1431" t="n"/>
      <c r="W26" s="1431">
        <f>V26+W25</f>
        <v/>
      </c>
      <c r="X26" s="1438" t="n"/>
      <c r="Y26" s="1438" t="n"/>
      <c r="Z26" s="1433" t="n"/>
      <c r="AA26" s="1434" t="n"/>
      <c r="AB26" s="1434" t="n"/>
      <c r="AC26" s="1434" t="n"/>
      <c r="AD26" s="1434" t="n"/>
      <c r="AE26" s="1435" t="n"/>
    </row>
    <row r="27">
      <c r="A27" s="758" t="n">
        <v>14</v>
      </c>
      <c r="B27" s="761" t="n">
        <v>45870</v>
      </c>
      <c r="C27" s="523">
        <f>SUM(COUNTIF('03_Eventos_pagamentos'!$E$11:$E$697,'04_TOTALIZADORA (3)'!A27)+COUNTIF('03_Eventos_pagamentos'!$E$766:$E$836,'04_TOTALIZADORA (3)'!A27))</f>
        <v/>
      </c>
      <c r="D27" s="1422">
        <f>SUMIF('03_Eventos_pagamentos'!$E$11:$E$699,A27,'03_Eventos_pagamentos'!$O$11:$O$697)+SUMIF('03_Eventos_pagamentos'!$E$766:$E$836,A27,'03_Eventos_pagamentos'!$O$766:$O$836)</f>
        <v/>
      </c>
      <c r="E27" s="523">
        <f>COUNTIF('03_Eventos_pagamentos'!$E$702:$E$763,'04_TOTALIZADORA (3)'!A27)</f>
        <v/>
      </c>
      <c r="F27" s="1485">
        <f>SUMIF('03_Eventos_pagamentos'!$E$702:$E$763,A27,'03_Eventos_pagamentos'!$O$702:$O$763)</f>
        <v/>
      </c>
      <c r="G27" s="1432">
        <f>D27+F27</f>
        <v/>
      </c>
      <c r="H27" s="1486">
        <f>D27+F27+H26</f>
        <v/>
      </c>
      <c r="I27" s="1481">
        <f>G27-S27</f>
        <v/>
      </c>
      <c r="J27" s="1481">
        <f>H27-T27</f>
        <v/>
      </c>
      <c r="K27" s="1448">
        <f>D27+F27-S27</f>
        <v/>
      </c>
      <c r="L27" s="1448">
        <f>SUMIF('03_Eventos_pagamentos'!$E$702:$E$763,H27,'03_Eventos_pagamentos'!$O$702:$O$763)</f>
        <v/>
      </c>
      <c r="M27" s="1448">
        <f>K27-L27</f>
        <v/>
      </c>
      <c r="N27" s="1448">
        <f>M27+S27</f>
        <v/>
      </c>
      <c r="O27" s="1452">
        <f>I27-R27</f>
        <v/>
      </c>
      <c r="P27" s="1422">
        <f>SUMIF('03_Eventos_pagamentos'!$P$11:$P$843,A28,'03_Eventos_pagamentos'!$Q$11:$Q$843)</f>
        <v/>
      </c>
      <c r="Q27" s="1487" t="n">
        <v>100000</v>
      </c>
      <c r="R27" s="1432">
        <f>P27+Q27</f>
        <v/>
      </c>
      <c r="S27" s="1488">
        <f>SUMIFS( '03_Eventos_pagamentos'!$O$11:$O$843,'03_Eventos_pagamentos'!$E$11:$E$843,A27,'03_Eventos_pagamentos'!$I$11:$I$843,"FAT. DIRETO")</f>
        <v/>
      </c>
      <c r="T27" s="1488">
        <f>S27+T26</f>
        <v/>
      </c>
      <c r="U27" s="1488">
        <f>P27+S27+U26</f>
        <v/>
      </c>
      <c r="V27" s="1431" t="n"/>
      <c r="W27" s="1431">
        <f>V27+W26</f>
        <v/>
      </c>
      <c r="X27" s="1438" t="n"/>
      <c r="Y27" s="1438" t="n"/>
      <c r="Z27" s="1433" t="n"/>
      <c r="AA27" s="1434" t="n"/>
      <c r="AB27" s="1434" t="n"/>
      <c r="AC27" s="1434" t="n"/>
      <c r="AD27" s="1434" t="n"/>
      <c r="AE27" s="1435" t="n"/>
    </row>
    <row r="28">
      <c r="A28" s="758" t="n">
        <v>15</v>
      </c>
      <c r="B28" s="761" t="n">
        <v>45901</v>
      </c>
      <c r="C28" s="523">
        <f>SUM(COUNTIF('03_Eventos_pagamentos'!$E$11:$E$697,'04_TOTALIZADORA (3)'!A28)+COUNTIF('03_Eventos_pagamentos'!$E$766:$E$836,'04_TOTALIZADORA (3)'!A28))</f>
        <v/>
      </c>
      <c r="D28" s="1422">
        <f>SUMIF('03_Eventos_pagamentos'!$E$11:$E$699,A28,'03_Eventos_pagamentos'!$O$11:$O$697)+SUMIF('03_Eventos_pagamentos'!$E$766:$E$836,A28,'03_Eventos_pagamentos'!$O$766:$O$836)</f>
        <v/>
      </c>
      <c r="E28" s="523">
        <f>COUNTIF('03_Eventos_pagamentos'!$E$702:$E$763,'04_TOTALIZADORA (3)'!A28)</f>
        <v/>
      </c>
      <c r="F28" s="1485">
        <f>SUMIF('03_Eventos_pagamentos'!$E$702:$E$763,A28,'03_Eventos_pagamentos'!$O$702:$O$763)</f>
        <v/>
      </c>
      <c r="G28" s="1432">
        <f>D28+F28</f>
        <v/>
      </c>
      <c r="H28" s="1486">
        <f>D28+F28+H27</f>
        <v/>
      </c>
      <c r="I28" s="1481">
        <f>G28-S28</f>
        <v/>
      </c>
      <c r="J28" s="1481">
        <f>H28-T28</f>
        <v/>
      </c>
      <c r="K28" s="1448">
        <f>D28+F28-S28</f>
        <v/>
      </c>
      <c r="L28" s="1448">
        <f>SUMIF('03_Eventos_pagamentos'!$E$702:$E$763,H28,'03_Eventos_pagamentos'!$O$702:$O$763)</f>
        <v/>
      </c>
      <c r="M28" s="1448">
        <f>K28-L28</f>
        <v/>
      </c>
      <c r="N28" s="1448">
        <f>M28+S28</f>
        <v/>
      </c>
      <c r="O28" s="1452">
        <f>I28-R28</f>
        <v/>
      </c>
      <c r="P28" s="1422">
        <f>SUMIF('03_Eventos_pagamentos'!$P$11:$P$843,A29,'03_Eventos_pagamentos'!$Q$11:$Q$843)</f>
        <v/>
      </c>
      <c r="Q28" s="1487" t="n">
        <v>100000</v>
      </c>
      <c r="R28" s="1432">
        <f>P28+Q28</f>
        <v/>
      </c>
      <c r="S28" s="1488">
        <f>SUMIFS( '03_Eventos_pagamentos'!$O$11:$O$843,'03_Eventos_pagamentos'!$E$11:$E$843,A28,'03_Eventos_pagamentos'!$I$11:$I$843,"FAT. DIRETO")</f>
        <v/>
      </c>
      <c r="T28" s="1488">
        <f>S28+T27</f>
        <v/>
      </c>
      <c r="U28" s="1488">
        <f>P28+S28+U27</f>
        <v/>
      </c>
      <c r="V28" s="1431">
        <f>0.85*412245.2</f>
        <v/>
      </c>
      <c r="W28" s="1431">
        <f>V28+W27</f>
        <v/>
      </c>
      <c r="X28" s="1438" t="n"/>
      <c r="Y28" s="1438" t="n"/>
      <c r="Z28" s="1433" t="n"/>
      <c r="AA28" s="1434" t="n"/>
      <c r="AB28" s="1434" t="n"/>
      <c r="AC28" s="1434" t="n"/>
      <c r="AD28" s="1434" t="n"/>
      <c r="AE28" s="1435" t="n"/>
    </row>
    <row r="29">
      <c r="A29" s="758" t="n">
        <v>16</v>
      </c>
      <c r="B29" s="761" t="n">
        <v>45931</v>
      </c>
      <c r="C29" s="523">
        <f>SUM(COUNTIF('03_Eventos_pagamentos'!$E$11:$E$697,'04_TOTALIZADORA (3)'!A29)+COUNTIF('03_Eventos_pagamentos'!$E$766:$E$836,'04_TOTALIZADORA (3)'!A29))</f>
        <v/>
      </c>
      <c r="D29" s="1422">
        <f>SUMIF('03_Eventos_pagamentos'!$E$11:$E$699,A29,'03_Eventos_pagamentos'!$O$11:$O$697)+SUMIF('03_Eventos_pagamentos'!$E$766:$E$836,A29,'03_Eventos_pagamentos'!$O$766:$O$836)</f>
        <v/>
      </c>
      <c r="E29" s="523">
        <f>COUNTIF('03_Eventos_pagamentos'!$E$702:$E$763,'04_TOTALIZADORA (3)'!A29)</f>
        <v/>
      </c>
      <c r="F29" s="1485">
        <f>SUMIF('03_Eventos_pagamentos'!$E$702:$E$763,A29,'03_Eventos_pagamentos'!$O$702:$O$763)</f>
        <v/>
      </c>
      <c r="G29" s="1432">
        <f>D29+F29</f>
        <v/>
      </c>
      <c r="H29" s="1486">
        <f>D29+F29+H28</f>
        <v/>
      </c>
      <c r="I29" s="1481">
        <f>G29-S29</f>
        <v/>
      </c>
      <c r="J29" s="1481">
        <f>H29-T29</f>
        <v/>
      </c>
      <c r="K29" s="1448">
        <f>D29+F29-S29</f>
        <v/>
      </c>
      <c r="L29" s="1448">
        <f>K29*0.15</f>
        <v/>
      </c>
      <c r="M29" s="1448">
        <f>K29-L29</f>
        <v/>
      </c>
      <c r="N29" s="1448">
        <f>M29+S29</f>
        <v/>
      </c>
      <c r="O29" s="1452">
        <f>I29-R29</f>
        <v/>
      </c>
      <c r="P29" s="1422">
        <f>SUMIF('03_Eventos_pagamentos'!$P$11:$P$843,A30,'03_Eventos_pagamentos'!$Q$11:$Q$843)</f>
        <v/>
      </c>
      <c r="Q29" s="1487" t="n">
        <v>100000</v>
      </c>
      <c r="R29" s="1432">
        <f>P29+Q29</f>
        <v/>
      </c>
      <c r="S29" s="1488">
        <f>SUMIFS( '03_Eventos_pagamentos'!$O$11:$O$843,'03_Eventos_pagamentos'!$E$11:$E$843,A29,'03_Eventos_pagamentos'!$I$11:$I$843,"FAT. DIRETO")</f>
        <v/>
      </c>
      <c r="T29" s="1488">
        <f>S29+T28</f>
        <v/>
      </c>
      <c r="U29" s="1488">
        <f>P29+S29+U28</f>
        <v/>
      </c>
      <c r="V29" s="1431" t="n"/>
      <c r="W29" s="1431">
        <f>V29+W28</f>
        <v/>
      </c>
      <c r="X29" s="1453" t="n"/>
      <c r="Y29" s="1453" t="n"/>
      <c r="Z29" s="1433" t="n"/>
      <c r="AA29" s="1434" t="n"/>
      <c r="AB29" s="1434" t="n"/>
      <c r="AC29" s="1434" t="n"/>
      <c r="AD29" s="1434" t="n"/>
      <c r="AE29" s="1435" t="n"/>
    </row>
    <row r="30">
      <c r="A30" s="758" t="n">
        <v>17</v>
      </c>
      <c r="B30" s="761" t="n">
        <v>45962</v>
      </c>
      <c r="C30" s="523">
        <f>SUM(COUNTIF('03_Eventos_pagamentos'!$E$11:$E$697,'04_TOTALIZADORA (3)'!A30)+COUNTIF('03_Eventos_pagamentos'!$E$766:$E$836,'04_TOTALIZADORA (3)'!A30))</f>
        <v/>
      </c>
      <c r="D30" s="1422">
        <f>SUMIF('03_Eventos_pagamentos'!$E$11:$E$699,A30,'03_Eventos_pagamentos'!$O$11:$O$697)+SUMIF('03_Eventos_pagamentos'!$E$766:$E$836,A30,'03_Eventos_pagamentos'!$O$766:$O$836)</f>
        <v/>
      </c>
      <c r="E30" s="523">
        <f>COUNTIF('03_Eventos_pagamentos'!$E$702:$E$763,'04_TOTALIZADORA (3)'!A30)</f>
        <v/>
      </c>
      <c r="F30" s="1485">
        <f>SUMIF('03_Eventos_pagamentos'!$E$702:$E$763,A30,'03_Eventos_pagamentos'!$O$702:$O$763)</f>
        <v/>
      </c>
      <c r="G30" s="1432">
        <f>D30+F30</f>
        <v/>
      </c>
      <c r="H30" s="1486">
        <f>D30+F30+H29</f>
        <v/>
      </c>
      <c r="I30" s="1481">
        <f>G30-S30</f>
        <v/>
      </c>
      <c r="J30" s="1481">
        <f>H30-T30</f>
        <v/>
      </c>
      <c r="K30" s="1448">
        <f>D30+F30-S30</f>
        <v/>
      </c>
      <c r="L30" s="1448">
        <f>K30*0.15</f>
        <v/>
      </c>
      <c r="M30" s="1448">
        <f>K30-L30</f>
        <v/>
      </c>
      <c r="N30" s="1448">
        <f>M30+S30</f>
        <v/>
      </c>
      <c r="O30" s="1452">
        <f>I30-R30</f>
        <v/>
      </c>
      <c r="P30" s="1422">
        <f>SUMIF('03_Eventos_pagamentos'!$P$11:$P$843,A31,'03_Eventos_pagamentos'!$Q$11:$Q$843)</f>
        <v/>
      </c>
      <c r="Q30" s="1487" t="n">
        <v>100000</v>
      </c>
      <c r="R30" s="1432">
        <f>P30+Q30</f>
        <v/>
      </c>
      <c r="S30" s="1488">
        <f>SUMIFS( '03_Eventos_pagamentos'!$O$11:$O$843,'03_Eventos_pagamentos'!$E$11:$E$843,A30,'03_Eventos_pagamentos'!$I$11:$I$843,"FAT. DIRETO")</f>
        <v/>
      </c>
      <c r="T30" s="1488">
        <f>S30+T29</f>
        <v/>
      </c>
      <c r="U30" s="1488">
        <f>P30+S30+U29</f>
        <v/>
      </c>
      <c r="V30" s="1431">
        <f>0.85*800224.32</f>
        <v/>
      </c>
      <c r="W30" s="1431">
        <f>V30+W29</f>
        <v/>
      </c>
      <c r="X30" s="1431" t="n">
        <v>1724103.73</v>
      </c>
      <c r="Y30" s="1431">
        <f>Y14+X30</f>
        <v/>
      </c>
      <c r="Z30" s="1433" t="n"/>
      <c r="AA30" s="1434" t="n"/>
      <c r="AB30" s="1434" t="n"/>
      <c r="AC30" s="1434" t="n"/>
      <c r="AD30" s="1434" t="n"/>
      <c r="AE30" s="1435" t="n"/>
    </row>
    <row r="31">
      <c r="A31" s="758" t="n">
        <v>18</v>
      </c>
      <c r="B31" s="761" t="n">
        <v>45992</v>
      </c>
      <c r="C31" s="523">
        <f>SUM(COUNTIF('03_Eventos_pagamentos'!$E$11:$E$697,'04_TOTALIZADORA (3)'!A31)+COUNTIF('03_Eventos_pagamentos'!$E$766:$E$836,'04_TOTALIZADORA (3)'!A31))</f>
        <v/>
      </c>
      <c r="D31" s="1422">
        <f>SUMIF('03_Eventos_pagamentos'!$E$11:$E$699,A31,'03_Eventos_pagamentos'!$O$11:$O$697)+SUMIF('03_Eventos_pagamentos'!$E$766:$E$836,A31,'03_Eventos_pagamentos'!$O$766:$O$836)</f>
        <v/>
      </c>
      <c r="E31" s="523">
        <f>COUNTIF('03_Eventos_pagamentos'!$E$702:$E$763,'04_TOTALIZADORA (3)'!A31)</f>
        <v/>
      </c>
      <c r="F31" s="1485">
        <f>SUMIF('03_Eventos_pagamentos'!$E$702:$E$763,A31,'03_Eventos_pagamentos'!$O$702:$O$763)</f>
        <v/>
      </c>
      <c r="G31" s="1432">
        <f>D31+F31</f>
        <v/>
      </c>
      <c r="H31" s="1486">
        <f>D31+F31+H30</f>
        <v/>
      </c>
      <c r="I31" s="1481">
        <f>G31-S31</f>
        <v/>
      </c>
      <c r="J31" s="1481">
        <f>H31-T31</f>
        <v/>
      </c>
      <c r="K31" s="1448">
        <f>D31+F31-S31</f>
        <v/>
      </c>
      <c r="L31" s="1448">
        <f>K31*0.15</f>
        <v/>
      </c>
      <c r="M31" s="1448">
        <f>K31-L31</f>
        <v/>
      </c>
      <c r="N31" s="1448">
        <f>M31+S31</f>
        <v/>
      </c>
      <c r="O31" s="1452">
        <f>I31-R31</f>
        <v/>
      </c>
      <c r="P31" s="1422">
        <f>SUMIF('03_Eventos_pagamentos'!$P$11:$P$843,A32,'03_Eventos_pagamentos'!$Q$11:$Q$843)</f>
        <v/>
      </c>
      <c r="Q31" s="1487" t="n">
        <v>100000</v>
      </c>
      <c r="R31" s="1432">
        <f>P31+Q31</f>
        <v/>
      </c>
      <c r="S31" s="1488">
        <f>SUMIFS( '03_Eventos_pagamentos'!$O$11:$O$843,'03_Eventos_pagamentos'!$E$11:$E$843,A31,'03_Eventos_pagamentos'!$I$11:$I$843,"FAT. DIRETO")</f>
        <v/>
      </c>
      <c r="T31" s="1488">
        <f>S31+T30</f>
        <v/>
      </c>
      <c r="U31" s="1488">
        <f>P31+S31+U30</f>
        <v/>
      </c>
      <c r="V31" s="1431" t="n"/>
      <c r="W31" s="1431">
        <f>V31+W30</f>
        <v/>
      </c>
      <c r="X31" s="1431" t="n">
        <v>996943.88</v>
      </c>
      <c r="Y31" s="1431">
        <f>Y30+X31</f>
        <v/>
      </c>
      <c r="Z31" s="1433" t="n"/>
      <c r="AA31" s="1434" t="n"/>
      <c r="AB31" s="1434" t="n"/>
      <c r="AC31" s="1434" t="n"/>
      <c r="AD31" s="1434" t="n"/>
      <c r="AE31" s="1435" t="n"/>
    </row>
    <row r="32">
      <c r="A32" s="758" t="n">
        <v>19</v>
      </c>
      <c r="B32" s="761" t="n">
        <v>46023</v>
      </c>
      <c r="C32" s="523">
        <f>SUM(COUNTIF('03_Eventos_pagamentos'!$E$11:$E$697,'04_TOTALIZADORA (3)'!A32)+COUNTIF('03_Eventos_pagamentos'!$E$766:$E$836,'04_TOTALIZADORA (3)'!A32))</f>
        <v/>
      </c>
      <c r="D32" s="1422">
        <f>SUMIF('03_Eventos_pagamentos'!$E$11:$E$699,A32,'03_Eventos_pagamentos'!$O$11:$O$697)+SUMIF('03_Eventos_pagamentos'!$E$766:$E$836,A32,'03_Eventos_pagamentos'!$O$766:$O$836)</f>
        <v/>
      </c>
      <c r="E32" s="523">
        <f>COUNTIF('03_Eventos_pagamentos'!$E$702:$E$763,'04_TOTALIZADORA (3)'!A32)</f>
        <v/>
      </c>
      <c r="F32" s="1485">
        <f>SUMIF('03_Eventos_pagamentos'!$E$702:$E$763,A32,'03_Eventos_pagamentos'!$O$702:$O$763)</f>
        <v/>
      </c>
      <c r="G32" s="1432">
        <f>D32+F32</f>
        <v/>
      </c>
      <c r="H32" s="1486">
        <f>D32+F32+H31</f>
        <v/>
      </c>
      <c r="I32" s="1481">
        <f>G32-S32</f>
        <v/>
      </c>
      <c r="J32" s="1481">
        <f>H32-T32</f>
        <v/>
      </c>
      <c r="K32" s="1448">
        <f>D32+F32-S32</f>
        <v/>
      </c>
      <c r="L32" s="1448">
        <f>K32*0.15</f>
        <v/>
      </c>
      <c r="M32" s="1448">
        <f>K32-L32</f>
        <v/>
      </c>
      <c r="N32" s="1448">
        <f>M32+S32</f>
        <v/>
      </c>
      <c r="O32" s="1452">
        <f>I32-R32</f>
        <v/>
      </c>
      <c r="P32" s="1422">
        <f>SUMIF('03_Eventos_pagamentos'!$P$11:$P$843,A33,'03_Eventos_pagamentos'!$Q$11:$Q$843)</f>
        <v/>
      </c>
      <c r="Q32" s="1487" t="n">
        <v>100000</v>
      </c>
      <c r="R32" s="1432">
        <f>P32+Q32</f>
        <v/>
      </c>
      <c r="S32" s="1488">
        <f>SUMIFS( '03_Eventos_pagamentos'!$O$11:$O$843,'03_Eventos_pagamentos'!$E$11:$E$843,A32,'03_Eventos_pagamentos'!$I$11:$I$843,"FAT. DIRETO")</f>
        <v/>
      </c>
      <c r="T32" s="1488">
        <f>S32+T31</f>
        <v/>
      </c>
      <c r="U32" s="1488">
        <f>P32+S32+U31</f>
        <v/>
      </c>
      <c r="V32" s="1431">
        <f>0.85*213547.66</f>
        <v/>
      </c>
      <c r="W32" s="1431">
        <f>V32+W31</f>
        <v/>
      </c>
      <c r="X32" s="1431" t="n">
        <v>900062.6800000001</v>
      </c>
      <c r="Y32" s="1431">
        <f>Y31+X32</f>
        <v/>
      </c>
      <c r="Z32" s="1433" t="n"/>
      <c r="AA32" s="1434" t="n"/>
      <c r="AB32" s="1434" t="n"/>
      <c r="AC32" s="1434" t="n"/>
      <c r="AD32" s="1434" t="n"/>
      <c r="AE32" s="1435" t="n"/>
    </row>
    <row r="33">
      <c r="A33" s="758" t="n">
        <v>20</v>
      </c>
      <c r="B33" s="761" t="n">
        <v>46054</v>
      </c>
      <c r="C33" s="523">
        <f>SUM(COUNTIF('03_Eventos_pagamentos'!$E$11:$E$697,'04_TOTALIZADORA (3)'!A33)+COUNTIF('03_Eventos_pagamentos'!$E$766:$E$836,'04_TOTALIZADORA (3)'!A33))</f>
        <v/>
      </c>
      <c r="D33" s="1422">
        <f>SUMIF('03_Eventos_pagamentos'!$E$11:$E$699,A33,'03_Eventos_pagamentos'!$O$11:$O$697)+SUMIF('03_Eventos_pagamentos'!$E$766:$E$836,A33,'03_Eventos_pagamentos'!$O$766:$O$836)</f>
        <v/>
      </c>
      <c r="E33" s="523">
        <f>COUNTIF('03_Eventos_pagamentos'!$E$702:$E$763,'04_TOTALIZADORA (3)'!A33)</f>
        <v/>
      </c>
      <c r="F33" s="1485">
        <f>SUMIF('03_Eventos_pagamentos'!$E$702:$E$763,A33,'03_Eventos_pagamentos'!$O$702:$O$763)</f>
        <v/>
      </c>
      <c r="G33" s="1432">
        <f>D33+F33</f>
        <v/>
      </c>
      <c r="H33" s="1486">
        <f>D33+F33+H32</f>
        <v/>
      </c>
      <c r="I33" s="1481">
        <f>G33-S33</f>
        <v/>
      </c>
      <c r="J33" s="1481">
        <f>H33-T33</f>
        <v/>
      </c>
      <c r="K33" s="1448">
        <f>D33+F33-S33</f>
        <v/>
      </c>
      <c r="L33" s="1448">
        <f>K33*0.15</f>
        <v/>
      </c>
      <c r="M33" s="1448">
        <f>K33-L33</f>
        <v/>
      </c>
      <c r="N33" s="1448">
        <f>M33+S33</f>
        <v/>
      </c>
      <c r="O33" s="1452">
        <f>I33-R33</f>
        <v/>
      </c>
      <c r="P33" s="1422">
        <f>SUMIF('03_Eventos_pagamentos'!$P$11:$P$843,A34,'03_Eventos_pagamentos'!$Q$11:$Q$843)</f>
        <v/>
      </c>
      <c r="Q33" s="1487" t="n">
        <v>100000</v>
      </c>
      <c r="R33" s="1432">
        <f>P33+Q33</f>
        <v/>
      </c>
      <c r="S33" s="1488">
        <f>SUMIFS( '03_Eventos_pagamentos'!$O$11:$O$843,'03_Eventos_pagamentos'!$E$11:$E$843,A33,'03_Eventos_pagamentos'!$I$11:$I$843,"FAT. DIRETO")</f>
        <v/>
      </c>
      <c r="T33" s="1488">
        <f>S33+T32</f>
        <v/>
      </c>
      <c r="U33" s="1488">
        <f>P33+S33+U32</f>
        <v/>
      </c>
      <c r="V33" s="1431" t="n"/>
      <c r="W33" s="1431">
        <f>V33+W32</f>
        <v/>
      </c>
      <c r="X33" s="1431" t="n">
        <v>623444.52</v>
      </c>
      <c r="Y33" s="1431">
        <f>Y32+X33</f>
        <v/>
      </c>
      <c r="Z33" s="1433" t="n"/>
      <c r="AA33" s="1434" t="n"/>
      <c r="AB33" s="1434" t="n"/>
      <c r="AC33" s="1434" t="n"/>
      <c r="AD33" s="1434" t="n"/>
      <c r="AE33" s="1435" t="n"/>
    </row>
    <row r="34">
      <c r="A34" s="758" t="n">
        <v>21</v>
      </c>
      <c r="B34" s="761" t="n">
        <v>46082</v>
      </c>
      <c r="C34" s="523">
        <f>SUM(COUNTIF('03_Eventos_pagamentos'!$E$11:$E$697,'04_TOTALIZADORA (3)'!A34)+COUNTIF('03_Eventos_pagamentos'!$E$766:$E$836,'04_TOTALIZADORA (3)'!A34))</f>
        <v/>
      </c>
      <c r="D34" s="1422">
        <f>SUMIF('03_Eventos_pagamentos'!$E$11:$E$699,A34,'03_Eventos_pagamentos'!$O$11:$O$697)+SUMIF('03_Eventos_pagamentos'!$E$766:$E$836,A34,'03_Eventos_pagamentos'!$O$766:$O$836)</f>
        <v/>
      </c>
      <c r="E34" s="523">
        <f>COUNTIF('03_Eventos_pagamentos'!$E$702:$E$763,'04_TOTALIZADORA (3)'!A34)</f>
        <v/>
      </c>
      <c r="F34" s="1485">
        <f>SUMIF('03_Eventos_pagamentos'!$E$702:$E$763,A34,'03_Eventos_pagamentos'!$O$702:$O$763)</f>
        <v/>
      </c>
      <c r="G34" s="1432">
        <f>D34+F34</f>
        <v/>
      </c>
      <c r="H34" s="1486">
        <f>D34+F34+H33</f>
        <v/>
      </c>
      <c r="I34" s="1481">
        <f>G34-S34</f>
        <v/>
      </c>
      <c r="J34" s="1481">
        <f>H34-T34</f>
        <v/>
      </c>
      <c r="K34" s="1448">
        <f>D34+F34-S34</f>
        <v/>
      </c>
      <c r="L34" s="1448">
        <f>K34*0.15</f>
        <v/>
      </c>
      <c r="M34" s="1448">
        <f>K34-L34</f>
        <v/>
      </c>
      <c r="N34" s="1448">
        <f>M34+S34</f>
        <v/>
      </c>
      <c r="O34" s="1452">
        <f>I34-R34</f>
        <v/>
      </c>
      <c r="P34" s="1422">
        <f>SUMIF('03_Eventos_pagamentos'!$P$11:$P$843,A35,'03_Eventos_pagamentos'!$Q$11:$Q$843)</f>
        <v/>
      </c>
      <c r="Q34" s="1487" t="n">
        <v>100000</v>
      </c>
      <c r="R34" s="1432">
        <f>P34+Q34</f>
        <v/>
      </c>
      <c r="S34" s="1488">
        <f>SUMIFS( '03_Eventos_pagamentos'!$O$11:$O$843,'03_Eventos_pagamentos'!$E$11:$E$843,A34,'03_Eventos_pagamentos'!$I$11:$I$843,"FAT. DIRETO")</f>
        <v/>
      </c>
      <c r="T34" s="1488">
        <f>S34+T33</f>
        <v/>
      </c>
      <c r="U34" s="1488">
        <f>P34+S34+U33</f>
        <v/>
      </c>
      <c r="V34" s="1431" t="n"/>
      <c r="W34" s="1431">
        <f>V34+W33</f>
        <v/>
      </c>
      <c r="X34" s="1431" t="n">
        <v>628101.5</v>
      </c>
      <c r="Y34" s="1431">
        <f>Y33+X34</f>
        <v/>
      </c>
      <c r="Z34" s="1433" t="n"/>
      <c r="AA34" s="1434" t="n"/>
      <c r="AB34" s="1434" t="n"/>
      <c r="AC34" s="1434" t="n"/>
      <c r="AD34" s="1434" t="n"/>
      <c r="AE34" s="1435" t="n"/>
    </row>
    <row r="35">
      <c r="A35" s="758" t="n">
        <v>22</v>
      </c>
      <c r="B35" s="761" t="n">
        <v>46113</v>
      </c>
      <c r="C35" s="523">
        <f>SUM(COUNTIF('03_Eventos_pagamentos'!$E$11:$E$697,'04_TOTALIZADORA (3)'!A35)+COUNTIF('03_Eventos_pagamentos'!$E$766:$E$836,'04_TOTALIZADORA (3)'!A35))</f>
        <v/>
      </c>
      <c r="D35" s="1422">
        <f>SUMIF('03_Eventos_pagamentos'!$E$11:$E$699,A35,'03_Eventos_pagamentos'!$O$11:$O$697)+SUMIF('03_Eventos_pagamentos'!$E$766:$E$836,A35,'03_Eventos_pagamentos'!$O$766:$O$836)</f>
        <v/>
      </c>
      <c r="E35" s="523">
        <f>COUNTIF('03_Eventos_pagamentos'!$E$702:$E$763,'04_TOTALIZADORA (3)'!A35)</f>
        <v/>
      </c>
      <c r="F35" s="1485">
        <f>SUMIF('03_Eventos_pagamentos'!$E$702:$E$763,A35,'03_Eventos_pagamentos'!$O$702:$O$763)</f>
        <v/>
      </c>
      <c r="G35" s="1432">
        <f>D35+F35</f>
        <v/>
      </c>
      <c r="H35" s="1486">
        <f>D35+F35+H34</f>
        <v/>
      </c>
      <c r="I35" s="1481">
        <f>G35-S35</f>
        <v/>
      </c>
      <c r="J35" s="1481">
        <f>H35-T35</f>
        <v/>
      </c>
      <c r="K35" s="1448">
        <f>D35+F35-S35</f>
        <v/>
      </c>
      <c r="L35" s="1448">
        <f>K35*0.15</f>
        <v/>
      </c>
      <c r="M35" s="1448">
        <f>K35-L35</f>
        <v/>
      </c>
      <c r="N35" s="1448">
        <f>M35+S35</f>
        <v/>
      </c>
      <c r="O35" s="1452">
        <f>I35-R35</f>
        <v/>
      </c>
      <c r="P35" s="1422">
        <f>SUMIF('03_Eventos_pagamentos'!$P$11:$P$843,A36,'03_Eventos_pagamentos'!$Q$11:$Q$843)</f>
        <v/>
      </c>
      <c r="Q35" s="1487" t="n">
        <v>100000</v>
      </c>
      <c r="R35" s="1432">
        <f>P35+Q35</f>
        <v/>
      </c>
      <c r="S35" s="1488">
        <f>SUMIFS( '03_Eventos_pagamentos'!$O$11:$O$843,'03_Eventos_pagamentos'!$E$11:$E$843,A35,'03_Eventos_pagamentos'!$I$11:$I$843,"FAT. DIRETO")</f>
        <v/>
      </c>
      <c r="T35" s="1488">
        <f>S35+T34</f>
        <v/>
      </c>
      <c r="U35" s="1488">
        <f>P35+S35+U34</f>
        <v/>
      </c>
      <c r="V35" s="1431" t="n"/>
      <c r="W35" s="1431">
        <f>V35+W34</f>
        <v/>
      </c>
      <c r="X35" s="1431" t="n">
        <v>899398.5</v>
      </c>
      <c r="Y35" s="1431">
        <f>Y34+X35</f>
        <v/>
      </c>
      <c r="Z35" s="1433" t="n"/>
      <c r="AA35" s="1434" t="n"/>
      <c r="AB35" s="1434" t="n"/>
      <c r="AC35" s="1434" t="n"/>
      <c r="AD35" s="1434" t="n"/>
      <c r="AE35" s="1435" t="n"/>
    </row>
    <row r="36">
      <c r="A36" s="758" t="n">
        <v>23</v>
      </c>
      <c r="B36" s="761" t="n">
        <v>46143</v>
      </c>
      <c r="C36" s="523">
        <f>SUM(COUNTIF('03_Eventos_pagamentos'!$E$11:$E$697,'04_TOTALIZADORA (3)'!A36)+COUNTIF('03_Eventos_pagamentos'!$E$766:$E$836,'04_TOTALIZADORA (3)'!A36))</f>
        <v/>
      </c>
      <c r="D36" s="1422">
        <f>SUMIF('03_Eventos_pagamentos'!$E$11:$E$699,A36,'03_Eventos_pagamentos'!$O$11:$O$697)+SUMIF('03_Eventos_pagamentos'!$E$766:$E$836,A36,'03_Eventos_pagamentos'!$O$766:$O$836)</f>
        <v/>
      </c>
      <c r="E36" s="523">
        <f>COUNTIF('03_Eventos_pagamentos'!$E$702:$E$763,'04_TOTALIZADORA (3)'!A36)</f>
        <v/>
      </c>
      <c r="F36" s="1485">
        <f>SUMIF('03_Eventos_pagamentos'!$E$702:$E$763,A36,'03_Eventos_pagamentos'!$O$702:$O$763)</f>
        <v/>
      </c>
      <c r="G36" s="1432">
        <f>D36+F36</f>
        <v/>
      </c>
      <c r="H36" s="1486">
        <f>D36+F36+H35</f>
        <v/>
      </c>
      <c r="I36" s="1481">
        <f>G36-S36</f>
        <v/>
      </c>
      <c r="J36" s="1481">
        <f>H36-T36</f>
        <v/>
      </c>
      <c r="K36" s="1448">
        <f>D36+F36-S36</f>
        <v/>
      </c>
      <c r="L36" s="1448">
        <f>K36*0.15</f>
        <v/>
      </c>
      <c r="M36" s="1448">
        <f>K36-L36</f>
        <v/>
      </c>
      <c r="N36" s="1448">
        <f>M36+S36</f>
        <v/>
      </c>
      <c r="O36" s="1452">
        <f>I36-R36</f>
        <v/>
      </c>
      <c r="P36" s="1422">
        <f>SUMIF('03_Eventos_pagamentos'!$P$11:$P$843,A37,'03_Eventos_pagamentos'!$Q$11:$Q$843)</f>
        <v/>
      </c>
      <c r="Q36" s="1487" t="n">
        <v>100000</v>
      </c>
      <c r="R36" s="1432">
        <f>P36+Q36</f>
        <v/>
      </c>
      <c r="S36" s="1488">
        <f>SUMIFS( '03_Eventos_pagamentos'!$O$11:$O$843,'03_Eventos_pagamentos'!$E$11:$E$843,A36,'03_Eventos_pagamentos'!$I$11:$I$843,"FAT. DIRETO")</f>
        <v/>
      </c>
      <c r="T36" s="1488">
        <f>S36+T35</f>
        <v/>
      </c>
      <c r="U36" s="1488">
        <f>P36+S36+U35</f>
        <v/>
      </c>
      <c r="V36" s="1431" t="n"/>
      <c r="W36" s="1431">
        <f>V36+W35</f>
        <v/>
      </c>
      <c r="X36" s="1431" t="n">
        <v>849378.1800000001</v>
      </c>
      <c r="Y36" s="1431">
        <f>Y35+X36</f>
        <v/>
      </c>
      <c r="Z36" s="1433" t="n"/>
      <c r="AA36" s="1434" t="n"/>
      <c r="AB36" s="1434" t="n"/>
      <c r="AC36" s="1434" t="n"/>
      <c r="AD36" s="1434" t="n"/>
      <c r="AE36" s="1435" t="n"/>
    </row>
    <row r="37">
      <c r="A37" s="758" t="n">
        <v>24</v>
      </c>
      <c r="B37" s="761" t="n">
        <v>46174</v>
      </c>
      <c r="C37" s="523">
        <f>SUM(COUNTIF('03_Eventos_pagamentos'!$E$11:$E$697,'04_TOTALIZADORA (3)'!A37)+COUNTIF('03_Eventos_pagamentos'!$E$766:$E$836,'04_TOTALIZADORA (3)'!A37))</f>
        <v/>
      </c>
      <c r="D37" s="1422">
        <f>SUMIF('03_Eventos_pagamentos'!$E$11:$E$699,A37,'03_Eventos_pagamentos'!$O$11:$O$697)+SUMIF('03_Eventos_pagamentos'!$E$766:$E$836,A37,'03_Eventos_pagamentos'!$O$766:$O$836)</f>
        <v/>
      </c>
      <c r="E37" s="523">
        <f>COUNTIF('03_Eventos_pagamentos'!$E$702:$E$763,'04_TOTALIZADORA (3)'!A37)</f>
        <v/>
      </c>
      <c r="F37" s="1485">
        <f>SUMIF('03_Eventos_pagamentos'!$E$702:$E$763,A37,'03_Eventos_pagamentos'!$O$702:$O$763)</f>
        <v/>
      </c>
      <c r="G37" s="1432">
        <f>D37+F37</f>
        <v/>
      </c>
      <c r="H37" s="1486">
        <f>D37+F37+H36</f>
        <v/>
      </c>
      <c r="I37" s="1481">
        <f>G37-S37</f>
        <v/>
      </c>
      <c r="J37" s="1481">
        <f>H37-T37</f>
        <v/>
      </c>
      <c r="K37" s="1448">
        <f>D37+F37-S37</f>
        <v/>
      </c>
      <c r="L37" s="1448">
        <f>K37*0.15</f>
        <v/>
      </c>
      <c r="M37" s="1448">
        <f>K37-L37</f>
        <v/>
      </c>
      <c r="N37" s="1448">
        <f>M37+S37</f>
        <v/>
      </c>
      <c r="O37" s="1452">
        <f>I37-R37</f>
        <v/>
      </c>
      <c r="P37" s="1422">
        <f>SUMIF('03_Eventos_pagamentos'!$P$11:$P$843,A38,'03_Eventos_pagamentos'!$Q$11:$Q$843)</f>
        <v/>
      </c>
      <c r="Q37" s="1487" t="n">
        <v>100000</v>
      </c>
      <c r="R37" s="1432">
        <f>P37+Q37</f>
        <v/>
      </c>
      <c r="S37" s="1488">
        <f>SUMIFS( '03_Eventos_pagamentos'!$O$11:$O$843,'03_Eventos_pagamentos'!$E$11:$E$843,A37,'03_Eventos_pagamentos'!$I$11:$I$843,"FAT. DIRETO")</f>
        <v/>
      </c>
      <c r="T37" s="1488">
        <f>S37+T36</f>
        <v/>
      </c>
      <c r="U37" s="1488">
        <f>P37+S37+U36</f>
        <v/>
      </c>
      <c r="V37" s="1431" t="n"/>
      <c r="W37" s="1431">
        <f>V37+W36</f>
        <v/>
      </c>
      <c r="X37" s="1431" t="n">
        <v>186000</v>
      </c>
      <c r="Y37" s="1431">
        <f>Y36+X37</f>
        <v/>
      </c>
      <c r="Z37" s="1433" t="n"/>
      <c r="AA37" s="1434" t="n"/>
      <c r="AB37" s="1434" t="n"/>
      <c r="AC37" s="1434" t="n"/>
      <c r="AD37" s="1434" t="n"/>
      <c r="AE37" s="1435" t="n"/>
    </row>
    <row r="38">
      <c r="A38" s="758" t="n">
        <v>25</v>
      </c>
      <c r="B38" s="761" t="n">
        <v>46204</v>
      </c>
      <c r="C38" s="523">
        <f>SUM(COUNTIF('03_Eventos_pagamentos'!$E$11:$E$697,'04_TOTALIZADORA (3)'!A38)+COUNTIF('03_Eventos_pagamentos'!$E$766:$E$836,'04_TOTALIZADORA (3)'!A38))</f>
        <v/>
      </c>
      <c r="D38" s="1422">
        <f>SUMIF('03_Eventos_pagamentos'!$E$11:$E$699,A38,'03_Eventos_pagamentos'!$O$11:$O$697)+SUMIF('03_Eventos_pagamentos'!$E$766:$E$836,A38,'03_Eventos_pagamentos'!$O$766:$O$836)</f>
        <v/>
      </c>
      <c r="E38" s="523">
        <f>COUNTIF('03_Eventos_pagamentos'!$E$702:$E$763,'04_TOTALIZADORA (3)'!A38)</f>
        <v/>
      </c>
      <c r="F38" s="1485">
        <f>SUMIF('03_Eventos_pagamentos'!$E$702:$E$763,A38,'03_Eventos_pagamentos'!$O$702:$O$763)</f>
        <v/>
      </c>
      <c r="G38" s="1432">
        <f>D38+F38</f>
        <v/>
      </c>
      <c r="H38" s="1486">
        <f>D38+F38+H37</f>
        <v/>
      </c>
      <c r="I38" s="1481">
        <f>G38-S38</f>
        <v/>
      </c>
      <c r="J38" s="1481">
        <f>H38-T38</f>
        <v/>
      </c>
      <c r="K38" s="1448">
        <f>D38+F38-S38</f>
        <v/>
      </c>
      <c r="L38" s="1448">
        <f>K38*0.15</f>
        <v/>
      </c>
      <c r="M38" s="1448">
        <f>K38-L38</f>
        <v/>
      </c>
      <c r="N38" s="1448">
        <f>M38+S38</f>
        <v/>
      </c>
      <c r="O38" s="1452">
        <f>I38-R38</f>
        <v/>
      </c>
      <c r="P38" s="1422">
        <f>SUMIF('03_Eventos_pagamentos'!$P$11:$P$843,A39,'03_Eventos_pagamentos'!$Q$11:$Q$843)</f>
        <v/>
      </c>
      <c r="Q38" s="1487" t="n">
        <v>100000</v>
      </c>
      <c r="R38" s="1432">
        <f>P38+Q38</f>
        <v/>
      </c>
      <c r="S38" s="1488">
        <f>SUMIFS( '03_Eventos_pagamentos'!$O$11:$O$843,'03_Eventos_pagamentos'!$E$11:$E$843,A38,'03_Eventos_pagamentos'!$I$11:$I$843,"FAT. DIRETO")</f>
        <v/>
      </c>
      <c r="T38" s="1488">
        <f>S38+T37</f>
        <v/>
      </c>
      <c r="U38" s="1488">
        <f>P38+S38+U37</f>
        <v/>
      </c>
      <c r="V38" s="1431" t="n"/>
      <c r="W38" s="1431">
        <f>V38+W37</f>
        <v/>
      </c>
      <c r="X38" s="1431" t="n">
        <v>569901.22</v>
      </c>
      <c r="Y38" s="1431">
        <f>Y37+X38</f>
        <v/>
      </c>
      <c r="Z38" s="1433" t="n"/>
      <c r="AA38" s="1434" t="n"/>
      <c r="AB38" s="1434" t="n"/>
      <c r="AC38" s="1434" t="n"/>
      <c r="AD38" s="1434" t="n"/>
      <c r="AE38" s="1435" t="n"/>
    </row>
    <row r="39">
      <c r="A39" s="758" t="n">
        <v>26</v>
      </c>
      <c r="B39" s="761" t="n">
        <v>46235</v>
      </c>
      <c r="C39" s="523">
        <f>SUM(COUNTIF('03_Eventos_pagamentos'!$E$11:$E$697,'04_TOTALIZADORA (3)'!A39)+COUNTIF('03_Eventos_pagamentos'!$E$766:$E$836,'04_TOTALIZADORA (3)'!A39))</f>
        <v/>
      </c>
      <c r="D39" s="1422">
        <f>SUMIF('03_Eventos_pagamentos'!$E$11:$E$699,A39,'03_Eventos_pagamentos'!$O$11:$O$697)+SUMIF('03_Eventos_pagamentos'!$E$766:$E$836,A39,'03_Eventos_pagamentos'!$O$766:$O$836)</f>
        <v/>
      </c>
      <c r="E39" s="523">
        <f>COUNTIF('03_Eventos_pagamentos'!$E$702:$E$763,'04_TOTALIZADORA (3)'!A39)</f>
        <v/>
      </c>
      <c r="F39" s="1485">
        <f>SUMIF('03_Eventos_pagamentos'!$E$702:$E$763,A39,'03_Eventos_pagamentos'!$O$702:$O$763)</f>
        <v/>
      </c>
      <c r="G39" s="1432">
        <f>D39+F39</f>
        <v/>
      </c>
      <c r="H39" s="1486">
        <f>D39+F39+H38</f>
        <v/>
      </c>
      <c r="I39" s="1481">
        <f>G39-S39</f>
        <v/>
      </c>
      <c r="J39" s="1481">
        <f>H39-T39</f>
        <v/>
      </c>
      <c r="K39" s="1448">
        <f>D39+F39-S39</f>
        <v/>
      </c>
      <c r="L39" s="1448">
        <f>K39*0.15</f>
        <v/>
      </c>
      <c r="M39" s="1448">
        <f>K39-L39</f>
        <v/>
      </c>
      <c r="N39" s="1448">
        <f>M39+S39</f>
        <v/>
      </c>
      <c r="O39" s="1452">
        <f>I39-R39</f>
        <v/>
      </c>
      <c r="P39" s="1422">
        <f>SUMIF('03_Eventos_pagamentos'!$P$11:$P$843,A40,'03_Eventos_pagamentos'!$Q$11:$Q$843)</f>
        <v/>
      </c>
      <c r="Q39" s="1487" t="n">
        <v>100000</v>
      </c>
      <c r="R39" s="1432">
        <f>P39+Q39</f>
        <v/>
      </c>
      <c r="S39" s="1488">
        <f>SUMIFS( '03_Eventos_pagamentos'!$O$11:$O$843,'03_Eventos_pagamentos'!$E$11:$E$843,A39,'03_Eventos_pagamentos'!$I$11:$I$843,"FAT. DIRETO")</f>
        <v/>
      </c>
      <c r="T39" s="1488">
        <f>S39+T38</f>
        <v/>
      </c>
      <c r="U39" s="1488">
        <f>P39+S39+U38</f>
        <v/>
      </c>
      <c r="V39" s="1431" t="n"/>
      <c r="W39" s="1431">
        <f>V39+W38</f>
        <v/>
      </c>
      <c r="X39" s="1431" t="n"/>
      <c r="Y39" s="1431">
        <f>Y38+X39</f>
        <v/>
      </c>
      <c r="Z39" s="1433" t="n"/>
      <c r="AA39" s="1434" t="n"/>
      <c r="AB39" s="1434" t="n"/>
      <c r="AC39" s="1434" t="n"/>
      <c r="AD39" s="1434" t="n"/>
      <c r="AE39" s="1435" t="n"/>
    </row>
    <row r="40">
      <c r="A40" s="758" t="n">
        <v>27</v>
      </c>
      <c r="B40" s="761" t="n">
        <v>46266</v>
      </c>
      <c r="C40" s="523">
        <f>SUM(COUNTIF('03_Eventos_pagamentos'!$E$11:$E$697,'04_TOTALIZADORA (3)'!A40)+COUNTIF('03_Eventos_pagamentos'!$E$766:$E$836,'04_TOTALIZADORA (3)'!A40))</f>
        <v/>
      </c>
      <c r="D40" s="1422">
        <f>SUMIF('03_Eventos_pagamentos'!$E$11:$E$699,A40,'03_Eventos_pagamentos'!$O$11:$O$697)+SUMIF('03_Eventos_pagamentos'!$E$766:$E$836,A40,'03_Eventos_pagamentos'!$O$766:$O$836)</f>
        <v/>
      </c>
      <c r="E40" s="523">
        <f>COUNTIF('03_Eventos_pagamentos'!$E$702:$E$763,'04_TOTALIZADORA (3)'!A40)</f>
        <v/>
      </c>
      <c r="F40" s="1485">
        <f>SUMIF('03_Eventos_pagamentos'!$E$702:$E$763,A40,'03_Eventos_pagamentos'!$O$702:$O$763)</f>
        <v/>
      </c>
      <c r="G40" s="1432">
        <f>D40+F40</f>
        <v/>
      </c>
      <c r="H40" s="1486">
        <f>D40+F40+H39</f>
        <v/>
      </c>
      <c r="I40" s="1481">
        <f>G40-S40</f>
        <v/>
      </c>
      <c r="J40" s="1481">
        <f>H40-T40</f>
        <v/>
      </c>
      <c r="K40" s="1448">
        <f>D40+F40-S40</f>
        <v/>
      </c>
      <c r="L40" s="1448">
        <f>K40*0.15</f>
        <v/>
      </c>
      <c r="M40" s="1448">
        <f>K40-L40</f>
        <v/>
      </c>
      <c r="N40" s="1448">
        <f>M40+S40</f>
        <v/>
      </c>
      <c r="O40" s="1452">
        <f>I40-R40</f>
        <v/>
      </c>
      <c r="P40" s="1422">
        <f>SUMIF('03_Eventos_pagamentos'!$P$11:$P$843,A41,'03_Eventos_pagamentos'!$Q$11:$Q$843)</f>
        <v/>
      </c>
      <c r="Q40" s="1487" t="n">
        <v>100000</v>
      </c>
      <c r="R40" s="1432">
        <f>P40+Q40</f>
        <v/>
      </c>
      <c r="S40" s="1488">
        <f>SUMIFS( '03_Eventos_pagamentos'!$O$11:$O$843,'03_Eventos_pagamentos'!$E$11:$E$843,A40,'03_Eventos_pagamentos'!$I$11:$I$843,"FAT. DIRETO")</f>
        <v/>
      </c>
      <c r="T40" s="1488">
        <f>S40+T39</f>
        <v/>
      </c>
      <c r="U40" s="1488">
        <f>P40+S40+U39</f>
        <v/>
      </c>
      <c r="V40" s="1431" t="n"/>
      <c r="W40" s="1431">
        <f>V40+W39</f>
        <v/>
      </c>
      <c r="X40" s="1431" t="n"/>
      <c r="Y40" s="1431">
        <f>Y39+X40</f>
        <v/>
      </c>
      <c r="Z40" s="1433" t="n"/>
      <c r="AA40" s="1434" t="n"/>
      <c r="AB40" s="1434" t="n"/>
      <c r="AC40" s="1434" t="n"/>
      <c r="AD40" s="1434" t="n"/>
      <c r="AE40" s="1435" t="n"/>
    </row>
    <row r="41">
      <c r="A41" s="758" t="n">
        <v>28</v>
      </c>
      <c r="B41" s="761" t="n">
        <v>46296</v>
      </c>
      <c r="C41" s="523">
        <f>SUM(COUNTIF('03_Eventos_pagamentos'!$E$11:$E$697,'04_TOTALIZADORA (3)'!A41)+COUNTIF('03_Eventos_pagamentos'!$E$766:$E$836,'04_TOTALIZADORA (3)'!A41))</f>
        <v/>
      </c>
      <c r="D41" s="1422">
        <f>SUMIF('03_Eventos_pagamentos'!$E$11:$E$699,A41,'03_Eventos_pagamentos'!$O$11:$O$697)+SUMIF('03_Eventos_pagamentos'!$E$766:$E$836,A41,'03_Eventos_pagamentos'!$O$766:$O$836)</f>
        <v/>
      </c>
      <c r="E41" s="523">
        <f>COUNTIF('03_Eventos_pagamentos'!$E$702:$E$763,'04_TOTALIZADORA (3)'!A41)</f>
        <v/>
      </c>
      <c r="F41" s="1485">
        <f>SUMIF('03_Eventos_pagamentos'!$E$702:$E$763,A41,'03_Eventos_pagamentos'!$O$702:$O$763)</f>
        <v/>
      </c>
      <c r="G41" s="1432">
        <f>D41+F41</f>
        <v/>
      </c>
      <c r="H41" s="1486">
        <f>D41+F41+H40</f>
        <v/>
      </c>
      <c r="I41" s="1481">
        <f>G41-S41</f>
        <v/>
      </c>
      <c r="J41" s="1481">
        <f>H41-T41</f>
        <v/>
      </c>
      <c r="K41" s="1448">
        <f>D41+F41-S41</f>
        <v/>
      </c>
      <c r="L41" s="1448">
        <f>K41*0.15</f>
        <v/>
      </c>
      <c r="M41" s="1448">
        <f>K41-L41</f>
        <v/>
      </c>
      <c r="N41" s="1448">
        <f>M41+S41</f>
        <v/>
      </c>
      <c r="O41" s="1452">
        <f>I41-R41</f>
        <v/>
      </c>
      <c r="P41" s="1422">
        <f>SUMIF('03_Eventos_pagamentos'!$P$11:$P$843,A42,'03_Eventos_pagamentos'!$Q$11:$Q$843)</f>
        <v/>
      </c>
      <c r="Q41" s="1487" t="n">
        <v>100000</v>
      </c>
      <c r="R41" s="1432">
        <f>P41+Q41</f>
        <v/>
      </c>
      <c r="S41" s="1488">
        <f>SUMIFS( '03_Eventos_pagamentos'!$O$11:$O$843,'03_Eventos_pagamentos'!$E$11:$E$843,A41,'03_Eventos_pagamentos'!$I$11:$I$843,"FAT. DIRETO")</f>
        <v/>
      </c>
      <c r="T41" s="1488">
        <f>S41+T40</f>
        <v/>
      </c>
      <c r="U41" s="1488">
        <f>P41+S41+U40</f>
        <v/>
      </c>
      <c r="V41" s="1431" t="n"/>
      <c r="W41" s="1431">
        <f>V41+W40</f>
        <v/>
      </c>
      <c r="X41" s="1431" t="n"/>
      <c r="Y41" s="1431">
        <f>Y40+X41</f>
        <v/>
      </c>
      <c r="Z41" s="1433" t="n"/>
      <c r="AA41" s="1434" t="n"/>
      <c r="AB41" s="1434" t="n"/>
      <c r="AC41" s="1434" t="n"/>
      <c r="AD41" s="1434" t="n"/>
      <c r="AE41" s="1435" t="n"/>
    </row>
    <row r="42">
      <c r="A42" s="758" t="n">
        <v>29</v>
      </c>
      <c r="B42" s="761" t="n">
        <v>46327</v>
      </c>
      <c r="C42" s="523">
        <f>SUM(COUNTIF('03_Eventos_pagamentos'!$E$11:$E$697,'04_TOTALIZADORA (3)'!A42)+COUNTIF('03_Eventos_pagamentos'!$E$766:$E$836,'04_TOTALIZADORA (3)'!A42))</f>
        <v/>
      </c>
      <c r="D42" s="1422">
        <f>SUMIF('03_Eventos_pagamentos'!$E$11:$E$699,A42,'03_Eventos_pagamentos'!$O$11:$O$697)+SUMIF('03_Eventos_pagamentos'!$E$766:$E$836,A42,'03_Eventos_pagamentos'!$O$766:$O$836)</f>
        <v/>
      </c>
      <c r="E42" s="523">
        <f>COUNTIF('03_Eventos_pagamentos'!$E$702:$E$763,'04_TOTALIZADORA (3)'!A42)</f>
        <v/>
      </c>
      <c r="F42" s="1485">
        <f>SUMIF('03_Eventos_pagamentos'!$E$702:$E$763,A42,'03_Eventos_pagamentos'!$O$702:$O$763)</f>
        <v/>
      </c>
      <c r="G42" s="1432">
        <f>D42+F42</f>
        <v/>
      </c>
      <c r="H42" s="1486">
        <f>D42+F42+H41</f>
        <v/>
      </c>
      <c r="I42" s="1481">
        <f>G42-S42</f>
        <v/>
      </c>
      <c r="J42" s="1481">
        <f>H42-T42</f>
        <v/>
      </c>
      <c r="K42" s="1448">
        <f>D42+F42-S42</f>
        <v/>
      </c>
      <c r="L42" s="1448">
        <f>K42*0.15</f>
        <v/>
      </c>
      <c r="M42" s="1448">
        <f>K42-L42</f>
        <v/>
      </c>
      <c r="N42" s="1448">
        <f>M42+S42</f>
        <v/>
      </c>
      <c r="O42" s="1452">
        <f>I42-R42</f>
        <v/>
      </c>
      <c r="P42" s="1422">
        <f>SUMIF('03_Eventos_pagamentos'!$P$11:$P$843,A43,'03_Eventos_pagamentos'!$Q$11:$Q$843)</f>
        <v/>
      </c>
      <c r="Q42" s="1487" t="n">
        <v>100000</v>
      </c>
      <c r="R42" s="1432">
        <f>P42+Q42</f>
        <v/>
      </c>
      <c r="S42" s="1488">
        <f>SUMIFS( '03_Eventos_pagamentos'!$O$11:$O$843,'03_Eventos_pagamentos'!$E$11:$E$843,A42,'03_Eventos_pagamentos'!$I$11:$I$843,"FAT. DIRETO")</f>
        <v/>
      </c>
      <c r="T42" s="1488">
        <f>S42+T41</f>
        <v/>
      </c>
      <c r="U42" s="1488">
        <f>P42+S42+U41</f>
        <v/>
      </c>
      <c r="V42" s="1431" t="n"/>
      <c r="W42" s="1431">
        <f>V42+W41</f>
        <v/>
      </c>
      <c r="X42" s="1431" t="n"/>
      <c r="Y42" s="1431">
        <f>Y41+X42</f>
        <v/>
      </c>
      <c r="Z42" s="1433" t="n"/>
      <c r="AA42" s="1434" t="n"/>
      <c r="AB42" s="1434" t="n"/>
      <c r="AC42" s="1434" t="n"/>
      <c r="AD42" s="1434" t="n"/>
      <c r="AE42" s="1435" t="n"/>
    </row>
    <row r="43">
      <c r="A43" s="758" t="n">
        <v>30</v>
      </c>
      <c r="B43" s="761" t="n">
        <v>46357</v>
      </c>
      <c r="C43" s="523">
        <f>SUM(COUNTIF('03_Eventos_pagamentos'!$E$11:$E$697,'04_TOTALIZADORA (3)'!A43)+COUNTIF('03_Eventos_pagamentos'!$E$766:$E$836,'04_TOTALIZADORA (3)'!A43))</f>
        <v/>
      </c>
      <c r="D43" s="1422">
        <f>SUMIF('03_Eventos_pagamentos'!$E$11:$E$699,A43,'03_Eventos_pagamentos'!$O$11:$O$697)+SUMIF('03_Eventos_pagamentos'!$E$766:$E$836,A43,'03_Eventos_pagamentos'!$O$766:$O$836)</f>
        <v/>
      </c>
      <c r="E43" s="523">
        <f>COUNTIF('03_Eventos_pagamentos'!$E$702:$E$763,'04_TOTALIZADORA (3)'!A43)</f>
        <v/>
      </c>
      <c r="F43" s="1485">
        <f>SUMIF('03_Eventos_pagamentos'!$E$702:$E$763,A43,'03_Eventos_pagamentos'!$O$702:$O$763)</f>
        <v/>
      </c>
      <c r="G43" s="1432">
        <f>D43+F43</f>
        <v/>
      </c>
      <c r="H43" s="1486">
        <f>D43+F43+H42</f>
        <v/>
      </c>
      <c r="I43" s="1481">
        <f>G43-S43</f>
        <v/>
      </c>
      <c r="J43" s="1481">
        <f>H43-T43</f>
        <v/>
      </c>
      <c r="K43" s="1448">
        <f>D43+F43-S43</f>
        <v/>
      </c>
      <c r="L43" s="1448">
        <f>K43*0.15</f>
        <v/>
      </c>
      <c r="M43" s="1448">
        <f>K43-L43</f>
        <v/>
      </c>
      <c r="N43" s="1448">
        <f>M43+S43</f>
        <v/>
      </c>
      <c r="O43" s="1452">
        <f>I43-R43</f>
        <v/>
      </c>
      <c r="P43" s="1422">
        <f>SUMIF('03_Eventos_pagamentos'!$P$11:$P$843,A44,'03_Eventos_pagamentos'!$Q$11:$Q$843)</f>
        <v/>
      </c>
      <c r="Q43" s="1487" t="n">
        <v>100000</v>
      </c>
      <c r="R43" s="1432">
        <f>P43+Q43</f>
        <v/>
      </c>
      <c r="S43" s="1488">
        <f>SUMIFS( '03_Eventos_pagamentos'!$O$11:$O$843,'03_Eventos_pagamentos'!$E$11:$E$843,A43,'03_Eventos_pagamentos'!$I$11:$I$843,"FAT. DIRETO")</f>
        <v/>
      </c>
      <c r="T43" s="1488">
        <f>S43+T42</f>
        <v/>
      </c>
      <c r="U43" s="1488">
        <f>P43+S43+U42</f>
        <v/>
      </c>
      <c r="V43" s="1431" t="n"/>
      <c r="W43" s="1431">
        <f>V43+W42</f>
        <v/>
      </c>
      <c r="X43" s="1431" t="n"/>
      <c r="Y43" s="1431">
        <f>Y42+X43</f>
        <v/>
      </c>
      <c r="Z43" s="1433" t="n"/>
      <c r="AA43" s="1434" t="n"/>
      <c r="AB43" s="1434" t="n"/>
      <c r="AC43" s="1434" t="n"/>
      <c r="AD43" s="1434" t="n"/>
      <c r="AE43" s="1435" t="n"/>
    </row>
    <row r="44">
      <c r="A44" s="758" t="n">
        <v>31</v>
      </c>
      <c r="B44" s="761" t="n">
        <v>46388</v>
      </c>
      <c r="C44" s="523">
        <f>SUM(COUNTIF('03_Eventos_pagamentos'!$E$11:$E$697,'04_TOTALIZADORA (3)'!A44)+COUNTIF('03_Eventos_pagamentos'!$E$766:$E$836,'04_TOTALIZADORA (3)'!A44))</f>
        <v/>
      </c>
      <c r="D44" s="1422">
        <f>SUMIF('03_Eventos_pagamentos'!$E$11:$E$699,A44,'03_Eventos_pagamentos'!$O$11:$O$697)+SUMIF('03_Eventos_pagamentos'!$E$766:$E$836,A44,'03_Eventos_pagamentos'!$O$766:$O$836)</f>
        <v/>
      </c>
      <c r="E44" s="523">
        <f>COUNTIF('03_Eventos_pagamentos'!$E$702:$E$763,'04_TOTALIZADORA (3)'!A44)</f>
        <v/>
      </c>
      <c r="F44" s="1485">
        <f>SUMIF('03_Eventos_pagamentos'!$E$702:$E$763,A44,'03_Eventos_pagamentos'!$O$702:$O$763)</f>
        <v/>
      </c>
      <c r="G44" s="1432">
        <f>D44+F44</f>
        <v/>
      </c>
      <c r="H44" s="1486">
        <f>D44+F44+H43</f>
        <v/>
      </c>
      <c r="I44" s="1481">
        <f>G44-S44</f>
        <v/>
      </c>
      <c r="J44" s="1481">
        <f>H44-T44</f>
        <v/>
      </c>
      <c r="K44" s="1448">
        <f>D44+F44-S44</f>
        <v/>
      </c>
      <c r="L44" s="1448">
        <f>K44*0.15</f>
        <v/>
      </c>
      <c r="M44" s="1448">
        <f>K44-L44</f>
        <v/>
      </c>
      <c r="N44" s="1448">
        <f>M44+S44</f>
        <v/>
      </c>
      <c r="O44" s="1452">
        <f>I44-R44</f>
        <v/>
      </c>
      <c r="P44" s="1422">
        <f>SUMIF('03_Eventos_pagamentos'!$P$11:$P$843,A45,'03_Eventos_pagamentos'!$Q$11:$Q$843)</f>
        <v/>
      </c>
      <c r="Q44" s="1487" t="n">
        <v>100000</v>
      </c>
      <c r="R44" s="1432">
        <f>P44+Q44</f>
        <v/>
      </c>
      <c r="S44" s="1488">
        <f>SUMIFS( '03_Eventos_pagamentos'!$O$11:$O$843,'03_Eventos_pagamentos'!$E$11:$E$843,A44,'03_Eventos_pagamentos'!$I$11:$I$843,"FAT. DIRETO")</f>
        <v/>
      </c>
      <c r="T44" s="1488">
        <f>S44+T43</f>
        <v/>
      </c>
      <c r="U44" s="1488">
        <f>P44+S44+U43</f>
        <v/>
      </c>
      <c r="V44" s="1431" t="n"/>
      <c r="W44" s="1431">
        <f>V44+W43</f>
        <v/>
      </c>
      <c r="X44" s="1431" t="n"/>
      <c r="Y44" s="1431">
        <f>Y43+X44</f>
        <v/>
      </c>
      <c r="Z44" s="1433" t="n"/>
      <c r="AA44" s="1434" t="n"/>
      <c r="AB44" s="1434" t="n"/>
      <c r="AC44" s="1434" t="n"/>
      <c r="AD44" s="1434" t="n"/>
      <c r="AE44" s="1435" t="n"/>
    </row>
    <row r="45">
      <c r="A45" s="758" t="n">
        <v>32</v>
      </c>
      <c r="B45" s="761" t="n">
        <v>46419</v>
      </c>
      <c r="C45" s="523">
        <f>SUM(COUNTIF('03_Eventos_pagamentos'!$E$11:$E$697,'04_TOTALIZADORA (3)'!A45)+COUNTIF('03_Eventos_pagamentos'!$E$766:$E$836,'04_TOTALIZADORA (3)'!A45))</f>
        <v/>
      </c>
      <c r="D45" s="1422">
        <f>SUMIF('03_Eventos_pagamentos'!$E$11:$E$699,A45,'03_Eventos_pagamentos'!$O$11:$O$697)+SUMIF('03_Eventos_pagamentos'!$E$766:$E$836,A45,'03_Eventos_pagamentos'!$O$766:$O$836)</f>
        <v/>
      </c>
      <c r="E45" s="523">
        <f>COUNTIF('03_Eventos_pagamentos'!$E$702:$E$763,'04_TOTALIZADORA (3)'!A45)</f>
        <v/>
      </c>
      <c r="F45" s="1485">
        <f>SUMIF('03_Eventos_pagamentos'!$E$702:$E$763,A45,'03_Eventos_pagamentos'!$O$702:$O$763)</f>
        <v/>
      </c>
      <c r="G45" s="1432">
        <f>D45+F45</f>
        <v/>
      </c>
      <c r="H45" s="1486">
        <f>D45+F45+H44</f>
        <v/>
      </c>
      <c r="I45" s="1481">
        <f>G45-S45</f>
        <v/>
      </c>
      <c r="J45" s="1481">
        <f>H45-T45</f>
        <v/>
      </c>
      <c r="K45" s="1448">
        <f>D45+F45-S45</f>
        <v/>
      </c>
      <c r="L45" s="1448">
        <f>K45*0.15</f>
        <v/>
      </c>
      <c r="M45" s="1448">
        <f>K45-L45</f>
        <v/>
      </c>
      <c r="N45" s="1448">
        <f>M45+S45</f>
        <v/>
      </c>
      <c r="O45" s="1452">
        <f>I45-R45</f>
        <v/>
      </c>
      <c r="P45" s="1422">
        <f>SUMIF('03_Eventos_pagamentos'!$P$11:$P$843,A46,'03_Eventos_pagamentos'!$Q$11:$Q$843)</f>
        <v/>
      </c>
      <c r="Q45" s="1487" t="n">
        <v>100000</v>
      </c>
      <c r="R45" s="1432">
        <f>P45+Q45</f>
        <v/>
      </c>
      <c r="S45" s="1488">
        <f>SUMIFS( '03_Eventos_pagamentos'!$O$11:$O$843,'03_Eventos_pagamentos'!$E$11:$E$843,A45,'03_Eventos_pagamentos'!$I$11:$I$843,"FAT. DIRETO")</f>
        <v/>
      </c>
      <c r="T45" s="1488">
        <f>S45+T44</f>
        <v/>
      </c>
      <c r="U45" s="1488">
        <f>P45+S45+U44</f>
        <v/>
      </c>
      <c r="V45" s="1431" t="n"/>
      <c r="W45" s="1431">
        <f>V45+W44</f>
        <v/>
      </c>
      <c r="X45" s="1431" t="n">
        <v>113319.2</v>
      </c>
      <c r="Y45" s="1431">
        <f>Y44+X45</f>
        <v/>
      </c>
      <c r="Z45" s="1433" t="n"/>
      <c r="AA45" s="1434" t="n"/>
      <c r="AB45" s="1434" t="n"/>
      <c r="AC45" s="1434" t="n"/>
      <c r="AD45" s="1434" t="n"/>
      <c r="AE45" s="1435" t="n"/>
    </row>
    <row r="46">
      <c r="A46" s="758" t="n">
        <v>33</v>
      </c>
      <c r="B46" s="761" t="n">
        <v>46447</v>
      </c>
      <c r="C46" s="523">
        <f>SUM(COUNTIF('03_Eventos_pagamentos'!$E$11:$E$697,'04_TOTALIZADORA (3)'!A46)+COUNTIF('03_Eventos_pagamentos'!$E$766:$E$836,'04_TOTALIZADORA (3)'!A46))</f>
        <v/>
      </c>
      <c r="D46" s="1422">
        <f>SUMIF('03_Eventos_pagamentos'!$E$11:$E$699,A46,'03_Eventos_pagamentos'!$O$11:$O$697)+SUMIF('03_Eventos_pagamentos'!$E$766:$E$836,A46,'03_Eventos_pagamentos'!$O$766:$O$836)</f>
        <v/>
      </c>
      <c r="E46" s="523">
        <f>COUNTIF('03_Eventos_pagamentos'!$E$702:$E$763,'04_TOTALIZADORA (3)'!A46)</f>
        <v/>
      </c>
      <c r="F46" s="1485">
        <f>SUMIF('03_Eventos_pagamentos'!$E$702:$E$763,A46,'03_Eventos_pagamentos'!$O$702:$O$763)</f>
        <v/>
      </c>
      <c r="G46" s="1432">
        <f>D46+F46</f>
        <v/>
      </c>
      <c r="H46" s="1486">
        <f>D46+F46+H45</f>
        <v/>
      </c>
      <c r="I46" s="1481">
        <f>G46-S46</f>
        <v/>
      </c>
      <c r="J46" s="1481">
        <f>H46-T46</f>
        <v/>
      </c>
      <c r="K46" s="1448">
        <f>D46+F46-S46</f>
        <v/>
      </c>
      <c r="L46" s="1448">
        <f>K46*0.15</f>
        <v/>
      </c>
      <c r="M46" s="1448">
        <f>K46-L46</f>
        <v/>
      </c>
      <c r="N46" s="1448">
        <f>M46+S46</f>
        <v/>
      </c>
      <c r="O46" s="1452">
        <f>I46-R46</f>
        <v/>
      </c>
      <c r="P46" s="1422">
        <f>SUMIF('03_Eventos_pagamentos'!$P$11:$P$843,A47,'03_Eventos_pagamentos'!$Q$11:$Q$843)</f>
        <v/>
      </c>
      <c r="Q46" s="1487" t="n">
        <v>100000</v>
      </c>
      <c r="R46" s="1432">
        <f>P46+Q46</f>
        <v/>
      </c>
      <c r="S46" s="1488">
        <f>SUMIFS( '03_Eventos_pagamentos'!$O$11:$O$843,'03_Eventos_pagamentos'!$E$11:$E$843,A46,'03_Eventos_pagamentos'!$I$11:$I$843,"FAT. DIRETO")</f>
        <v/>
      </c>
      <c r="T46" s="1488">
        <f>S46+T45</f>
        <v/>
      </c>
      <c r="U46" s="1488">
        <f>P46+S46+U45</f>
        <v/>
      </c>
      <c r="V46" s="1431" t="n"/>
      <c r="W46" s="1431">
        <f>V46+W45</f>
        <v/>
      </c>
      <c r="X46" s="1431" t="n"/>
      <c r="Y46" s="1431">
        <f>Y45+X46</f>
        <v/>
      </c>
      <c r="Z46" s="1433" t="n"/>
      <c r="AA46" s="1434" t="n"/>
      <c r="AB46" s="1434" t="n"/>
      <c r="AC46" s="1434" t="n"/>
      <c r="AD46" s="1434" t="n"/>
      <c r="AE46" s="1435" t="n"/>
    </row>
    <row r="47">
      <c r="A47" s="758" t="n">
        <v>34</v>
      </c>
      <c r="B47" s="761" t="n">
        <v>46478</v>
      </c>
      <c r="C47" s="523">
        <f>SUM(COUNTIF('03_Eventos_pagamentos'!$E$11:$E$697,'04_TOTALIZADORA (3)'!A47)+COUNTIF('03_Eventos_pagamentos'!$E$766:$E$836,'04_TOTALIZADORA (3)'!A47))</f>
        <v/>
      </c>
      <c r="D47" s="1422">
        <f>SUMIF('03_Eventos_pagamentos'!$E$11:$E$699,A47,'03_Eventos_pagamentos'!$O$11:$O$697)+SUMIF('03_Eventos_pagamentos'!$E$766:$E$836,A47,'03_Eventos_pagamentos'!$O$766:$O$836)</f>
        <v/>
      </c>
      <c r="E47" s="523">
        <f>COUNTIF('03_Eventos_pagamentos'!$E$702:$E$763,'04_TOTALIZADORA (3)'!A47)</f>
        <v/>
      </c>
      <c r="F47" s="1485">
        <f>SUMIF('03_Eventos_pagamentos'!$E$702:$E$763,A47,'03_Eventos_pagamentos'!$O$702:$O$763)</f>
        <v/>
      </c>
      <c r="G47" s="1432">
        <f>D47+F47</f>
        <v/>
      </c>
      <c r="H47" s="1486">
        <f>D47+F47+H46</f>
        <v/>
      </c>
      <c r="I47" s="1481">
        <f>G47-S47</f>
        <v/>
      </c>
      <c r="J47" s="1481">
        <f>H47-T47</f>
        <v/>
      </c>
      <c r="K47" s="1448">
        <f>D47+F47-S47</f>
        <v/>
      </c>
      <c r="L47" s="1448">
        <f>K47*0.15</f>
        <v/>
      </c>
      <c r="M47" s="1448">
        <f>K47-L47</f>
        <v/>
      </c>
      <c r="N47" s="1448">
        <f>M47+S47</f>
        <v/>
      </c>
      <c r="O47" s="1452">
        <f>I47-R47</f>
        <v/>
      </c>
      <c r="P47" s="1422">
        <f>SUMIF('03_Eventos_pagamentos'!$P$11:$P$843,A48,'03_Eventos_pagamentos'!$Q$11:$Q$843)</f>
        <v/>
      </c>
      <c r="Q47" s="1487" t="n">
        <v>100000</v>
      </c>
      <c r="R47" s="1432">
        <f>P47+Q47</f>
        <v/>
      </c>
      <c r="S47" s="1488">
        <f>SUMIFS( '03_Eventos_pagamentos'!$O$11:$O$843,'03_Eventos_pagamentos'!$E$11:$E$843,A47,'03_Eventos_pagamentos'!$I$11:$I$843,"FAT. DIRETO")</f>
        <v/>
      </c>
      <c r="T47" s="1488">
        <f>S47+T46</f>
        <v/>
      </c>
      <c r="U47" s="1488">
        <f>P47+S47+U46</f>
        <v/>
      </c>
      <c r="V47" s="1431" t="n"/>
      <c r="W47" s="1431">
        <f>V47+W46</f>
        <v/>
      </c>
      <c r="X47" s="1431" t="n"/>
      <c r="Y47" s="1431">
        <f>Y46+X47</f>
        <v/>
      </c>
      <c r="Z47" s="1433" t="n"/>
      <c r="AA47" s="1434" t="n"/>
      <c r="AB47" s="1434" t="n"/>
      <c r="AC47" s="1434" t="n"/>
      <c r="AD47" s="1434" t="n"/>
      <c r="AE47" s="1435" t="n"/>
    </row>
    <row r="48">
      <c r="A48" s="758" t="n">
        <v>35</v>
      </c>
      <c r="B48" s="761" t="n">
        <v>46508</v>
      </c>
      <c r="C48" s="523">
        <f>SUM(COUNTIF('03_Eventos_pagamentos'!$E$11:$E$697,'04_TOTALIZADORA (3)'!A48)+COUNTIF('03_Eventos_pagamentos'!$E$766:$E$836,'04_TOTALIZADORA (3)'!A48))</f>
        <v/>
      </c>
      <c r="D48" s="1422">
        <f>SUMIF('03_Eventos_pagamentos'!$E$11:$E$699,A48,'03_Eventos_pagamentos'!$O$11:$O$697)+SUMIF('03_Eventos_pagamentos'!$E$766:$E$836,A48,'03_Eventos_pagamentos'!$O$766:$O$836)</f>
        <v/>
      </c>
      <c r="E48" s="523">
        <f>COUNTIF('03_Eventos_pagamentos'!$E$702:$E$763,'04_TOTALIZADORA (3)'!A48)</f>
        <v/>
      </c>
      <c r="F48" s="1485">
        <f>SUMIF('03_Eventos_pagamentos'!$E$702:$E$763,A48,'03_Eventos_pagamentos'!$O$702:$O$763)</f>
        <v/>
      </c>
      <c r="G48" s="1432">
        <f>D48+F48</f>
        <v/>
      </c>
      <c r="H48" s="1486">
        <f>D48+F48+H47</f>
        <v/>
      </c>
      <c r="I48" s="1481">
        <f>G48-S48</f>
        <v/>
      </c>
      <c r="J48" s="1481">
        <f>H48-T48</f>
        <v/>
      </c>
      <c r="K48" s="1448">
        <f>D48+F48-S48</f>
        <v/>
      </c>
      <c r="L48" s="1448">
        <f>M14-SUM(L29:L47)</f>
        <v/>
      </c>
      <c r="M48" s="1448">
        <f>K48-L48</f>
        <v/>
      </c>
      <c r="N48" s="1448">
        <f>M48+S48</f>
        <v/>
      </c>
      <c r="O48" s="1452">
        <f>I48-R48</f>
        <v/>
      </c>
      <c r="P48" s="1422">
        <f>SUMIF('03_Eventos_pagamentos'!$P$11:$P$843,A49,'03_Eventos_pagamentos'!$Q$11:$Q$843)</f>
        <v/>
      </c>
      <c r="Q48" s="1487" t="n">
        <v>100000</v>
      </c>
      <c r="R48" s="1432">
        <f>P48+Q48</f>
        <v/>
      </c>
      <c r="S48" s="1488">
        <f>SUMIFS( '03_Eventos_pagamentos'!$O$11:$O$843,'03_Eventos_pagamentos'!$E$11:$E$843,A48,'03_Eventos_pagamentos'!$I$11:$I$843,"FAT. DIRETO")</f>
        <v/>
      </c>
      <c r="T48" s="1488">
        <f>S48+T47</f>
        <v/>
      </c>
      <c r="U48" s="1488">
        <f>P48+S48+U47</f>
        <v/>
      </c>
      <c r="V48" s="1431" t="n"/>
      <c r="W48" s="1431">
        <f>V48+W47</f>
        <v/>
      </c>
      <c r="X48" s="1431" t="n"/>
      <c r="Y48" s="1431">
        <f>Y47+X48</f>
        <v/>
      </c>
      <c r="Z48" s="1433" t="n"/>
      <c r="AA48" s="1434" t="n"/>
      <c r="AB48" s="1434" t="n"/>
      <c r="AC48" s="1434" t="n"/>
      <c r="AD48" s="1434" t="n"/>
      <c r="AE48" s="1435" t="n"/>
    </row>
    <row r="49">
      <c r="A49" s="758" t="n">
        <v>36</v>
      </c>
      <c r="B49" s="761" t="n">
        <v>46539</v>
      </c>
      <c r="C49" s="523">
        <f>SUM(COUNTIF('03_Eventos_pagamentos'!$E$11:$E$697,'04_TOTALIZADORA (3)'!A49)+COUNTIF('03_Eventos_pagamentos'!$E$766:$E$836,'04_TOTALIZADORA (3)'!A49))</f>
        <v/>
      </c>
      <c r="D49" s="1422">
        <f>SUMIF('03_Eventos_pagamentos'!$E$11:$E$699,A49,'03_Eventos_pagamentos'!$O$11:$O$697)+SUMIF('03_Eventos_pagamentos'!$E$766:$E$836,A49,'03_Eventos_pagamentos'!$O$766:$O$836)</f>
        <v/>
      </c>
      <c r="E49" s="523">
        <f>COUNTIF('03_Eventos_pagamentos'!$E$702:$E$763,'04_TOTALIZADORA (3)'!A49)</f>
        <v/>
      </c>
      <c r="F49" s="1485">
        <f>SUMIF('03_Eventos_pagamentos'!$E$702:$E$763,A49,'03_Eventos_pagamentos'!$O$702:$O$763)</f>
        <v/>
      </c>
      <c r="G49" s="1432">
        <f>D49+F49</f>
        <v/>
      </c>
      <c r="H49" s="1486">
        <f>D49+F49+H48</f>
        <v/>
      </c>
      <c r="I49" s="1481">
        <f>G49-S49</f>
        <v/>
      </c>
      <c r="J49" s="1481">
        <f>H49-T49</f>
        <v/>
      </c>
      <c r="K49" s="1448">
        <f>D49+F49-S49</f>
        <v/>
      </c>
      <c r="L49" s="1448">
        <f>SUMIF('03_Eventos_pagamentos'!$E$702:$E$763,H49,'03_Eventos_pagamentos'!$O$702:$O$763)</f>
        <v/>
      </c>
      <c r="M49" s="1448">
        <f>K49-L49</f>
        <v/>
      </c>
      <c r="N49" s="1448">
        <f>M49+S49</f>
        <v/>
      </c>
      <c r="O49" s="1452">
        <f>I49-R49</f>
        <v/>
      </c>
      <c r="P49" s="1422">
        <f>SUMIF('03_Eventos_pagamentos'!$P$11:$P$843,A50,'03_Eventos_pagamentos'!$Q$11:$Q$843)</f>
        <v/>
      </c>
      <c r="Q49" s="1487" t="n">
        <v>100000</v>
      </c>
      <c r="R49" s="1432">
        <f>P49+Q49</f>
        <v/>
      </c>
      <c r="S49" s="1488">
        <f>SUMIFS( '03_Eventos_pagamentos'!$O$11:$O$843,'03_Eventos_pagamentos'!$E$11:$E$843,A49,'03_Eventos_pagamentos'!$I$11:$I$843,"FAT. DIRETO")</f>
        <v/>
      </c>
      <c r="T49" s="1488">
        <f>S49+T48</f>
        <v/>
      </c>
      <c r="U49" s="1488">
        <f>P49+S49+U48</f>
        <v/>
      </c>
      <c r="V49" s="1431" t="n"/>
      <c r="W49" s="1431">
        <f>V49+W48</f>
        <v/>
      </c>
      <c r="X49" s="1431" t="n"/>
      <c r="Y49" s="1431">
        <f>Y48+X49</f>
        <v/>
      </c>
      <c r="Z49" s="1433" t="n"/>
      <c r="AA49" s="1434" t="n"/>
      <c r="AB49" s="1434" t="n"/>
      <c r="AC49" s="1434" t="n"/>
      <c r="AD49" s="1434" t="n"/>
      <c r="AE49" s="1435" t="n"/>
    </row>
    <row r="50">
      <c r="A50" s="758" t="n">
        <v>37</v>
      </c>
      <c r="B50" s="761" t="n">
        <v>46569</v>
      </c>
      <c r="C50" s="523">
        <f>SUM(COUNTIF('03_Eventos_pagamentos'!$E$11:$E$697,'04_TOTALIZADORA (3)'!A50)+COUNTIF('03_Eventos_pagamentos'!$E$766:$E$836,'04_TOTALIZADORA (3)'!A50))</f>
        <v/>
      </c>
      <c r="D50" s="1422">
        <f>SUMIF('03_Eventos_pagamentos'!$E$11:$E$699,A50,'03_Eventos_pagamentos'!$O$11:$O$697)+SUMIF('03_Eventos_pagamentos'!$E$766:$E$836,A50,'03_Eventos_pagamentos'!$O$766:$O$836)</f>
        <v/>
      </c>
      <c r="E50" s="523">
        <f>COUNTIF('03_Eventos_pagamentos'!$E$702:$E$763,'04_TOTALIZADORA (3)'!A50)</f>
        <v/>
      </c>
      <c r="F50" s="1485">
        <f>SUMIF('03_Eventos_pagamentos'!$E$702:$E$763,A50,'03_Eventos_pagamentos'!$O$702:$O$763)</f>
        <v/>
      </c>
      <c r="G50" s="1432">
        <f>D50+F50</f>
        <v/>
      </c>
      <c r="H50" s="1486">
        <f>D50+F50+H49</f>
        <v/>
      </c>
      <c r="I50" s="1481">
        <f>G50-S50</f>
        <v/>
      </c>
      <c r="J50" s="1481">
        <f>H50-T50</f>
        <v/>
      </c>
      <c r="K50" s="1448">
        <f>D50+F50-S50</f>
        <v/>
      </c>
      <c r="L50" s="1448">
        <f>SUMIF('03_Eventos_pagamentos'!$E$702:$E$763,H50,'03_Eventos_pagamentos'!$O$702:$O$763)</f>
        <v/>
      </c>
      <c r="M50" s="1448">
        <f>K50-L50</f>
        <v/>
      </c>
      <c r="N50" s="1448">
        <f>M50+S50</f>
        <v/>
      </c>
      <c r="O50" s="1452">
        <f>I50-R50</f>
        <v/>
      </c>
      <c r="P50" s="1422">
        <f>SUMIF('03_Eventos_pagamentos'!$P$11:$P$843,A51,'03_Eventos_pagamentos'!$Q$11:$Q$843)</f>
        <v/>
      </c>
      <c r="Q50" s="1487" t="n">
        <v>100000</v>
      </c>
      <c r="R50" s="1432">
        <f>P50+Q50</f>
        <v/>
      </c>
      <c r="S50" s="1488">
        <f>SUMIFS( '03_Eventos_pagamentos'!$O$11:$O$843,'03_Eventos_pagamentos'!$E$11:$E$843,A50,'03_Eventos_pagamentos'!$I$11:$I$843,"FAT. DIRETO")</f>
        <v/>
      </c>
      <c r="T50" s="1488">
        <f>S50+T49</f>
        <v/>
      </c>
      <c r="U50" s="1488">
        <f>P50+S50+U49</f>
        <v/>
      </c>
      <c r="V50" s="1431" t="n"/>
      <c r="W50" s="1431">
        <f>V50+W49</f>
        <v/>
      </c>
      <c r="X50" s="1431" t="n"/>
      <c r="Y50" s="1431">
        <f>Y49+X50</f>
        <v/>
      </c>
      <c r="Z50" s="1433" t="n"/>
      <c r="AA50" s="1434" t="n"/>
      <c r="AB50" s="1434" t="n"/>
      <c r="AC50" s="1434" t="n"/>
      <c r="AD50" s="1434" t="n"/>
      <c r="AE50" s="1435" t="n"/>
    </row>
    <row r="51">
      <c r="A51" s="758" t="n">
        <v>38</v>
      </c>
      <c r="B51" s="761" t="n">
        <v>46600</v>
      </c>
      <c r="C51" s="523">
        <f>SUM(COUNTIF('03_Eventos_pagamentos'!$E$11:$E$697,'04_TOTALIZADORA (3)'!A51)+COUNTIF('03_Eventos_pagamentos'!$E$766:$E$836,'04_TOTALIZADORA (3)'!A51))</f>
        <v/>
      </c>
      <c r="D51" s="1422">
        <f>SUMIF('03_Eventos_pagamentos'!$E$11:$E$699,A51,'03_Eventos_pagamentos'!$O$11:$O$697)+SUMIF('03_Eventos_pagamentos'!$E$766:$E$836,A51,'03_Eventos_pagamentos'!$O$766:$O$836)</f>
        <v/>
      </c>
      <c r="E51" s="523">
        <f>COUNTIF('03_Eventos_pagamentos'!$E$702:$E$763,'04_TOTALIZADORA (3)'!A51)</f>
        <v/>
      </c>
      <c r="F51" s="1485">
        <f>SUMIF('03_Eventos_pagamentos'!$E$702:$E$763,A51,'03_Eventos_pagamentos'!$O$702:$O$763)</f>
        <v/>
      </c>
      <c r="G51" s="1432">
        <f>D51+F51</f>
        <v/>
      </c>
      <c r="H51" s="1486">
        <f>D51+F51+H50</f>
        <v/>
      </c>
      <c r="I51" s="1481">
        <f>G51-S51</f>
        <v/>
      </c>
      <c r="J51" s="1481">
        <f>H51-T51</f>
        <v/>
      </c>
      <c r="K51" s="1448">
        <f>D51+F51-S51</f>
        <v/>
      </c>
      <c r="L51" s="1448">
        <f>SUMIF('03_Eventos_pagamentos'!$E$702:$E$763,H51,'03_Eventos_pagamentos'!$O$702:$O$763)</f>
        <v/>
      </c>
      <c r="M51" s="1448">
        <f>K51-L51</f>
        <v/>
      </c>
      <c r="N51" s="1448">
        <f>M51+S51</f>
        <v/>
      </c>
      <c r="O51" s="1452">
        <f>I51-R51</f>
        <v/>
      </c>
      <c r="P51" s="1422">
        <f>SUMIF('03_Eventos_pagamentos'!$P$11:$P$843,A52,'03_Eventos_pagamentos'!$Q$11:$Q$843)</f>
        <v/>
      </c>
      <c r="Q51" s="1487" t="n">
        <v>100000</v>
      </c>
      <c r="R51" s="1432">
        <f>P51+Q51</f>
        <v/>
      </c>
      <c r="S51" s="1488">
        <f>SUMIFS( '03_Eventos_pagamentos'!$O$11:$O$843,'03_Eventos_pagamentos'!$E$11:$E$843,A51,'03_Eventos_pagamentos'!$I$11:$I$843,"FAT. DIRETO")</f>
        <v/>
      </c>
      <c r="T51" s="1488">
        <f>S51+T50</f>
        <v/>
      </c>
      <c r="U51" s="1488">
        <f>P51+S51+U50</f>
        <v/>
      </c>
      <c r="V51" s="1431" t="n"/>
      <c r="W51" s="1431">
        <f>V51+W50</f>
        <v/>
      </c>
      <c r="X51" s="1431" t="n"/>
      <c r="Y51" s="1431">
        <f>Y50+X51</f>
        <v/>
      </c>
      <c r="Z51" s="1433" t="n"/>
      <c r="AA51" s="1434" t="n"/>
      <c r="AB51" s="1434" t="n"/>
      <c r="AC51" s="1434" t="n"/>
      <c r="AD51" s="1434" t="n"/>
      <c r="AE51" s="1435" t="n"/>
    </row>
    <row r="52">
      <c r="A52" s="758" t="n">
        <v>39</v>
      </c>
      <c r="B52" s="761" t="n">
        <v>46631</v>
      </c>
      <c r="C52" s="523">
        <f>SUM(COUNTIF('03_Eventos_pagamentos'!$E$11:$E$697,'04_TOTALIZADORA (3)'!A52)+COUNTIF('03_Eventos_pagamentos'!$E$766:$E$836,'04_TOTALIZADORA (3)'!A52))</f>
        <v/>
      </c>
      <c r="D52" s="1422">
        <f>SUMIF('03_Eventos_pagamentos'!$E$11:$E$699,A52,'03_Eventos_pagamentos'!$O$11:$O$697)+SUMIF('03_Eventos_pagamentos'!$E$766:$E$836,A52,'03_Eventos_pagamentos'!$O$766:$O$836)</f>
        <v/>
      </c>
      <c r="E52" s="523">
        <f>COUNTIF('03_Eventos_pagamentos'!$E$702:$E$763,'04_TOTALIZADORA (3)'!A52)</f>
        <v/>
      </c>
      <c r="F52" s="1485">
        <f>SUMIF('03_Eventos_pagamentos'!$E$702:$E$763,A52,'03_Eventos_pagamentos'!$O$702:$O$763)</f>
        <v/>
      </c>
      <c r="G52" s="1432">
        <f>D52+F52</f>
        <v/>
      </c>
      <c r="H52" s="1486">
        <f>D52+F52+H51</f>
        <v/>
      </c>
      <c r="I52" s="1481">
        <f>G52-S52</f>
        <v/>
      </c>
      <c r="J52" s="1481">
        <f>H52-T52</f>
        <v/>
      </c>
      <c r="K52" s="1448">
        <f>D52+F52-S52</f>
        <v/>
      </c>
      <c r="L52" s="1448">
        <f>SUMIF('03_Eventos_pagamentos'!$E$702:$E$763,H52,'03_Eventos_pagamentos'!$O$702:$O$763)</f>
        <v/>
      </c>
      <c r="M52" s="1448">
        <f>K52-L52</f>
        <v/>
      </c>
      <c r="N52" s="1448">
        <f>M52+S52</f>
        <v/>
      </c>
      <c r="O52" s="1452">
        <f>I52-R52</f>
        <v/>
      </c>
      <c r="P52" s="1422">
        <f>SUMIF('03_Eventos_pagamentos'!$P$11:$P$843,A53,'03_Eventos_pagamentos'!$Q$11:$Q$843)</f>
        <v/>
      </c>
      <c r="Q52" s="1487" t="n">
        <v>100000</v>
      </c>
      <c r="R52" s="1432">
        <f>P52+Q52</f>
        <v/>
      </c>
      <c r="S52" s="1488">
        <f>SUMIFS( '03_Eventos_pagamentos'!$O$11:$O$843,'03_Eventos_pagamentos'!$E$11:$E$843,A52,'03_Eventos_pagamentos'!$I$11:$I$843,"FAT. DIRETO")</f>
        <v/>
      </c>
      <c r="T52" s="1488">
        <f>S52+T51</f>
        <v/>
      </c>
      <c r="U52" s="1488">
        <f>P52+S52+U51</f>
        <v/>
      </c>
      <c r="V52" s="1431" t="n"/>
      <c r="W52" s="1431">
        <f>V52+W51</f>
        <v/>
      </c>
      <c r="X52" s="1431" t="n"/>
      <c r="Y52" s="1431">
        <f>Y51+X52</f>
        <v/>
      </c>
      <c r="Z52" s="1433" t="n"/>
      <c r="AA52" s="1434" t="n"/>
      <c r="AB52" s="1434" t="n"/>
      <c r="AC52" s="1434" t="n"/>
      <c r="AD52" s="1434" t="n"/>
      <c r="AE52" s="1435" t="n"/>
    </row>
    <row r="53">
      <c r="A53" s="758" t="n">
        <v>40</v>
      </c>
      <c r="B53" s="761" t="n">
        <v>46661</v>
      </c>
      <c r="C53" s="523">
        <f>SUM(COUNTIF('03_Eventos_pagamentos'!$E$11:$E$697,'04_TOTALIZADORA (3)'!A53)+COUNTIF('03_Eventos_pagamentos'!$E$766:$E$836,'04_TOTALIZADORA (3)'!A53))</f>
        <v/>
      </c>
      <c r="D53" s="1422">
        <f>SUMIF('03_Eventos_pagamentos'!$E$11:$E$699,A53,'03_Eventos_pagamentos'!$O$11:$O$697)+SUMIF('03_Eventos_pagamentos'!$E$766:$E$836,A53,'03_Eventos_pagamentos'!$O$766:$O$836)</f>
        <v/>
      </c>
      <c r="E53" s="523">
        <f>COUNTIF('03_Eventos_pagamentos'!$E$702:$E$763,'04_TOTALIZADORA (3)'!A53)</f>
        <v/>
      </c>
      <c r="F53" s="1485">
        <f>SUMIF('03_Eventos_pagamentos'!$E$702:$E$763,A53,'03_Eventos_pagamentos'!$O$702:$O$763)</f>
        <v/>
      </c>
      <c r="G53" s="1432">
        <f>D53+F53</f>
        <v/>
      </c>
      <c r="H53" s="1486">
        <f>D53+F53+H52</f>
        <v/>
      </c>
      <c r="I53" s="1481">
        <f>G53-S53</f>
        <v/>
      </c>
      <c r="J53" s="1481">
        <f>H53-T53</f>
        <v/>
      </c>
      <c r="K53" s="1448">
        <f>D53+F53-S53</f>
        <v/>
      </c>
      <c r="L53" s="1448">
        <f>SUMIF('03_Eventos_pagamentos'!$E$702:$E$763,H53,'03_Eventos_pagamentos'!$O$702:$O$763)</f>
        <v/>
      </c>
      <c r="M53" s="1448">
        <f>K53-L53</f>
        <v/>
      </c>
      <c r="N53" s="1448">
        <f>M53+S53</f>
        <v/>
      </c>
      <c r="O53" s="1452">
        <f>I53-R53</f>
        <v/>
      </c>
      <c r="P53" s="1422">
        <f>SUMIF('03_Eventos_pagamentos'!$P$11:$P$843,A54,'03_Eventos_pagamentos'!$Q$11:$Q$843)</f>
        <v/>
      </c>
      <c r="Q53" s="1487" t="n">
        <v>100000</v>
      </c>
      <c r="R53" s="1432">
        <f>P53+Q53</f>
        <v/>
      </c>
      <c r="S53" s="1488">
        <f>SUMIFS( '03_Eventos_pagamentos'!$O$11:$O$843,'03_Eventos_pagamentos'!$E$11:$E$843,A53,'03_Eventos_pagamentos'!$I$11:$I$843,"FAT. DIRETO")</f>
        <v/>
      </c>
      <c r="T53" s="1488">
        <f>S53+T52</f>
        <v/>
      </c>
      <c r="U53" s="1488">
        <f>P53+S53+U52</f>
        <v/>
      </c>
      <c r="V53" s="1431" t="n"/>
      <c r="W53" s="1431">
        <f>V53+W52</f>
        <v/>
      </c>
      <c r="X53" s="1431" t="n"/>
      <c r="Y53" s="1431">
        <f>Y52+X53</f>
        <v/>
      </c>
      <c r="Z53" s="1433" t="n"/>
      <c r="AA53" s="1434" t="n"/>
      <c r="AB53" s="1434" t="n"/>
      <c r="AC53" s="1434" t="n"/>
      <c r="AD53" s="1434" t="n"/>
      <c r="AE53" s="1435" t="n"/>
    </row>
    <row r="54">
      <c r="A54" s="758" t="n">
        <v>41</v>
      </c>
      <c r="B54" s="761" t="n">
        <v>46692</v>
      </c>
      <c r="C54" s="523">
        <f>SUM(COUNTIF('03_Eventos_pagamentos'!$E$11:$E$697,'04_TOTALIZADORA (3)'!A54)+COUNTIF('03_Eventos_pagamentos'!$E$766:$E$836,'04_TOTALIZADORA (3)'!A54))</f>
        <v/>
      </c>
      <c r="D54" s="1422">
        <f>SUMIF('03_Eventos_pagamentos'!$E$11:$E$699,A54,'03_Eventos_pagamentos'!$O$11:$O$697)+SUMIF('03_Eventos_pagamentos'!$E$766:$E$836,A54,'03_Eventos_pagamentos'!$O$766:$O$836)</f>
        <v/>
      </c>
      <c r="E54" s="523">
        <f>COUNTIF('03_Eventos_pagamentos'!$E$702:$E$763,'04_TOTALIZADORA (3)'!A54)</f>
        <v/>
      </c>
      <c r="F54" s="1485">
        <f>SUMIF('03_Eventos_pagamentos'!$E$702:$E$763,A54,'03_Eventos_pagamentos'!$O$702:$O$763)</f>
        <v/>
      </c>
      <c r="G54" s="1432">
        <f>D54+F54</f>
        <v/>
      </c>
      <c r="H54" s="1486">
        <f>D54+F54+H53</f>
        <v/>
      </c>
      <c r="I54" s="1481">
        <f>G54-S54</f>
        <v/>
      </c>
      <c r="J54" s="1481">
        <f>H54-T54</f>
        <v/>
      </c>
      <c r="K54" s="1448">
        <f>D54+F54-S54</f>
        <v/>
      </c>
      <c r="L54" s="1448">
        <f>SUMIF('03_Eventos_pagamentos'!$E$702:$E$763,H54,'03_Eventos_pagamentos'!$O$702:$O$763)</f>
        <v/>
      </c>
      <c r="M54" s="1448">
        <f>K54-L54</f>
        <v/>
      </c>
      <c r="N54" s="1448">
        <f>M54+S54</f>
        <v/>
      </c>
      <c r="O54" s="1452">
        <f>I54-R54</f>
        <v/>
      </c>
      <c r="P54" s="1422">
        <f>SUMIF('03_Eventos_pagamentos'!$P$11:$P$843,A55,'03_Eventos_pagamentos'!$Q$11:$Q$843)</f>
        <v/>
      </c>
      <c r="Q54" s="1487" t="n">
        <v>100000</v>
      </c>
      <c r="R54" s="1432">
        <f>P54+Q54</f>
        <v/>
      </c>
      <c r="S54" s="1488">
        <f>SUMIFS( '03_Eventos_pagamentos'!$O$11:$O$843,'03_Eventos_pagamentos'!$E$11:$E$843,A54,'03_Eventos_pagamentos'!$I$11:$I$843,"FAT. DIRETO")</f>
        <v/>
      </c>
      <c r="T54" s="1488">
        <f>S54+T53</f>
        <v/>
      </c>
      <c r="U54" s="1488">
        <f>P54+S54+U53</f>
        <v/>
      </c>
      <c r="V54" s="1431" t="n"/>
      <c r="W54" s="1431">
        <f>V54+W53</f>
        <v/>
      </c>
      <c r="X54" s="1431" t="n"/>
      <c r="Y54" s="1431">
        <f>Y53+X54</f>
        <v/>
      </c>
      <c r="Z54" s="1433" t="n"/>
      <c r="AA54" s="1434" t="n"/>
      <c r="AB54" s="1434" t="n"/>
      <c r="AC54" s="1434" t="n"/>
      <c r="AD54" s="1434" t="n"/>
      <c r="AE54" s="1435" t="n"/>
    </row>
    <row r="55">
      <c r="A55" s="758" t="n">
        <v>42</v>
      </c>
      <c r="B55" s="761" t="n">
        <v>46722</v>
      </c>
      <c r="C55" s="523">
        <f>SUM(COUNTIF('03_Eventos_pagamentos'!$E$11:$E$697,'04_TOTALIZADORA (3)'!A55)+COUNTIF('03_Eventos_pagamentos'!$E$766:$E$836,'04_TOTALIZADORA (3)'!A55))</f>
        <v/>
      </c>
      <c r="D55" s="1422">
        <f>SUMIF('03_Eventos_pagamentos'!$E$11:$E$699,A55,'03_Eventos_pagamentos'!$O$11:$O$697)+SUMIF('03_Eventos_pagamentos'!$E$766:$E$836,A55,'03_Eventos_pagamentos'!$O$766:$O$836)</f>
        <v/>
      </c>
      <c r="E55" s="523">
        <f>COUNTIF('03_Eventos_pagamentos'!$E$702:$E$763,'04_TOTALIZADORA (3)'!A55)</f>
        <v/>
      </c>
      <c r="F55" s="1485">
        <f>SUMIF('03_Eventos_pagamentos'!$E$702:$E$763,A55,'03_Eventos_pagamentos'!$O$702:$O$763)</f>
        <v/>
      </c>
      <c r="G55" s="1432">
        <f>D55+F55</f>
        <v/>
      </c>
      <c r="H55" s="1486">
        <f>D55+F55+H54</f>
        <v/>
      </c>
      <c r="I55" s="1481">
        <f>G55-S55</f>
        <v/>
      </c>
      <c r="J55" s="1481">
        <f>H55-T55</f>
        <v/>
      </c>
      <c r="K55" s="1448">
        <f>D55+F55-S55</f>
        <v/>
      </c>
      <c r="L55" s="1448">
        <f>SUMIF('03_Eventos_pagamentos'!$E$702:$E$763,H55,'03_Eventos_pagamentos'!$O$702:$O$763)</f>
        <v/>
      </c>
      <c r="M55" s="1448">
        <f>K55-L55</f>
        <v/>
      </c>
      <c r="N55" s="1448">
        <f>M55+S55</f>
        <v/>
      </c>
      <c r="O55" s="1452">
        <f>I55-R55</f>
        <v/>
      </c>
      <c r="P55" s="1422">
        <f>SUMIF('03_Eventos_pagamentos'!$P$11:$P$843,A56,'03_Eventos_pagamentos'!$Q$11:$Q$843)</f>
        <v/>
      </c>
      <c r="Q55" s="1487" t="n">
        <v>100000</v>
      </c>
      <c r="R55" s="1432">
        <f>P55+Q55</f>
        <v/>
      </c>
      <c r="S55" s="1488">
        <f>SUMIFS( '03_Eventos_pagamentos'!$O$11:$O$843,'03_Eventos_pagamentos'!$E$11:$E$843,A55,'03_Eventos_pagamentos'!$I$11:$I$843,"FAT. DIRETO")</f>
        <v/>
      </c>
      <c r="T55" s="1488">
        <f>S55+T54</f>
        <v/>
      </c>
      <c r="U55" s="1488">
        <f>P55+S55+U54</f>
        <v/>
      </c>
      <c r="V55" s="1431" t="n"/>
      <c r="W55" s="1431">
        <f>V55+W54</f>
        <v/>
      </c>
      <c r="X55" s="1431" t="n">
        <v>113319.22</v>
      </c>
      <c r="Y55" s="1431">
        <f>Y54+X55</f>
        <v/>
      </c>
      <c r="Z55" s="1433" t="n"/>
      <c r="AA55" s="1434" t="n"/>
      <c r="AB55" s="1434" t="n"/>
      <c r="AC55" s="1434" t="n"/>
      <c r="AD55" s="1434" t="n"/>
      <c r="AE55" s="1435" t="n"/>
    </row>
    <row r="56">
      <c r="A56" s="758" t="n">
        <v>43</v>
      </c>
      <c r="B56" s="761" t="n">
        <v>46753</v>
      </c>
      <c r="C56" s="523">
        <f>SUM(COUNTIF('03_Eventos_pagamentos'!$E$11:$E$697,'04_TOTALIZADORA (3)'!A56)+COUNTIF('03_Eventos_pagamentos'!$E$766:$E$836,'04_TOTALIZADORA (3)'!A56))</f>
        <v/>
      </c>
      <c r="D56" s="1422">
        <f>SUMIF('03_Eventos_pagamentos'!$E$11:$E$699,A56,'03_Eventos_pagamentos'!$O$11:$O$697)+SUMIF('03_Eventos_pagamentos'!$E$766:$E$836,A56,'03_Eventos_pagamentos'!$O$766:$O$836)</f>
        <v/>
      </c>
      <c r="E56" s="523">
        <f>COUNTIF('03_Eventos_pagamentos'!$E$702:$E$763,'04_TOTALIZADORA (3)'!A56)</f>
        <v/>
      </c>
      <c r="F56" s="1485">
        <f>SUMIF('03_Eventos_pagamentos'!$E$702:$E$763,A56,'03_Eventos_pagamentos'!$O$702:$O$763)</f>
        <v/>
      </c>
      <c r="G56" s="1432">
        <f>D56+F56</f>
        <v/>
      </c>
      <c r="H56" s="1486">
        <f>D56+F56+H55</f>
        <v/>
      </c>
      <c r="I56" s="1481">
        <f>G56-S56</f>
        <v/>
      </c>
      <c r="J56" s="1481">
        <f>H56-T56</f>
        <v/>
      </c>
      <c r="K56" s="1448">
        <f>D56+F56-S56</f>
        <v/>
      </c>
      <c r="L56" s="1448">
        <f>SUMIF('03_Eventos_pagamentos'!$E$702:$E$763,H56,'03_Eventos_pagamentos'!$O$702:$O$763)</f>
        <v/>
      </c>
      <c r="M56" s="1448">
        <f>K56-L56</f>
        <v/>
      </c>
      <c r="N56" s="1448">
        <f>M56+S56</f>
        <v/>
      </c>
      <c r="O56" s="1452">
        <f>I56-R56</f>
        <v/>
      </c>
      <c r="P56" s="1422">
        <f>SUMIF('03_Eventos_pagamentos'!$P$11:$P$843,A57,'03_Eventos_pagamentos'!$Q$11:$Q$843)</f>
        <v/>
      </c>
      <c r="Q56" s="1487" t="n">
        <v>100000</v>
      </c>
      <c r="R56" s="1432">
        <f>P56+Q56</f>
        <v/>
      </c>
      <c r="S56" s="1488">
        <f>SUMIFS( '03_Eventos_pagamentos'!$O$11:$O$843,'03_Eventos_pagamentos'!$E$11:$E$843,A56,'03_Eventos_pagamentos'!$I$11:$I$843,"FAT. DIRETO")</f>
        <v/>
      </c>
      <c r="T56" s="1488">
        <f>S56+T55</f>
        <v/>
      </c>
      <c r="U56" s="1488">
        <f>P56+S56+U55</f>
        <v/>
      </c>
      <c r="V56" s="1431" t="n"/>
      <c r="W56" s="1431">
        <f>V56+W55</f>
        <v/>
      </c>
      <c r="X56" s="1431" t="n"/>
      <c r="Y56" s="1431">
        <f>Y55+X56</f>
        <v/>
      </c>
      <c r="Z56" s="1433" t="n"/>
      <c r="AA56" s="1434" t="n"/>
      <c r="AB56" s="1434" t="n"/>
      <c r="AC56" s="1434" t="n"/>
      <c r="AD56" s="1434" t="n"/>
      <c r="AE56" s="1435" t="n"/>
    </row>
    <row r="57">
      <c r="A57" s="758" t="n">
        <v>44</v>
      </c>
      <c r="B57" s="761" t="n">
        <v>46784</v>
      </c>
      <c r="C57" s="523">
        <f>SUM(COUNTIF('03_Eventos_pagamentos'!$E$11:$E$697,'04_TOTALIZADORA (3)'!A57)+COUNTIF('03_Eventos_pagamentos'!$E$766:$E$836,'04_TOTALIZADORA (3)'!A57))</f>
        <v/>
      </c>
      <c r="D57" s="1422">
        <f>SUMIF('03_Eventos_pagamentos'!$E$11:$E$699,A57,'03_Eventos_pagamentos'!$O$11:$O$697)+SUMIF('03_Eventos_pagamentos'!$E$766:$E$836,A57,'03_Eventos_pagamentos'!$O$766:$O$836)</f>
        <v/>
      </c>
      <c r="E57" s="523">
        <f>COUNTIF('03_Eventos_pagamentos'!$E$702:$E$763,'04_TOTALIZADORA (3)'!A57)</f>
        <v/>
      </c>
      <c r="F57" s="1485">
        <f>SUMIF('03_Eventos_pagamentos'!$E$702:$E$763,A57,'03_Eventos_pagamentos'!$O$702:$O$763)</f>
        <v/>
      </c>
      <c r="G57" s="1432">
        <f>D57+F57</f>
        <v/>
      </c>
      <c r="H57" s="1486">
        <f>D57+F57+H56</f>
        <v/>
      </c>
      <c r="I57" s="1481">
        <f>G57-S57</f>
        <v/>
      </c>
      <c r="J57" s="1481">
        <f>H57-T57</f>
        <v/>
      </c>
      <c r="K57" s="1448">
        <f>D57+F57-S57</f>
        <v/>
      </c>
      <c r="L57" s="1448">
        <f>SUMIF('03_Eventos_pagamentos'!$E$702:$E$763,H57,'03_Eventos_pagamentos'!$O$702:$O$763)</f>
        <v/>
      </c>
      <c r="M57" s="1448">
        <f>K57-L57</f>
        <v/>
      </c>
      <c r="N57" s="1448">
        <f>M57+S57</f>
        <v/>
      </c>
      <c r="O57" s="1452">
        <f>I57-R57</f>
        <v/>
      </c>
      <c r="P57" s="1422">
        <f>SUMIF('03_Eventos_pagamentos'!$P$11:$P$843,A58,'03_Eventos_pagamentos'!$Q$11:$Q$843)</f>
        <v/>
      </c>
      <c r="Q57" s="1487" t="n">
        <v>100000</v>
      </c>
      <c r="R57" s="1432">
        <f>P57+Q57</f>
        <v/>
      </c>
      <c r="S57" s="1488">
        <f>SUMIFS( '03_Eventos_pagamentos'!$O$11:$O$843,'03_Eventos_pagamentos'!$E$11:$E$843,A57,'03_Eventos_pagamentos'!$I$11:$I$843,"FAT. DIRETO")</f>
        <v/>
      </c>
      <c r="T57" s="1488">
        <f>S57+T56</f>
        <v/>
      </c>
      <c r="U57" s="1488">
        <f>P57+S57+U56</f>
        <v/>
      </c>
      <c r="V57" s="1431" t="n"/>
      <c r="W57" s="1431">
        <f>V57+W56</f>
        <v/>
      </c>
      <c r="X57" s="1431" t="n"/>
      <c r="Y57" s="1431">
        <f>Y56+X57</f>
        <v/>
      </c>
      <c r="Z57" s="1433" t="n"/>
      <c r="AA57" s="1434" t="n"/>
      <c r="AB57" s="1434" t="n"/>
      <c r="AC57" s="1434" t="n"/>
      <c r="AD57" s="1434" t="n"/>
      <c r="AE57" s="1435" t="n"/>
    </row>
    <row r="58">
      <c r="A58" s="758" t="n">
        <v>45</v>
      </c>
      <c r="B58" s="761" t="n">
        <v>46813</v>
      </c>
      <c r="C58" s="523">
        <f>SUM(COUNTIF('03_Eventos_pagamentos'!$E$11:$E$697,'04_TOTALIZADORA (3)'!A58)+COUNTIF('03_Eventos_pagamentos'!$E$766:$E$836,'04_TOTALIZADORA (3)'!A58))</f>
        <v/>
      </c>
      <c r="D58" s="1422">
        <f>SUMIF('03_Eventos_pagamentos'!$E$11:$E$699,A58,'03_Eventos_pagamentos'!$O$11:$O$697)+SUMIF('03_Eventos_pagamentos'!$E$766:$E$836,A58,'03_Eventos_pagamentos'!$O$766:$O$836)</f>
        <v/>
      </c>
      <c r="E58" s="523">
        <f>COUNTIF('03_Eventos_pagamentos'!$E$702:$E$763,'04_TOTALIZADORA (3)'!A58)</f>
        <v/>
      </c>
      <c r="F58" s="1485">
        <f>SUMIF('03_Eventos_pagamentos'!$E$702:$E$763,A58,'03_Eventos_pagamentos'!$O$702:$O$763)</f>
        <v/>
      </c>
      <c r="G58" s="1432">
        <f>D58+F58</f>
        <v/>
      </c>
      <c r="H58" s="1486">
        <f>D58+F58+H57</f>
        <v/>
      </c>
      <c r="I58" s="1481">
        <f>G58-S58</f>
        <v/>
      </c>
      <c r="J58" s="1481">
        <f>H58-T58</f>
        <v/>
      </c>
      <c r="K58" s="1448">
        <f>D58+F58-S58</f>
        <v/>
      </c>
      <c r="L58" s="1448">
        <f>SUMIF('03_Eventos_pagamentos'!$E$702:$E$763,H58,'03_Eventos_pagamentos'!$O$702:$O$763)</f>
        <v/>
      </c>
      <c r="M58" s="1448">
        <f>K58-L58</f>
        <v/>
      </c>
      <c r="N58" s="1448">
        <f>M58+S58</f>
        <v/>
      </c>
      <c r="O58" s="1452">
        <f>I58-R58</f>
        <v/>
      </c>
      <c r="P58" s="1422">
        <f>SUMIF('03_Eventos_pagamentos'!$P$11:$P$843,A59,'03_Eventos_pagamentos'!$Q$11:$Q$843)</f>
        <v/>
      </c>
      <c r="Q58" s="1487" t="n">
        <v>100000</v>
      </c>
      <c r="R58" s="1432">
        <f>P58+Q58</f>
        <v/>
      </c>
      <c r="S58" s="1488">
        <f>SUMIFS( '03_Eventos_pagamentos'!$O$11:$O$843,'03_Eventos_pagamentos'!$E$11:$E$843,A58,'03_Eventos_pagamentos'!$I$11:$I$843,"FAT. DIRETO")</f>
        <v/>
      </c>
      <c r="T58" s="1488">
        <f>S58+T57</f>
        <v/>
      </c>
      <c r="U58" s="1488">
        <f>P58+S58+U57</f>
        <v/>
      </c>
      <c r="V58" s="1431" t="n"/>
      <c r="W58" s="1431">
        <f>V58+W57</f>
        <v/>
      </c>
      <c r="X58" s="1431" t="n"/>
      <c r="Y58" s="1431">
        <f>Y57+X58</f>
        <v/>
      </c>
      <c r="Z58" s="1433" t="n"/>
      <c r="AA58" s="1434" t="n"/>
      <c r="AB58" s="1434" t="n"/>
      <c r="AC58" s="1434" t="n"/>
      <c r="AD58" s="1434" t="n"/>
      <c r="AE58" s="1435" t="n"/>
    </row>
    <row r="59">
      <c r="A59" s="758" t="n">
        <v>46</v>
      </c>
      <c r="B59" s="761" t="n">
        <v>46844</v>
      </c>
      <c r="C59" s="523">
        <f>SUM(COUNTIF('03_Eventos_pagamentos'!$E$11:$E$697,'04_TOTALIZADORA (3)'!A59)+COUNTIF('03_Eventos_pagamentos'!$E$766:$E$836,'04_TOTALIZADORA (3)'!A59))</f>
        <v/>
      </c>
      <c r="D59" s="1422">
        <f>SUMIF('03_Eventos_pagamentos'!$E$11:$E$699,A59,'03_Eventos_pagamentos'!$O$11:$O$697)+SUMIF('03_Eventos_pagamentos'!$E$766:$E$836,A59,'03_Eventos_pagamentos'!$O$766:$O$836)</f>
        <v/>
      </c>
      <c r="E59" s="523">
        <f>COUNTIF('03_Eventos_pagamentos'!$E$702:$E$763,'04_TOTALIZADORA (3)'!A59)</f>
        <v/>
      </c>
      <c r="F59" s="1485">
        <f>SUMIF('03_Eventos_pagamentos'!$E$702:$E$763,A59,'03_Eventos_pagamentos'!$O$702:$O$763)</f>
        <v/>
      </c>
      <c r="G59" s="1432">
        <f>D59+F59</f>
        <v/>
      </c>
      <c r="H59" s="1486">
        <f>D59+F59+H58</f>
        <v/>
      </c>
      <c r="I59" s="1481">
        <f>G59-S59</f>
        <v/>
      </c>
      <c r="J59" s="1481">
        <f>H59-T59</f>
        <v/>
      </c>
      <c r="K59" s="1448">
        <f>D59+F59-S59</f>
        <v/>
      </c>
      <c r="L59" s="1448">
        <f>SUMIF('03_Eventos_pagamentos'!$E$702:$E$763,H59,'03_Eventos_pagamentos'!$O$702:$O$763)</f>
        <v/>
      </c>
      <c r="M59" s="1448">
        <f>K59-L59</f>
        <v/>
      </c>
      <c r="N59" s="1448">
        <f>M59+S59</f>
        <v/>
      </c>
      <c r="O59" s="1452">
        <f>I59-R59</f>
        <v/>
      </c>
      <c r="P59" s="1422">
        <f>SUMIF('03_Eventos_pagamentos'!$P$11:$P$843,A60,'03_Eventos_pagamentos'!$Q$11:$Q$843)</f>
        <v/>
      </c>
      <c r="Q59" s="1487" t="n">
        <v>100000</v>
      </c>
      <c r="R59" s="1432">
        <f>P59+Q59</f>
        <v/>
      </c>
      <c r="S59" s="1488">
        <f>SUMIFS( '03_Eventos_pagamentos'!$O$11:$O$843,'03_Eventos_pagamentos'!$E$11:$E$843,A59,'03_Eventos_pagamentos'!$I$11:$I$843,"FAT. DIRETO")</f>
        <v/>
      </c>
      <c r="T59" s="1488">
        <f>S59+T58</f>
        <v/>
      </c>
      <c r="U59" s="1488">
        <f>P59+S59+U58</f>
        <v/>
      </c>
      <c r="V59" s="1431" t="n"/>
      <c r="W59" s="1431">
        <f>V59+W58</f>
        <v/>
      </c>
      <c r="X59" s="1431" t="n"/>
      <c r="Y59" s="1431">
        <f>Y58+X59</f>
        <v/>
      </c>
      <c r="Z59" s="1433" t="n"/>
      <c r="AA59" s="1434" t="n"/>
      <c r="AB59" s="1434" t="n"/>
      <c r="AC59" s="1434" t="n"/>
      <c r="AD59" s="1434" t="n"/>
      <c r="AE59" s="1435" t="n"/>
    </row>
    <row r="60">
      <c r="A60" s="758" t="n">
        <v>47</v>
      </c>
      <c r="B60" s="761" t="n">
        <v>46874</v>
      </c>
      <c r="C60" s="523">
        <f>SUM(COUNTIF('03_Eventos_pagamentos'!$E$11:$E$697,'04_TOTALIZADORA (3)'!A60)+COUNTIF('03_Eventos_pagamentos'!$E$766:$E$836,'04_TOTALIZADORA (3)'!A60))</f>
        <v/>
      </c>
      <c r="D60" s="1422">
        <f>SUMIF('03_Eventos_pagamentos'!$E$11:$E$699,A60,'03_Eventos_pagamentos'!$O$11:$O$697)+SUMIF('03_Eventos_pagamentos'!$E$766:$E$836,A60,'03_Eventos_pagamentos'!$O$766:$O$836)</f>
        <v/>
      </c>
      <c r="E60" s="523">
        <f>COUNTIF('03_Eventos_pagamentos'!$E$702:$E$763,'04_TOTALIZADORA (3)'!A60)</f>
        <v/>
      </c>
      <c r="F60" s="1485">
        <f>SUMIF('03_Eventos_pagamentos'!$E$702:$E$763,A60,'03_Eventos_pagamentos'!$O$702:$O$763)</f>
        <v/>
      </c>
      <c r="G60" s="1432">
        <f>D60+F60</f>
        <v/>
      </c>
      <c r="H60" s="1486">
        <f>D60+F60+H59</f>
        <v/>
      </c>
      <c r="I60" s="1481">
        <f>G60-S60</f>
        <v/>
      </c>
      <c r="J60" s="1481">
        <f>H60-T60</f>
        <v/>
      </c>
      <c r="K60" s="1448">
        <f>D60+F60-S60</f>
        <v/>
      </c>
      <c r="L60" s="1448">
        <f>SUMIF('03_Eventos_pagamentos'!$E$702:$E$763,H60,'03_Eventos_pagamentos'!$O$702:$O$763)</f>
        <v/>
      </c>
      <c r="M60" s="1448">
        <f>K60-L60</f>
        <v/>
      </c>
      <c r="N60" s="1448">
        <f>M60+S60</f>
        <v/>
      </c>
      <c r="O60" s="1452">
        <f>I60-R60</f>
        <v/>
      </c>
      <c r="P60" s="1422">
        <f>SUMIF('03_Eventos_pagamentos'!$P$11:$P$843,A61,'03_Eventos_pagamentos'!$Q$11:$Q$843)</f>
        <v/>
      </c>
      <c r="Q60" s="1487" t="n">
        <v>100000</v>
      </c>
      <c r="R60" s="1432">
        <f>P60+Q60</f>
        <v/>
      </c>
      <c r="S60" s="1488">
        <f>SUMIFS( '03_Eventos_pagamentos'!$O$11:$O$843,'03_Eventos_pagamentos'!$E$11:$E$843,A60,'03_Eventos_pagamentos'!$I$11:$I$843,"FAT. DIRETO")</f>
        <v/>
      </c>
      <c r="T60" s="1488">
        <f>S60+T59</f>
        <v/>
      </c>
      <c r="U60" s="1488">
        <f>P60+S60+U59</f>
        <v/>
      </c>
      <c r="V60" s="1431" t="n"/>
      <c r="W60" s="1431">
        <f>V60+W59</f>
        <v/>
      </c>
      <c r="X60" s="1431" t="n"/>
      <c r="Y60" s="1431">
        <f>Y59+X60</f>
        <v/>
      </c>
      <c r="Z60" s="1433" t="n"/>
      <c r="AA60" s="1434" t="n"/>
      <c r="AB60" s="1434" t="n"/>
      <c r="AC60" s="1434" t="n"/>
      <c r="AD60" s="1434" t="n"/>
      <c r="AE60" s="1435" t="n"/>
    </row>
    <row r="61">
      <c r="A61" s="758" t="n">
        <v>48</v>
      </c>
      <c r="B61" s="761" t="n">
        <v>46905</v>
      </c>
      <c r="C61" s="523">
        <f>SUM(COUNTIF('03_Eventos_pagamentos'!$E$11:$E$697,'04_TOTALIZADORA (3)'!A61)+COUNTIF('03_Eventos_pagamentos'!$E$766:$E$836,'04_TOTALIZADORA (3)'!A61))</f>
        <v/>
      </c>
      <c r="D61" s="1422">
        <f>SUMIF('03_Eventos_pagamentos'!$E$11:$E$699,A61,'03_Eventos_pagamentos'!$O$11:$O$697)+SUMIF('03_Eventos_pagamentos'!$E$766:$E$836,A61,'03_Eventos_pagamentos'!$O$766:$O$836)</f>
        <v/>
      </c>
      <c r="E61" s="523">
        <f>COUNTIF('03_Eventos_pagamentos'!$E$702:$E$763,'04_TOTALIZADORA (3)'!A61)</f>
        <v/>
      </c>
      <c r="F61" s="1485">
        <f>SUMIF('03_Eventos_pagamentos'!$E$702:$E$763,A61,'03_Eventos_pagamentos'!$O$702:$O$763)</f>
        <v/>
      </c>
      <c r="G61" s="1432">
        <f>D61+F61</f>
        <v/>
      </c>
      <c r="H61" s="1486">
        <f>D61+F61+H60</f>
        <v/>
      </c>
      <c r="I61" s="1481">
        <f>G61-S61</f>
        <v/>
      </c>
      <c r="J61" s="1481">
        <f>H61-T61</f>
        <v/>
      </c>
      <c r="K61" s="1448">
        <f>D61+F61-S61</f>
        <v/>
      </c>
      <c r="L61" s="1448">
        <f>SUMIF('03_Eventos_pagamentos'!$E$702:$E$763,H61,'03_Eventos_pagamentos'!$O$702:$O$763)</f>
        <v/>
      </c>
      <c r="M61" s="1448">
        <f>K61-L61</f>
        <v/>
      </c>
      <c r="N61" s="1448">
        <f>M61+S61</f>
        <v/>
      </c>
      <c r="O61" s="1452">
        <f>I61-R61</f>
        <v/>
      </c>
      <c r="P61" s="1422">
        <f>SUMIF('03_Eventos_pagamentos'!$P$11:$P$843,A62,'03_Eventos_pagamentos'!$Q$11:$Q$843)</f>
        <v/>
      </c>
      <c r="Q61" s="1487" t="n">
        <v>100000</v>
      </c>
      <c r="R61" s="1432">
        <f>P61+Q61</f>
        <v/>
      </c>
      <c r="S61" s="1488">
        <f>SUMIFS( '03_Eventos_pagamentos'!$O$11:$O$843,'03_Eventos_pagamentos'!$E$11:$E$843,A61,'03_Eventos_pagamentos'!$I$11:$I$843,"FAT. DIRETO")</f>
        <v/>
      </c>
      <c r="T61" s="1488">
        <f>S61+T60</f>
        <v/>
      </c>
      <c r="U61" s="1488">
        <f>P61+S61+U60</f>
        <v/>
      </c>
      <c r="V61" s="1431" t="n"/>
      <c r="W61" s="1431">
        <f>V61+W60</f>
        <v/>
      </c>
      <c r="X61" s="1431" t="n"/>
      <c r="Y61" s="1431">
        <f>Y60+X61</f>
        <v/>
      </c>
      <c r="Z61" s="1433" t="n"/>
      <c r="AA61" s="1434" t="n"/>
      <c r="AB61" s="1434" t="n"/>
      <c r="AC61" s="1434" t="n"/>
      <c r="AD61" s="1434" t="n"/>
      <c r="AE61" s="1435" t="n"/>
    </row>
    <row r="62">
      <c r="A62" s="758" t="n">
        <v>49</v>
      </c>
      <c r="B62" s="761" t="n">
        <v>46935</v>
      </c>
      <c r="C62" s="523">
        <f>SUM(COUNTIF('03_Eventos_pagamentos'!$E$11:$E$697,'04_TOTALIZADORA (3)'!A62)+COUNTIF('03_Eventos_pagamentos'!$E$766:$E$836,'04_TOTALIZADORA (3)'!A62))</f>
        <v/>
      </c>
      <c r="D62" s="1422">
        <f>SUMIF('03_Eventos_pagamentos'!$E$11:$E$699,A62,'03_Eventos_pagamentos'!$O$11:$O$697)+SUMIF('03_Eventos_pagamentos'!$E$766:$E$836,A62,'03_Eventos_pagamentos'!$O$766:$O$836)</f>
        <v/>
      </c>
      <c r="E62" s="523">
        <f>COUNTIF('03_Eventos_pagamentos'!$E$702:$E$763,'04_TOTALIZADORA (3)'!A62)</f>
        <v/>
      </c>
      <c r="F62" s="1485">
        <f>SUMIF('03_Eventos_pagamentos'!$E$702:$E$763,A62,'03_Eventos_pagamentos'!$O$702:$O$763)</f>
        <v/>
      </c>
      <c r="G62" s="1432">
        <f>D62+F62</f>
        <v/>
      </c>
      <c r="H62" s="1486">
        <f>D62+F62+H61</f>
        <v/>
      </c>
      <c r="I62" s="1481">
        <f>G62-S62</f>
        <v/>
      </c>
      <c r="J62" s="1481">
        <f>H62-T62</f>
        <v/>
      </c>
      <c r="K62" s="1448">
        <f>D62+F62-S62</f>
        <v/>
      </c>
      <c r="L62" s="1448">
        <f>SUMIF('03_Eventos_pagamentos'!$E$702:$E$763,H62,'03_Eventos_pagamentos'!$O$702:$O$763)</f>
        <v/>
      </c>
      <c r="M62" s="1448">
        <f>K62-L62</f>
        <v/>
      </c>
      <c r="N62" s="1448">
        <f>M62+S62</f>
        <v/>
      </c>
      <c r="O62" s="1452">
        <f>I62-R62</f>
        <v/>
      </c>
      <c r="P62" s="1422">
        <f>SUMIF('03_Eventos_pagamentos'!$P$11:$P$843,A63,'03_Eventos_pagamentos'!$Q$11:$Q$843)</f>
        <v/>
      </c>
      <c r="Q62" s="1487" t="n">
        <v>100000</v>
      </c>
      <c r="R62" s="1432">
        <f>P62+Q62</f>
        <v/>
      </c>
      <c r="S62" s="1488">
        <f>SUMIFS( '03_Eventos_pagamentos'!$O$11:$O$843,'03_Eventos_pagamentos'!$E$11:$E$843,A62,'03_Eventos_pagamentos'!$I$11:$I$843,"FAT. DIRETO")</f>
        <v/>
      </c>
      <c r="T62" s="1488">
        <f>S62+T61</f>
        <v/>
      </c>
      <c r="U62" s="1488">
        <f>P62+S62+U61</f>
        <v/>
      </c>
      <c r="V62" s="1431" t="n"/>
      <c r="W62" s="1431">
        <f>V62+W61</f>
        <v/>
      </c>
      <c r="X62" s="1431" t="n"/>
      <c r="Y62" s="1431">
        <f>Y61+X62</f>
        <v/>
      </c>
      <c r="Z62" s="1433" t="n"/>
      <c r="AA62" s="1434" t="n"/>
      <c r="AB62" s="1434" t="n"/>
      <c r="AC62" s="1434" t="n"/>
      <c r="AD62" s="1434" t="n"/>
      <c r="AE62" s="1435" t="n"/>
    </row>
    <row r="63">
      <c r="A63" s="758" t="n">
        <v>50</v>
      </c>
      <c r="B63" s="761" t="n">
        <v>46966</v>
      </c>
      <c r="C63" s="523">
        <f>SUM(COUNTIF('03_Eventos_pagamentos'!$E$11:$E$697,'04_TOTALIZADORA (3)'!A63)+COUNTIF('03_Eventos_pagamentos'!$E$766:$E$836,'04_TOTALIZADORA (3)'!A63))</f>
        <v/>
      </c>
      <c r="D63" s="1422">
        <f>SUMIF('03_Eventos_pagamentos'!$E$11:$E$699,A63,'03_Eventos_pagamentos'!$O$11:$O$697)+SUMIF('03_Eventos_pagamentos'!$E$766:$E$836,A63,'03_Eventos_pagamentos'!$O$766:$O$836)</f>
        <v/>
      </c>
      <c r="E63" s="523">
        <f>COUNTIF('03_Eventos_pagamentos'!$E$702:$E$763,'04_TOTALIZADORA (3)'!A63)</f>
        <v/>
      </c>
      <c r="F63" s="1485">
        <f>SUMIF('03_Eventos_pagamentos'!$E$702:$E$763,A63,'03_Eventos_pagamentos'!$O$702:$O$763)</f>
        <v/>
      </c>
      <c r="G63" s="1432">
        <f>D63+F63</f>
        <v/>
      </c>
      <c r="H63" s="1486">
        <f>D63+F63+H62</f>
        <v/>
      </c>
      <c r="I63" s="1481">
        <f>G63-S63</f>
        <v/>
      </c>
      <c r="J63" s="1481">
        <f>H63-T63</f>
        <v/>
      </c>
      <c r="K63" s="1448">
        <f>D63+F63-S63</f>
        <v/>
      </c>
      <c r="L63" s="1448">
        <f>SUMIF('03_Eventos_pagamentos'!$E$702:$E$763,H63,'03_Eventos_pagamentos'!$O$702:$O$763)</f>
        <v/>
      </c>
      <c r="M63" s="1448">
        <f>K63-L63</f>
        <v/>
      </c>
      <c r="N63" s="1448">
        <f>M63+S63</f>
        <v/>
      </c>
      <c r="O63" s="1452">
        <f>I63-R63</f>
        <v/>
      </c>
      <c r="P63" s="1422">
        <f>SUMIF('03_Eventos_pagamentos'!$P$11:$P$843,A64,'03_Eventos_pagamentos'!$Q$11:$Q$843)</f>
        <v/>
      </c>
      <c r="Q63" s="1487" t="n">
        <v>100000</v>
      </c>
      <c r="R63" s="1432">
        <f>P63+Q63</f>
        <v/>
      </c>
      <c r="S63" s="1488">
        <f>SUMIFS( '03_Eventos_pagamentos'!$O$11:$O$843,'03_Eventos_pagamentos'!$E$11:$E$843,A63,'03_Eventos_pagamentos'!$I$11:$I$843,"FAT. DIRETO")</f>
        <v/>
      </c>
      <c r="T63" s="1488">
        <f>S63+T62</f>
        <v/>
      </c>
      <c r="U63" s="1488">
        <f>P63+S63+U62</f>
        <v/>
      </c>
      <c r="V63" s="1431" t="n"/>
      <c r="W63" s="1431">
        <f>V63+W62</f>
        <v/>
      </c>
      <c r="X63" s="1431" t="n"/>
      <c r="Y63" s="1431">
        <f>Y62+X63</f>
        <v/>
      </c>
      <c r="Z63" s="1433" t="n"/>
      <c r="AA63" s="1434" t="n"/>
      <c r="AB63" s="1434" t="n"/>
      <c r="AC63" s="1434" t="n"/>
      <c r="AD63" s="1434" t="n"/>
      <c r="AE63" s="1435" t="n"/>
      <c r="AI63" s="1327" t="n"/>
    </row>
    <row r="64">
      <c r="A64" s="758" t="n">
        <v>51</v>
      </c>
      <c r="B64" s="761" t="n">
        <v>46997</v>
      </c>
      <c r="C64" s="523">
        <f>SUM(COUNTIF('03_Eventos_pagamentos'!$E$11:$E$697,'04_TOTALIZADORA (3)'!A64)+COUNTIF('03_Eventos_pagamentos'!$E$766:$E$836,'04_TOTALIZADORA (3)'!A64))</f>
        <v/>
      </c>
      <c r="D64" s="1422">
        <f>SUMIF('03_Eventos_pagamentos'!$E$11:$E$699,A64,'03_Eventos_pagamentos'!$O$11:$O$697)+SUMIF('03_Eventos_pagamentos'!$E$766:$E$836,A64,'03_Eventos_pagamentos'!$O$766:$O$836)</f>
        <v/>
      </c>
      <c r="E64" s="523">
        <f>COUNTIF('03_Eventos_pagamentos'!$E$702:$E$763,'04_TOTALIZADORA (3)'!A64)</f>
        <v/>
      </c>
      <c r="F64" s="1485">
        <f>SUMIF('03_Eventos_pagamentos'!$E$702:$E$763,A64,'03_Eventos_pagamentos'!$O$702:$O$763)</f>
        <v/>
      </c>
      <c r="G64" s="1432">
        <f>D64+F64</f>
        <v/>
      </c>
      <c r="H64" s="1486">
        <f>D64+F64+H63</f>
        <v/>
      </c>
      <c r="I64" s="1481">
        <f>G64-S64</f>
        <v/>
      </c>
      <c r="J64" s="1481">
        <f>H64-T64</f>
        <v/>
      </c>
      <c r="K64" s="1448">
        <f>D64+F64-S64</f>
        <v/>
      </c>
      <c r="L64" s="1448">
        <f>SUMIF('03_Eventos_pagamentos'!$E$702:$E$763,H64,'03_Eventos_pagamentos'!$O$702:$O$763)</f>
        <v/>
      </c>
      <c r="M64" s="1448">
        <f>K64-L64</f>
        <v/>
      </c>
      <c r="N64" s="1448">
        <f>M64+S64</f>
        <v/>
      </c>
      <c r="O64" s="1452">
        <f>I64-R64</f>
        <v/>
      </c>
      <c r="P64" s="1422">
        <f>SUMIF('03_Eventos_pagamentos'!$P$11:$P$843,A65,'03_Eventos_pagamentos'!$Q$11:$Q$843)</f>
        <v/>
      </c>
      <c r="Q64" s="1487" t="n">
        <v>100000</v>
      </c>
      <c r="R64" s="1432">
        <f>P64+Q64</f>
        <v/>
      </c>
      <c r="S64" s="1488">
        <f>SUMIFS( '03_Eventos_pagamentos'!$O$11:$O$843,'03_Eventos_pagamentos'!$E$11:$E$843,A64,'03_Eventos_pagamentos'!$I$11:$I$843,"FAT. DIRETO")</f>
        <v/>
      </c>
      <c r="T64" s="1488">
        <f>S64+T63</f>
        <v/>
      </c>
      <c r="U64" s="1488">
        <f>P64+S64+U63</f>
        <v/>
      </c>
      <c r="V64" s="1431" t="n"/>
      <c r="W64" s="1431">
        <f>V64+W63</f>
        <v/>
      </c>
      <c r="X64" s="1431" t="n"/>
      <c r="Y64" s="1431">
        <f>Y63+X64</f>
        <v/>
      </c>
      <c r="Z64" s="1433" t="n"/>
      <c r="AA64" s="1434" t="n"/>
      <c r="AB64" s="1434" t="n"/>
      <c r="AC64" s="1434" t="n"/>
      <c r="AD64" s="1434" t="n"/>
      <c r="AE64" s="1435" t="n"/>
    </row>
    <row r="65">
      <c r="A65" s="758" t="n">
        <v>52</v>
      </c>
      <c r="B65" s="761" t="n">
        <v>47027</v>
      </c>
      <c r="C65" s="523">
        <f>SUM(COUNTIF('03_Eventos_pagamentos'!$E$11:$E$697,'04_TOTALIZADORA (3)'!A65)+COUNTIF('03_Eventos_pagamentos'!$E$766:$E$836,'04_TOTALIZADORA (3)'!A65))</f>
        <v/>
      </c>
      <c r="D65" s="1422">
        <f>SUMIF('03_Eventos_pagamentos'!$E$11:$E$699,A65,'03_Eventos_pagamentos'!$O$11:$O$697)+SUMIF('03_Eventos_pagamentos'!$E$766:$E$836,A65,'03_Eventos_pagamentos'!$O$766:$O$836)</f>
        <v/>
      </c>
      <c r="E65" s="523">
        <f>COUNTIF('03_Eventos_pagamentos'!$E$702:$E$763,'04_TOTALIZADORA (3)'!A65)</f>
        <v/>
      </c>
      <c r="F65" s="1485">
        <f>SUMIF('03_Eventos_pagamentos'!$E$702:$E$763,A65,'03_Eventos_pagamentos'!$O$702:$O$763)</f>
        <v/>
      </c>
      <c r="G65" s="1432">
        <f>D65+F65</f>
        <v/>
      </c>
      <c r="H65" s="1486">
        <f>D65+F65+H64</f>
        <v/>
      </c>
      <c r="I65" s="1481">
        <f>G65-S65</f>
        <v/>
      </c>
      <c r="J65" s="1481">
        <f>H65-T65</f>
        <v/>
      </c>
      <c r="K65" s="1448">
        <f>D65+F65-S65</f>
        <v/>
      </c>
      <c r="L65" s="1448">
        <f>SUMIF('03_Eventos_pagamentos'!$E$702:$E$763,H65,'03_Eventos_pagamentos'!$O$702:$O$763)</f>
        <v/>
      </c>
      <c r="M65" s="1448">
        <f>K65-L65</f>
        <v/>
      </c>
      <c r="N65" s="1448">
        <f>M65+S65</f>
        <v/>
      </c>
      <c r="O65" s="1452">
        <f>I65-R65</f>
        <v/>
      </c>
      <c r="P65" s="1422">
        <f>SUMIF('03_Eventos_pagamentos'!$P$11:$P$843,A66,'03_Eventos_pagamentos'!$Q$11:$Q$843)</f>
        <v/>
      </c>
      <c r="Q65" s="1487" t="n">
        <v>100000</v>
      </c>
      <c r="R65" s="1432">
        <f>P65+Q65</f>
        <v/>
      </c>
      <c r="S65" s="1488">
        <f>SUMIFS( '03_Eventos_pagamentos'!$O$11:$O$843,'03_Eventos_pagamentos'!$E$11:$E$843,A65,'03_Eventos_pagamentos'!$I$11:$I$843,"FAT. DIRETO")</f>
        <v/>
      </c>
      <c r="T65" s="1488">
        <f>S65+T64</f>
        <v/>
      </c>
      <c r="U65" s="1488">
        <f>P65+S65+U64</f>
        <v/>
      </c>
      <c r="V65" s="1431" t="n"/>
      <c r="W65" s="1431">
        <f>V65+W64</f>
        <v/>
      </c>
      <c r="X65" s="1431" t="n"/>
      <c r="Y65" s="1431">
        <f>Y64+X65</f>
        <v/>
      </c>
      <c r="Z65" s="1433" t="n"/>
      <c r="AA65" s="1434" t="n"/>
      <c r="AB65" s="1434" t="n"/>
      <c r="AC65" s="1434" t="n"/>
      <c r="AD65" s="1434" t="n"/>
      <c r="AE65" s="1435" t="n"/>
    </row>
    <row r="66">
      <c r="A66" s="758" t="n">
        <v>53</v>
      </c>
      <c r="B66" s="761" t="n">
        <v>47058</v>
      </c>
      <c r="C66" s="523">
        <f>SUM(COUNTIF('03_Eventos_pagamentos'!$E$11:$E$697,'04_TOTALIZADORA (3)'!A66)+COUNTIF('03_Eventos_pagamentos'!$E$766:$E$836,'04_TOTALIZADORA (3)'!A66))</f>
        <v/>
      </c>
      <c r="D66" s="1422">
        <f>SUMIF('03_Eventos_pagamentos'!$E$11:$E$699,A66,'03_Eventos_pagamentos'!$O$11:$O$697)+SUMIF('03_Eventos_pagamentos'!$E$766:$E$836,A66,'03_Eventos_pagamentos'!$O$766:$O$836)</f>
        <v/>
      </c>
      <c r="E66" s="523">
        <f>COUNTIF('03_Eventos_pagamentos'!$E$702:$E$763,'04_TOTALIZADORA (3)'!A66)</f>
        <v/>
      </c>
      <c r="F66" s="1485">
        <f>SUMIF('03_Eventos_pagamentos'!$E$702:$E$763,A66,'03_Eventos_pagamentos'!$O$702:$O$763)</f>
        <v/>
      </c>
      <c r="G66" s="1432">
        <f>D66+F66</f>
        <v/>
      </c>
      <c r="H66" s="1486">
        <f>D66+F66+H65</f>
        <v/>
      </c>
      <c r="I66" s="1481">
        <f>G66-S66</f>
        <v/>
      </c>
      <c r="J66" s="1481">
        <f>H66-T66</f>
        <v/>
      </c>
      <c r="K66" s="1448">
        <f>D66+F66-S66</f>
        <v/>
      </c>
      <c r="L66" s="1448">
        <f>SUMIF('03_Eventos_pagamentos'!$E$702:$E$763,H66,'03_Eventos_pagamentos'!$O$702:$O$763)</f>
        <v/>
      </c>
      <c r="M66" s="1448">
        <f>K66-L66</f>
        <v/>
      </c>
      <c r="N66" s="1448">
        <f>M66+S66</f>
        <v/>
      </c>
      <c r="O66" s="1452">
        <f>I66-R66</f>
        <v/>
      </c>
      <c r="P66" s="1422">
        <f>SUMIF('03_Eventos_pagamentos'!$P$11:$P$843,A67,'03_Eventos_pagamentos'!$Q$11:$Q$843)</f>
        <v/>
      </c>
      <c r="Q66" s="1487" t="n">
        <v>100000</v>
      </c>
      <c r="R66" s="1432">
        <f>P66+Q66</f>
        <v/>
      </c>
      <c r="S66" s="1488">
        <f>SUMIFS( '03_Eventos_pagamentos'!$O$11:$O$843,'03_Eventos_pagamentos'!$E$11:$E$843,A66,'03_Eventos_pagamentos'!$I$11:$I$843,"FAT. DIRETO")</f>
        <v/>
      </c>
      <c r="T66" s="1488">
        <f>S66+T65</f>
        <v/>
      </c>
      <c r="U66" s="1488">
        <f>P66+S66+U65</f>
        <v/>
      </c>
      <c r="V66" s="1431" t="n"/>
      <c r="W66" s="1431">
        <f>V66+W65</f>
        <v/>
      </c>
      <c r="X66" s="1431" t="n">
        <v>124651.83</v>
      </c>
      <c r="Y66" s="1431">
        <f>Y65+X66</f>
        <v/>
      </c>
      <c r="Z66" s="1433" t="n"/>
      <c r="AA66" s="1434" t="n"/>
      <c r="AB66" s="1434" t="n"/>
      <c r="AC66" s="1434" t="n"/>
      <c r="AD66" s="1434" t="n"/>
      <c r="AE66" s="1435" t="n"/>
    </row>
    <row r="67">
      <c r="A67" s="758" t="n">
        <v>54</v>
      </c>
      <c r="B67" s="761" t="n">
        <v>47088</v>
      </c>
      <c r="C67" s="523">
        <f>SUM(COUNTIF('03_Eventos_pagamentos'!$E$11:$E$697,'04_TOTALIZADORA (3)'!A67)+COUNTIF('03_Eventos_pagamentos'!$E$766:$E$836,'04_TOTALIZADORA (3)'!A67))</f>
        <v/>
      </c>
      <c r="D67" s="1422">
        <f>SUMIF('03_Eventos_pagamentos'!$E$11:$E$699,A67,'03_Eventos_pagamentos'!$O$11:$O$697)+SUMIF('03_Eventos_pagamentos'!$E$766:$E$836,A67,'03_Eventos_pagamentos'!$O$766:$O$836)</f>
        <v/>
      </c>
      <c r="E67" s="523">
        <f>COUNTIF('03_Eventos_pagamentos'!$E$702:$E$763,'04_TOTALIZADORA (3)'!A67)</f>
        <v/>
      </c>
      <c r="F67" s="1485">
        <f>SUMIF('03_Eventos_pagamentos'!$E$702:$E$763,A67,'03_Eventos_pagamentos'!$O$702:$O$763)</f>
        <v/>
      </c>
      <c r="G67" s="1432">
        <f>D67+F67</f>
        <v/>
      </c>
      <c r="H67" s="1486">
        <f>D67+F67+H66</f>
        <v/>
      </c>
      <c r="I67" s="1481">
        <f>G67-S67</f>
        <v/>
      </c>
      <c r="J67" s="1481">
        <f>H67-T67</f>
        <v/>
      </c>
      <c r="K67" s="1448">
        <f>D67+F67-S67</f>
        <v/>
      </c>
      <c r="L67" s="1448">
        <f>SUMIF('03_Eventos_pagamentos'!$E$702:$E$763,H67,'03_Eventos_pagamentos'!$O$702:$O$763)</f>
        <v/>
      </c>
      <c r="M67" s="1448">
        <f>K67-L67</f>
        <v/>
      </c>
      <c r="N67" s="1448">
        <f>M67+S67</f>
        <v/>
      </c>
      <c r="O67" s="1452">
        <f>I67-R67</f>
        <v/>
      </c>
      <c r="P67" s="1422">
        <f>SUMIF('03_Eventos_pagamentos'!$P$11:$P$843,A68,'03_Eventos_pagamentos'!$Q$11:$Q$843)</f>
        <v/>
      </c>
      <c r="Q67" s="1487" t="n">
        <v>100000</v>
      </c>
      <c r="R67" s="1432">
        <f>P67+Q67</f>
        <v/>
      </c>
      <c r="S67" s="1488">
        <f>SUMIFS( '03_Eventos_pagamentos'!$O$11:$O$843,'03_Eventos_pagamentos'!$E$11:$E$843,A67,'03_Eventos_pagamentos'!$I$11:$I$843,"FAT. DIRETO")</f>
        <v/>
      </c>
      <c r="T67" s="1488">
        <f>S67+T66</f>
        <v/>
      </c>
      <c r="U67" s="1488">
        <f>P67+S67+U66</f>
        <v/>
      </c>
      <c r="V67" s="1431" t="n"/>
      <c r="W67" s="1431">
        <f>V67+W66</f>
        <v/>
      </c>
      <c r="X67" s="1431" t="n"/>
      <c r="Y67" s="1431">
        <f>Y66+X67</f>
        <v/>
      </c>
      <c r="Z67" s="1433" t="n"/>
      <c r="AA67" s="1434" t="n"/>
      <c r="AB67" s="1434" t="n"/>
      <c r="AC67" s="1434" t="n"/>
      <c r="AD67" s="1434" t="n"/>
      <c r="AE67" s="1435" t="n"/>
    </row>
    <row r="68">
      <c r="A68" s="758" t="n">
        <v>55</v>
      </c>
      <c r="B68" s="761" t="n">
        <v>47119</v>
      </c>
      <c r="C68" s="523">
        <f>SUM(COUNTIF('03_Eventos_pagamentos'!$E$11:$E$697,'04_TOTALIZADORA (3)'!A68)+COUNTIF('03_Eventos_pagamentos'!$E$766:$E$836,'04_TOTALIZADORA (3)'!A68))</f>
        <v/>
      </c>
      <c r="D68" s="1422">
        <f>SUMIF('03_Eventos_pagamentos'!$E$11:$E$699,A68,'03_Eventos_pagamentos'!$O$11:$O$697)+SUMIF('03_Eventos_pagamentos'!$E$766:$E$836,A68,'03_Eventos_pagamentos'!$O$766:$O$836)</f>
        <v/>
      </c>
      <c r="E68" s="523">
        <f>COUNTIF('03_Eventos_pagamentos'!$E$702:$E$763,'04_TOTALIZADORA (3)'!A68)</f>
        <v/>
      </c>
      <c r="F68" s="1485">
        <f>SUMIF('03_Eventos_pagamentos'!$E$702:$E$763,A68,'03_Eventos_pagamentos'!$O$702:$O$763)</f>
        <v/>
      </c>
      <c r="G68" s="1432">
        <f>D68+F68</f>
        <v/>
      </c>
      <c r="H68" s="1486">
        <f>D68+F68+H67</f>
        <v/>
      </c>
      <c r="I68" s="1481">
        <f>G68-S68</f>
        <v/>
      </c>
      <c r="J68" s="1481">
        <f>H68-T68</f>
        <v/>
      </c>
      <c r="K68" s="1448">
        <f>D68+F68-S68</f>
        <v/>
      </c>
      <c r="L68" s="1448">
        <f>SUMIF('03_Eventos_pagamentos'!$E$702:$E$763,H68,'03_Eventos_pagamentos'!$O$702:$O$763)</f>
        <v/>
      </c>
      <c r="M68" s="1448">
        <f>K68-L68</f>
        <v/>
      </c>
      <c r="N68" s="1448">
        <f>M68+S68</f>
        <v/>
      </c>
      <c r="O68" s="1452">
        <f>I68-R68</f>
        <v/>
      </c>
      <c r="P68" s="1422">
        <f>SUMIF('03_Eventos_pagamentos'!$P$11:$P$843,A69,'03_Eventos_pagamentos'!$Q$11:$Q$843)</f>
        <v/>
      </c>
      <c r="Q68" s="1487" t="n">
        <v>100000</v>
      </c>
      <c r="R68" s="1432">
        <f>P68+Q68</f>
        <v/>
      </c>
      <c r="S68" s="1488">
        <f>SUMIFS( '03_Eventos_pagamentos'!$O$11:$O$843,'03_Eventos_pagamentos'!$E$11:$E$843,A68,'03_Eventos_pagamentos'!$I$11:$I$843,"FAT. DIRETO")</f>
        <v/>
      </c>
      <c r="T68" s="1488">
        <f>S68+T67</f>
        <v/>
      </c>
      <c r="U68" s="1488">
        <f>P68+S68+U67</f>
        <v/>
      </c>
      <c r="V68" s="1431" t="n"/>
      <c r="W68" s="1431">
        <f>V68+W67</f>
        <v/>
      </c>
      <c r="X68" s="1431" t="n"/>
      <c r="Y68" s="1431">
        <f>Y67+X68</f>
        <v/>
      </c>
      <c r="Z68" s="1433" t="n"/>
      <c r="AA68" s="1434" t="n"/>
      <c r="AB68" s="1434" t="n"/>
      <c r="AC68" s="1434" t="n"/>
      <c r="AD68" s="1434" t="n"/>
      <c r="AE68" s="1435" t="n"/>
    </row>
    <row r="69">
      <c r="A69" s="758" t="n">
        <v>56</v>
      </c>
      <c r="B69" s="761" t="n">
        <v>47150</v>
      </c>
      <c r="C69" s="523">
        <f>SUM(COUNTIF('03_Eventos_pagamentos'!$E$11:$E$697,'04_TOTALIZADORA (3)'!A69)+COUNTIF('03_Eventos_pagamentos'!$E$766:$E$836,'04_TOTALIZADORA (3)'!A69))</f>
        <v/>
      </c>
      <c r="D69" s="1422">
        <f>SUMIF('03_Eventos_pagamentos'!$E$11:$E$699,A69,'03_Eventos_pagamentos'!$O$11:$O$697)+SUMIF('03_Eventos_pagamentos'!$E$766:$E$836,A69,'03_Eventos_pagamentos'!$O$766:$O$836)</f>
        <v/>
      </c>
      <c r="E69" s="523">
        <f>COUNTIF('03_Eventos_pagamentos'!$E$702:$E$763,'04_TOTALIZADORA (3)'!A69)</f>
        <v/>
      </c>
      <c r="F69" s="1485">
        <f>SUMIF('03_Eventos_pagamentos'!$E$702:$E$763,A69,'03_Eventos_pagamentos'!$O$702:$O$763)</f>
        <v/>
      </c>
      <c r="G69" s="1432">
        <f>D69+F69</f>
        <v/>
      </c>
      <c r="H69" s="1486">
        <f>D69+F69+H68</f>
        <v/>
      </c>
      <c r="I69" s="1481">
        <f>G69-S69</f>
        <v/>
      </c>
      <c r="J69" s="1481">
        <f>H69-T69</f>
        <v/>
      </c>
      <c r="K69" s="1448">
        <f>D69+F69-S69</f>
        <v/>
      </c>
      <c r="L69" s="1448">
        <f>SUMIF('03_Eventos_pagamentos'!$E$702:$E$763,H69,'03_Eventos_pagamentos'!$O$702:$O$763)</f>
        <v/>
      </c>
      <c r="M69" s="1448">
        <f>K69-L69</f>
        <v/>
      </c>
      <c r="N69" s="1448">
        <f>M69+S69</f>
        <v/>
      </c>
      <c r="O69" s="1452">
        <f>I69-R69</f>
        <v/>
      </c>
      <c r="P69" s="1422">
        <f>SUMIF('03_Eventos_pagamentos'!$P$11:$P$843,A70,'03_Eventos_pagamentos'!$Q$11:$Q$843)</f>
        <v/>
      </c>
      <c r="Q69" s="1487" t="n">
        <v>100000</v>
      </c>
      <c r="R69" s="1432">
        <f>P69+Q69</f>
        <v/>
      </c>
      <c r="S69" s="1488">
        <f>SUMIFS( '03_Eventos_pagamentos'!$O$11:$O$843,'03_Eventos_pagamentos'!$E$11:$E$843,A69,'03_Eventos_pagamentos'!$I$11:$I$843,"FAT. DIRETO")</f>
        <v/>
      </c>
      <c r="T69" s="1488">
        <f>S69+T68</f>
        <v/>
      </c>
      <c r="U69" s="1488">
        <f>P69+S69+U68</f>
        <v/>
      </c>
      <c r="V69" s="1431" t="n"/>
      <c r="W69" s="1431">
        <f>V69+W68</f>
        <v/>
      </c>
      <c r="X69" s="1431" t="n"/>
      <c r="Y69" s="1431">
        <f>Y68+X69</f>
        <v/>
      </c>
      <c r="Z69" s="1433" t="n"/>
      <c r="AA69" s="1434" t="n"/>
      <c r="AB69" s="1434" t="n"/>
      <c r="AC69" s="1434" t="n"/>
      <c r="AD69" s="1434" t="n"/>
      <c r="AE69" s="1435" t="n"/>
    </row>
    <row r="70">
      <c r="A70" s="758" t="n">
        <v>57</v>
      </c>
      <c r="B70" s="761" t="n">
        <v>47178</v>
      </c>
      <c r="C70" s="523">
        <f>SUM(COUNTIF('03_Eventos_pagamentos'!$E$11:$E$697,'04_TOTALIZADORA (3)'!A70)+COUNTIF('03_Eventos_pagamentos'!$E$766:$E$836,'04_TOTALIZADORA (3)'!A70))</f>
        <v/>
      </c>
      <c r="D70" s="1422">
        <f>SUMIF('03_Eventos_pagamentos'!$E$11:$E$699,A70,'03_Eventos_pagamentos'!$O$11:$O$697)+SUMIF('03_Eventos_pagamentos'!$E$766:$E$836,A70,'03_Eventos_pagamentos'!$O$766:$O$836)</f>
        <v/>
      </c>
      <c r="E70" s="523">
        <f>COUNTIF('03_Eventos_pagamentos'!$E$702:$E$763,'04_TOTALIZADORA (3)'!A70)</f>
        <v/>
      </c>
      <c r="F70" s="1485">
        <f>SUMIF('03_Eventos_pagamentos'!$E$702:$E$763,A70,'03_Eventos_pagamentos'!$O$702:$O$763)</f>
        <v/>
      </c>
      <c r="G70" s="1432">
        <f>D70+F70</f>
        <v/>
      </c>
      <c r="H70" s="1486">
        <f>D70+F70+H69</f>
        <v/>
      </c>
      <c r="I70" s="1481">
        <f>G70-S70</f>
        <v/>
      </c>
      <c r="J70" s="1481">
        <f>H70-T70</f>
        <v/>
      </c>
      <c r="K70" s="1448">
        <f>D70+F70-S70</f>
        <v/>
      </c>
      <c r="L70" s="1448">
        <f>SUMIF('03_Eventos_pagamentos'!$E$702:$E$763,H70,'03_Eventos_pagamentos'!$O$702:$O$763)</f>
        <v/>
      </c>
      <c r="M70" s="1448">
        <f>K70-L70</f>
        <v/>
      </c>
      <c r="N70" s="1448">
        <f>M70+S70</f>
        <v/>
      </c>
      <c r="O70" s="1452">
        <f>I70-R70</f>
        <v/>
      </c>
      <c r="P70" s="1422">
        <f>SUMIF('03_Eventos_pagamentos'!$P$11:$P$843,A71,'03_Eventos_pagamentos'!$Q$11:$Q$843)</f>
        <v/>
      </c>
      <c r="Q70" s="1487" t="n">
        <v>100000</v>
      </c>
      <c r="R70" s="1432">
        <f>P70+Q70</f>
        <v/>
      </c>
      <c r="S70" s="1488">
        <f>SUMIFS( '03_Eventos_pagamentos'!$O$11:$O$843,'03_Eventos_pagamentos'!$E$11:$E$843,A70,'03_Eventos_pagamentos'!$I$11:$I$843,"FAT. DIRETO")</f>
        <v/>
      </c>
      <c r="T70" s="1488">
        <f>S70+T69</f>
        <v/>
      </c>
      <c r="U70" s="1488">
        <f>P70+S70+U69</f>
        <v/>
      </c>
      <c r="V70" s="1431" t="n"/>
      <c r="W70" s="1431">
        <f>V70+W69</f>
        <v/>
      </c>
      <c r="X70" s="1431" t="n"/>
      <c r="Y70" s="1431">
        <f>Y69+X70</f>
        <v/>
      </c>
      <c r="Z70" s="1433" t="n"/>
      <c r="AA70" s="1434" t="n"/>
      <c r="AB70" s="1434" t="n"/>
      <c r="AC70" s="1434" t="n"/>
      <c r="AD70" s="1434" t="n"/>
      <c r="AE70" s="1435" t="n"/>
    </row>
    <row r="71">
      <c r="A71" s="758" t="n">
        <v>58</v>
      </c>
      <c r="B71" s="761" t="n">
        <v>47209</v>
      </c>
      <c r="C71" s="523">
        <f>SUM(COUNTIF('03_Eventos_pagamentos'!$E$11:$E$697,'04_TOTALIZADORA (3)'!A71)+COUNTIF('03_Eventos_pagamentos'!$E$766:$E$836,'04_TOTALIZADORA (3)'!A71))</f>
        <v/>
      </c>
      <c r="D71" s="1422">
        <f>SUMIF('03_Eventos_pagamentos'!$E$11:$E$699,A71,'03_Eventos_pagamentos'!$O$11:$O$697)+SUMIF('03_Eventos_pagamentos'!$E$766:$E$836,A71,'03_Eventos_pagamentos'!$O$766:$O$836)</f>
        <v/>
      </c>
      <c r="E71" s="523">
        <f>COUNTIF('03_Eventos_pagamentos'!$E$702:$E$763,'04_TOTALIZADORA (3)'!A71)</f>
        <v/>
      </c>
      <c r="F71" s="1485">
        <f>SUMIF('03_Eventos_pagamentos'!$E$702:$E$763,A71,'03_Eventos_pagamentos'!$O$702:$O$763)</f>
        <v/>
      </c>
      <c r="G71" s="1432">
        <f>D71+F71</f>
        <v/>
      </c>
      <c r="H71" s="1486">
        <f>D71+F71+H70</f>
        <v/>
      </c>
      <c r="I71" s="1481">
        <f>G71-S71</f>
        <v/>
      </c>
      <c r="J71" s="1481">
        <f>H71-T71</f>
        <v/>
      </c>
      <c r="K71" s="1448">
        <f>D71+F71-S71</f>
        <v/>
      </c>
      <c r="L71" s="1448">
        <f>SUMIF('03_Eventos_pagamentos'!$E$702:$E$763,H71,'03_Eventos_pagamentos'!$O$702:$O$763)</f>
        <v/>
      </c>
      <c r="M71" s="1448">
        <f>K71-L71</f>
        <v/>
      </c>
      <c r="N71" s="1448">
        <f>M71+S71</f>
        <v/>
      </c>
      <c r="O71" s="1452">
        <f>I71-R71</f>
        <v/>
      </c>
      <c r="P71" s="1422">
        <f>SUMIF('03_Eventos_pagamentos'!$P$11:$P$843,A72,'03_Eventos_pagamentos'!$Q$11:$Q$843)</f>
        <v/>
      </c>
      <c r="Q71" s="1487" t="n">
        <v>100000</v>
      </c>
      <c r="R71" s="1432">
        <f>P71+Q71</f>
        <v/>
      </c>
      <c r="S71" s="1488">
        <f>SUMIFS( '03_Eventos_pagamentos'!$O$11:$O$843,'03_Eventos_pagamentos'!$E$11:$E$843,A71,'03_Eventos_pagamentos'!$I$11:$I$843,"FAT. DIRETO")</f>
        <v/>
      </c>
      <c r="T71" s="1488">
        <f>S71+T70</f>
        <v/>
      </c>
      <c r="U71" s="1488">
        <f>P71+S71+U70</f>
        <v/>
      </c>
      <c r="V71" s="1431" t="n"/>
      <c r="W71" s="1431">
        <f>V71+W70</f>
        <v/>
      </c>
      <c r="X71" s="1431" t="n"/>
      <c r="Y71" s="1431">
        <f>Y70+X71</f>
        <v/>
      </c>
      <c r="Z71" s="1433" t="n"/>
      <c r="AA71" s="1434" t="n"/>
      <c r="AB71" s="1434" t="n"/>
      <c r="AC71" s="1434" t="n"/>
      <c r="AD71" s="1434" t="n"/>
      <c r="AE71" s="1435" t="n"/>
    </row>
    <row r="72">
      <c r="A72" s="758" t="n">
        <v>59</v>
      </c>
      <c r="B72" s="761" t="n">
        <v>47239</v>
      </c>
      <c r="C72" s="523">
        <f>SUM(COUNTIF('03_Eventos_pagamentos'!$E$11:$E$697,'04_TOTALIZADORA (3)'!A72)+COUNTIF('03_Eventos_pagamentos'!$E$766:$E$836,'04_TOTALIZADORA (3)'!A72))</f>
        <v/>
      </c>
      <c r="D72" s="1422">
        <f>SUMIF('03_Eventos_pagamentos'!$E$11:$E$699,A72,'03_Eventos_pagamentos'!$O$11:$O$697)+SUMIF('03_Eventos_pagamentos'!$E$766:$E$836,A72,'03_Eventos_pagamentos'!$O$766:$O$836)</f>
        <v/>
      </c>
      <c r="E72" s="523">
        <f>COUNTIF('03_Eventos_pagamentos'!$E$702:$E$763,'04_TOTALIZADORA (3)'!A72)</f>
        <v/>
      </c>
      <c r="F72" s="1485">
        <f>SUMIF('03_Eventos_pagamentos'!$E$702:$E$763,A72,'03_Eventos_pagamentos'!$O$702:$O$763)</f>
        <v/>
      </c>
      <c r="G72" s="1432">
        <f>D72+F72</f>
        <v/>
      </c>
      <c r="H72" s="1486">
        <f>D72+F72+H71</f>
        <v/>
      </c>
      <c r="I72" s="1481">
        <f>G72-S72</f>
        <v/>
      </c>
      <c r="J72" s="1481">
        <f>H72-T72</f>
        <v/>
      </c>
      <c r="K72" s="1448">
        <f>D72+F72-S72</f>
        <v/>
      </c>
      <c r="L72" s="1448">
        <f>SUMIF('03_Eventos_pagamentos'!$E$702:$E$763,H72,'03_Eventos_pagamentos'!$O$702:$O$763)</f>
        <v/>
      </c>
      <c r="M72" s="1448">
        <f>K72-L72</f>
        <v/>
      </c>
      <c r="N72" s="1448">
        <f>M72+S72</f>
        <v/>
      </c>
      <c r="O72" s="1452">
        <f>I72-R72</f>
        <v/>
      </c>
      <c r="P72" s="1422">
        <f>SUMIF('03_Eventos_pagamentos'!$P$11:$P$843,A73,'03_Eventos_pagamentos'!$Q$11:$Q$843)</f>
        <v/>
      </c>
      <c r="Q72" s="1487" t="n">
        <v>100000</v>
      </c>
      <c r="R72" s="1432">
        <f>P72+Q72</f>
        <v/>
      </c>
      <c r="S72" s="1488">
        <f>SUMIFS( '03_Eventos_pagamentos'!$O$11:$O$843,'03_Eventos_pagamentos'!$E$11:$E$843,A72,'03_Eventos_pagamentos'!$I$11:$I$843,"FAT. DIRETO")</f>
        <v/>
      </c>
      <c r="T72" s="1488">
        <f>S72+T71</f>
        <v/>
      </c>
      <c r="U72" s="1488">
        <f>P72+S72+U71</f>
        <v/>
      </c>
      <c r="V72" s="1431" t="n"/>
      <c r="W72" s="1431">
        <f>V72+W71</f>
        <v/>
      </c>
      <c r="X72" s="1431" t="n"/>
      <c r="Y72" s="1431">
        <f>Y71+X72</f>
        <v/>
      </c>
      <c r="Z72" s="1433" t="n"/>
      <c r="AA72" s="1434" t="n"/>
      <c r="AB72" s="1434" t="n"/>
      <c r="AC72" s="1434" t="n"/>
      <c r="AD72" s="1434" t="n"/>
      <c r="AE72" s="1435" t="n"/>
    </row>
    <row r="73">
      <c r="A73" s="758" t="n">
        <v>60</v>
      </c>
      <c r="B73" s="761" t="n">
        <v>47270</v>
      </c>
      <c r="C73" s="523">
        <f>SUM(COUNTIF('03_Eventos_pagamentos'!$E$11:$E$697,'04_TOTALIZADORA (3)'!A73)+COUNTIF('03_Eventos_pagamentos'!$E$766:$E$836,'04_TOTALIZADORA (3)'!A73))</f>
        <v/>
      </c>
      <c r="D73" s="1422">
        <f>SUMIF('03_Eventos_pagamentos'!$E$11:$E$699,A73,'03_Eventos_pagamentos'!$O$11:$O$697)+SUMIF('03_Eventos_pagamentos'!$E$766:$E$836,A73,'03_Eventos_pagamentos'!$O$766:$O$836)</f>
        <v/>
      </c>
      <c r="E73" s="523">
        <f>COUNTIF('03_Eventos_pagamentos'!$E$702:$E$763,'04_TOTALIZADORA (3)'!A73)</f>
        <v/>
      </c>
      <c r="F73" s="1485">
        <f>SUMIF('03_Eventos_pagamentos'!$E$702:$E$763,A73,'03_Eventos_pagamentos'!$O$702:$O$763)</f>
        <v/>
      </c>
      <c r="G73" s="1432">
        <f>D73+F73</f>
        <v/>
      </c>
      <c r="H73" s="1486">
        <f>D73+F73+H72</f>
        <v/>
      </c>
      <c r="I73" s="1481">
        <f>G73-S73</f>
        <v/>
      </c>
      <c r="J73" s="1481">
        <f>H73-T73</f>
        <v/>
      </c>
      <c r="K73" s="1448">
        <f>D73+F73-S73</f>
        <v/>
      </c>
      <c r="L73" s="1448">
        <f>SUMIF('03_Eventos_pagamentos'!$E$702:$E$763,H73,'03_Eventos_pagamentos'!$O$702:$O$763)</f>
        <v/>
      </c>
      <c r="M73" s="1448">
        <f>K73-L73</f>
        <v/>
      </c>
      <c r="N73" s="1448">
        <f>M73+S73</f>
        <v/>
      </c>
      <c r="O73" s="1452">
        <f>I73-R73</f>
        <v/>
      </c>
      <c r="P73" s="1422">
        <f>SUMIF('03_Eventos_pagamentos'!$P$11:$P$843,A74,'03_Eventos_pagamentos'!$Q$11:$Q$843)</f>
        <v/>
      </c>
      <c r="Q73" s="1487" t="n">
        <v>100000</v>
      </c>
      <c r="R73" s="1432">
        <f>P73+Q73</f>
        <v/>
      </c>
      <c r="S73" s="1488">
        <f>SUMIFS( '03_Eventos_pagamentos'!$O$11:$O$843,'03_Eventos_pagamentos'!$E$11:$E$843,A73,'03_Eventos_pagamentos'!$I$11:$I$843,"FAT. DIRETO")</f>
        <v/>
      </c>
      <c r="T73" s="1488">
        <f>S73+T72</f>
        <v/>
      </c>
      <c r="U73" s="1488">
        <f>P73+S73+U72</f>
        <v/>
      </c>
      <c r="V73" s="1431" t="n"/>
      <c r="W73" s="1431">
        <f>V73+W72</f>
        <v/>
      </c>
      <c r="X73" s="1431" t="n"/>
      <c r="Y73" s="1431">
        <f>Y72+X73</f>
        <v/>
      </c>
      <c r="Z73" s="1433" t="n"/>
      <c r="AA73" s="1434" t="n"/>
      <c r="AB73" s="1434" t="n"/>
      <c r="AC73" s="1434" t="n"/>
      <c r="AD73" s="1434" t="n"/>
      <c r="AE73" s="1435" t="n"/>
    </row>
    <row r="74">
      <c r="A74" s="758" t="n">
        <v>61</v>
      </c>
      <c r="B74" s="761" t="n">
        <v>47300</v>
      </c>
      <c r="C74" s="523">
        <f>SUM(COUNTIF('03_Eventos_pagamentos'!$E$11:$E$697,'04_TOTALIZADORA (3)'!A74)+COUNTIF('03_Eventos_pagamentos'!$E$766:$E$836,'04_TOTALIZADORA (3)'!A74))</f>
        <v/>
      </c>
      <c r="D74" s="1422">
        <f>SUMIF('03_Eventos_pagamentos'!$E$11:$E$699,A74,'03_Eventos_pagamentos'!$O$11:$O$697)+SUMIF('03_Eventos_pagamentos'!$E$766:$E$836,A74,'03_Eventos_pagamentos'!$O$766:$O$836)</f>
        <v/>
      </c>
      <c r="E74" s="523">
        <f>COUNTIF('03_Eventos_pagamentos'!$E$702:$E$763,'04_TOTALIZADORA (3)'!A74)</f>
        <v/>
      </c>
      <c r="F74" s="1485">
        <f>SUMIF('03_Eventos_pagamentos'!$E$702:$E$763,A74,'03_Eventos_pagamentos'!$O$702:$O$763)</f>
        <v/>
      </c>
      <c r="G74" s="1432">
        <f>D74+F74</f>
        <v/>
      </c>
      <c r="H74" s="1486">
        <f>D74+F74+H73</f>
        <v/>
      </c>
      <c r="I74" s="1481">
        <f>G74-S74</f>
        <v/>
      </c>
      <c r="J74" s="1481">
        <f>H74-T74</f>
        <v/>
      </c>
      <c r="K74" s="1448">
        <f>D74+F74-S74</f>
        <v/>
      </c>
      <c r="L74" s="1448">
        <f>SUMIF('03_Eventos_pagamentos'!$E$702:$E$763,H74,'03_Eventos_pagamentos'!$O$702:$O$763)</f>
        <v/>
      </c>
      <c r="M74" s="1448">
        <f>K74-L74</f>
        <v/>
      </c>
      <c r="N74" s="1448">
        <f>M74+S74</f>
        <v/>
      </c>
      <c r="O74" s="1452">
        <f>I74-R74</f>
        <v/>
      </c>
      <c r="P74" s="1422">
        <f>SUMIF('03_Eventos_pagamentos'!$P$11:$P$843,A75,'03_Eventos_pagamentos'!$Q$11:$Q$843)</f>
        <v/>
      </c>
      <c r="Q74" s="1487" t="n">
        <v>100000</v>
      </c>
      <c r="R74" s="1432">
        <f>P74+Q74</f>
        <v/>
      </c>
      <c r="S74" s="1488">
        <f>SUMIFS( '03_Eventos_pagamentos'!$O$11:$O$843,'03_Eventos_pagamentos'!$E$11:$E$843,A74,'03_Eventos_pagamentos'!$I$11:$I$843,"FAT. DIRETO")</f>
        <v/>
      </c>
      <c r="T74" s="1488">
        <f>S74+T73</f>
        <v/>
      </c>
      <c r="U74" s="1488">
        <f>P74+S74+U73</f>
        <v/>
      </c>
      <c r="V74" s="1431" t="n"/>
      <c r="W74" s="1431">
        <f>V74+W73</f>
        <v/>
      </c>
      <c r="X74" s="1431" t="n"/>
      <c r="Y74" s="1431">
        <f>Y73+X74</f>
        <v/>
      </c>
      <c r="Z74" s="1433" t="n"/>
      <c r="AA74" s="1434" t="n"/>
      <c r="AB74" s="1434" t="n"/>
      <c r="AC74" s="1434" t="n"/>
      <c r="AD74" s="1434" t="n"/>
      <c r="AE74" s="1435" t="n"/>
    </row>
    <row r="75">
      <c r="A75" s="758" t="n">
        <v>62</v>
      </c>
      <c r="B75" s="761" t="n">
        <v>47331</v>
      </c>
      <c r="C75" s="523">
        <f>SUM(COUNTIF('03_Eventos_pagamentos'!$E$11:$E$697,'04_TOTALIZADORA (3)'!A75)+COUNTIF('03_Eventos_pagamentos'!$E$766:$E$836,'04_TOTALIZADORA (3)'!A75))</f>
        <v/>
      </c>
      <c r="D75" s="1422">
        <f>SUMIF('03_Eventos_pagamentos'!$E$11:$E$699,A75,'03_Eventos_pagamentos'!$O$11:$O$697)+SUMIF('03_Eventos_pagamentos'!$E$766:$E$836,A75,'03_Eventos_pagamentos'!$O$766:$O$836)</f>
        <v/>
      </c>
      <c r="E75" s="523">
        <f>COUNTIF('03_Eventos_pagamentos'!$E$702:$E$763,'04_TOTALIZADORA (3)'!A75)</f>
        <v/>
      </c>
      <c r="F75" s="1485">
        <f>SUMIF('03_Eventos_pagamentos'!$E$702:$E$763,A75,'03_Eventos_pagamentos'!$O$702:$O$763)</f>
        <v/>
      </c>
      <c r="G75" s="1432">
        <f>D75+F75</f>
        <v/>
      </c>
      <c r="H75" s="1486">
        <f>D75+F75+H74</f>
        <v/>
      </c>
      <c r="I75" s="1481">
        <f>G75-S75</f>
        <v/>
      </c>
      <c r="J75" s="1481">
        <f>H75-T75</f>
        <v/>
      </c>
      <c r="K75" s="1448">
        <f>D75+F75-S75</f>
        <v/>
      </c>
      <c r="L75" s="1448">
        <f>SUMIF('03_Eventos_pagamentos'!$E$702:$E$763,H75,'03_Eventos_pagamentos'!$O$702:$O$763)</f>
        <v/>
      </c>
      <c r="M75" s="1448">
        <f>K75-L75</f>
        <v/>
      </c>
      <c r="N75" s="1448">
        <f>M75+S75</f>
        <v/>
      </c>
      <c r="O75" s="1452">
        <f>I75-R75</f>
        <v/>
      </c>
      <c r="P75" s="1422">
        <f>SUMIF('03_Eventos_pagamentos'!$P$11:$P$843,A76,'03_Eventos_pagamentos'!$Q$11:$Q$843)</f>
        <v/>
      </c>
      <c r="Q75" s="1487" t="n">
        <v>100000</v>
      </c>
      <c r="R75" s="1432">
        <f>P75+Q75</f>
        <v/>
      </c>
      <c r="S75" s="1488">
        <f>SUMIFS( '03_Eventos_pagamentos'!$O$11:$O$843,'03_Eventos_pagamentos'!$E$11:$E$843,A75,'03_Eventos_pagamentos'!$I$11:$I$843,"FAT. DIRETO")</f>
        <v/>
      </c>
      <c r="T75" s="1488">
        <f>S75+T74</f>
        <v/>
      </c>
      <c r="U75" s="1488">
        <f>P75+S75+U74</f>
        <v/>
      </c>
      <c r="V75" s="1431" t="n"/>
      <c r="W75" s="1431">
        <f>V75+W74</f>
        <v/>
      </c>
      <c r="X75" s="1431" t="n"/>
      <c r="Y75" s="1431">
        <f>Y74+X75</f>
        <v/>
      </c>
      <c r="Z75" s="1433" t="n"/>
      <c r="AA75" s="1434" t="n"/>
      <c r="AB75" s="1434" t="n"/>
      <c r="AC75" s="1434" t="n"/>
      <c r="AD75" s="1434" t="n"/>
      <c r="AE75" s="1435" t="n"/>
    </row>
    <row r="76">
      <c r="A76" s="758" t="n">
        <v>63</v>
      </c>
      <c r="B76" s="761" t="n">
        <v>47362</v>
      </c>
      <c r="C76" s="523">
        <f>SUM(COUNTIF('03_Eventos_pagamentos'!$E$11:$E$697,'04_TOTALIZADORA (3)'!A76)+COUNTIF('03_Eventos_pagamentos'!$E$766:$E$836,'04_TOTALIZADORA (3)'!A76))</f>
        <v/>
      </c>
      <c r="D76" s="1422">
        <f>SUMIF('03_Eventos_pagamentos'!$E$11:$E$699,A76,'03_Eventos_pagamentos'!$O$11:$O$697)+SUMIF('03_Eventos_pagamentos'!$E$766:$E$836,A76,'03_Eventos_pagamentos'!$O$766:$O$836)</f>
        <v/>
      </c>
      <c r="E76" s="523">
        <f>COUNTIF('03_Eventos_pagamentos'!$E$702:$E$763,'04_TOTALIZADORA (3)'!A76)</f>
        <v/>
      </c>
      <c r="F76" s="1485">
        <f>SUMIF('03_Eventos_pagamentos'!$E$702:$E$763,A76,'03_Eventos_pagamentos'!$O$702:$O$763)</f>
        <v/>
      </c>
      <c r="G76" s="1432">
        <f>D76+F76</f>
        <v/>
      </c>
      <c r="H76" s="1486">
        <f>D76+F76+H75</f>
        <v/>
      </c>
      <c r="I76" s="1481">
        <f>G76-S76</f>
        <v/>
      </c>
      <c r="J76" s="1481">
        <f>H76-T76</f>
        <v/>
      </c>
      <c r="K76" s="1448">
        <f>D76+F76-S76</f>
        <v/>
      </c>
      <c r="L76" s="1448">
        <f>SUMIF('03_Eventos_pagamentos'!$E$702:$E$763,H76,'03_Eventos_pagamentos'!$O$702:$O$763)</f>
        <v/>
      </c>
      <c r="M76" s="1448">
        <f>K76-L76</f>
        <v/>
      </c>
      <c r="N76" s="1448">
        <f>M76+S76</f>
        <v/>
      </c>
      <c r="O76" s="1452">
        <f>I76-R76</f>
        <v/>
      </c>
      <c r="P76" s="1422">
        <f>SUMIF('03_Eventos_pagamentos'!$P$11:$P$843,A77,'03_Eventos_pagamentos'!$Q$11:$Q$843)</f>
        <v/>
      </c>
      <c r="Q76" s="1487" t="n">
        <v>100000</v>
      </c>
      <c r="R76" s="1432">
        <f>P76+Q76</f>
        <v/>
      </c>
      <c r="S76" s="1488">
        <f>SUMIFS( '03_Eventos_pagamentos'!$O$11:$O$843,'03_Eventos_pagamentos'!$E$11:$E$843,A76,'03_Eventos_pagamentos'!$I$11:$I$843,"FAT. DIRETO")</f>
        <v/>
      </c>
      <c r="T76" s="1488">
        <f>S76+T75</f>
        <v/>
      </c>
      <c r="U76" s="1488">
        <f>P76+S76+U75</f>
        <v/>
      </c>
      <c r="V76" s="1431" t="n"/>
      <c r="W76" s="1431">
        <f>V76+W75</f>
        <v/>
      </c>
      <c r="X76" s="1431" t="n"/>
      <c r="Y76" s="1431">
        <f>Y75+X76</f>
        <v/>
      </c>
      <c r="Z76" s="1433" t="n"/>
      <c r="AA76" s="1434" t="n"/>
      <c r="AB76" s="1434" t="n"/>
      <c r="AC76" s="1434" t="n"/>
      <c r="AD76" s="1434" t="n"/>
      <c r="AE76" s="1435" t="n"/>
    </row>
    <row r="77">
      <c r="A77" s="758" t="n">
        <v>64</v>
      </c>
      <c r="B77" s="761" t="n">
        <v>47392</v>
      </c>
      <c r="C77" s="523">
        <f>SUM(COUNTIF('03_Eventos_pagamentos'!$E$11:$E$697,'04_TOTALIZADORA (3)'!A77)+COUNTIF('03_Eventos_pagamentos'!$E$766:$E$836,'04_TOTALIZADORA (3)'!A77))</f>
        <v/>
      </c>
      <c r="D77" s="1422">
        <f>SUMIF('03_Eventos_pagamentos'!$E$11:$E$699,A77,'03_Eventos_pagamentos'!$O$11:$O$697)+SUMIF('03_Eventos_pagamentos'!$E$766:$E$836,A77,'03_Eventos_pagamentos'!$O$766:$O$836)</f>
        <v/>
      </c>
      <c r="E77" s="523">
        <f>COUNTIF('03_Eventos_pagamentos'!$E$702:$E$763,'04_TOTALIZADORA (3)'!A77)</f>
        <v/>
      </c>
      <c r="F77" s="1485">
        <f>SUMIF('03_Eventos_pagamentos'!$E$702:$E$763,A77,'03_Eventos_pagamentos'!$O$702:$O$763)</f>
        <v/>
      </c>
      <c r="G77" s="1432">
        <f>D77+F77</f>
        <v/>
      </c>
      <c r="H77" s="1486">
        <f>D77+F77+H76</f>
        <v/>
      </c>
      <c r="I77" s="1481">
        <f>G77-S77</f>
        <v/>
      </c>
      <c r="J77" s="1481">
        <f>H77-T77</f>
        <v/>
      </c>
      <c r="K77" s="1448">
        <f>D77+F77-S77</f>
        <v/>
      </c>
      <c r="L77" s="1448">
        <f>SUMIF('03_Eventos_pagamentos'!$E$702:$E$763,H77,'03_Eventos_pagamentos'!$O$702:$O$763)</f>
        <v/>
      </c>
      <c r="M77" s="1448">
        <f>K77-L77</f>
        <v/>
      </c>
      <c r="N77" s="1448">
        <f>M77+S77</f>
        <v/>
      </c>
      <c r="O77" s="1452">
        <f>I77-R77</f>
        <v/>
      </c>
      <c r="P77" s="1422">
        <f>SUMIF('03_Eventos_pagamentos'!$P$11:$P$843,A78,'03_Eventos_pagamentos'!$Q$11:$Q$843)</f>
        <v/>
      </c>
      <c r="Q77" s="1487" t="n">
        <v>100000</v>
      </c>
      <c r="R77" s="1432">
        <f>P77+Q77</f>
        <v/>
      </c>
      <c r="S77" s="1488">
        <f>SUMIFS( '03_Eventos_pagamentos'!$O$11:$O$843,'03_Eventos_pagamentos'!$E$11:$E$843,A77,'03_Eventos_pagamentos'!$I$11:$I$843,"FAT. DIRETO")</f>
        <v/>
      </c>
      <c r="T77" s="1488">
        <f>S77+T76</f>
        <v/>
      </c>
      <c r="U77" s="1488">
        <f>P77+S77+U76</f>
        <v/>
      </c>
      <c r="V77" s="1431" t="n"/>
      <c r="W77" s="1431">
        <f>V77+W76</f>
        <v/>
      </c>
      <c r="X77" s="1431" t="n"/>
      <c r="Y77" s="1431">
        <f>Y76+X77</f>
        <v/>
      </c>
      <c r="Z77" s="1433" t="n"/>
      <c r="AA77" s="1434" t="n"/>
      <c r="AB77" s="1434" t="n"/>
      <c r="AC77" s="1434" t="n"/>
      <c r="AD77" s="1434" t="n"/>
      <c r="AE77" s="1435" t="n"/>
    </row>
    <row r="78" ht="15" customHeight="1" thickBot="1">
      <c r="A78" s="758" t="n">
        <v>65</v>
      </c>
      <c r="B78" s="761" t="n">
        <v>47423</v>
      </c>
      <c r="C78" s="523">
        <f>SUM(COUNTIF('03_Eventos_pagamentos'!$E$11:$E$697,'04_TOTALIZADORA (3)'!A78)+COUNTIF('03_Eventos_pagamentos'!$E$766:$E$836,'04_TOTALIZADORA (3)'!A78))</f>
        <v/>
      </c>
      <c r="D78" s="1422">
        <f>SUMIF('03_Eventos_pagamentos'!$E$11:$E$699,A78,'03_Eventos_pagamentos'!$O$11:$O$697)+SUMIF('03_Eventos_pagamentos'!$E$766:$E$836,A78,'03_Eventos_pagamentos'!$O$766:$O$836)</f>
        <v/>
      </c>
      <c r="E78" s="523">
        <f>COUNTIF('03_Eventos_pagamentos'!$E$702:$E$763,'04_TOTALIZADORA (3)'!A78)</f>
        <v/>
      </c>
      <c r="F78" s="1485">
        <f>SUMIF('03_Eventos_pagamentos'!$E$702:$E$763,A78,'03_Eventos_pagamentos'!$O$702:$O$763)</f>
        <v/>
      </c>
      <c r="G78" s="1432">
        <f>D78+F78</f>
        <v/>
      </c>
      <c r="H78" s="1486">
        <f>D78+F78+H77</f>
        <v/>
      </c>
      <c r="I78" s="1481">
        <f>G78-S78</f>
        <v/>
      </c>
      <c r="J78" s="1481">
        <f>H78-T78</f>
        <v/>
      </c>
      <c r="K78" s="1448">
        <f>D78+F78-S78</f>
        <v/>
      </c>
      <c r="L78" s="1448">
        <f>SUMIF('03_Eventos_pagamentos'!$E$702:$E$763,H78,'03_Eventos_pagamentos'!$O$702:$O$763)</f>
        <v/>
      </c>
      <c r="M78" s="1448">
        <f>K78-L78</f>
        <v/>
      </c>
      <c r="N78" s="1448">
        <f>M78+S78</f>
        <v/>
      </c>
      <c r="O78" s="1452">
        <f>I78-R78</f>
        <v/>
      </c>
      <c r="P78" s="1422">
        <f>SUMIF('03_Eventos_pagamentos'!$P$11:$P$843,A79,'03_Eventos_pagamentos'!$Q$11:$Q$843)</f>
        <v/>
      </c>
      <c r="Q78" s="1487" t="n">
        <v>100000</v>
      </c>
      <c r="R78" s="1432">
        <f>P78+Q78</f>
        <v/>
      </c>
      <c r="S78" s="1488">
        <f>SUMIFS( '03_Eventos_pagamentos'!$O$11:$O$843,'03_Eventos_pagamentos'!$E$11:$E$843,A78,'03_Eventos_pagamentos'!$I$11:$I$843,"FAT. DIRETO")</f>
        <v/>
      </c>
      <c r="T78" s="1488">
        <f>S78+T77</f>
        <v/>
      </c>
      <c r="U78" s="1488">
        <f>P78+S78+U77</f>
        <v/>
      </c>
      <c r="V78" s="1431" t="n"/>
      <c r="W78" s="1431">
        <f>V78+W77</f>
        <v/>
      </c>
      <c r="X78" s="1431" t="n"/>
      <c r="Y78" s="1431">
        <f>Y77+X78</f>
        <v/>
      </c>
      <c r="Z78" s="1433" t="n"/>
      <c r="AA78" s="1434" t="n"/>
      <c r="AB78" s="1434" t="n"/>
      <c r="AC78" s="1434" t="n"/>
      <c r="AD78" s="1434" t="n"/>
      <c r="AE78" s="1435" t="n"/>
    </row>
    <row r="79" ht="14.4" customHeight="1">
      <c r="A79" s="758" t="n">
        <v>66</v>
      </c>
      <c r="B79" s="761" t="n">
        <v>47453</v>
      </c>
      <c r="C79" s="523">
        <f>SUM(COUNTIF('03_Eventos_pagamentos'!$E$11:$E$697,'04_TOTALIZADORA (3)'!A79)+COUNTIF('03_Eventos_pagamentos'!$E$766:$E$836,'04_TOTALIZADORA (3)'!A79))</f>
        <v/>
      </c>
      <c r="D79" s="1422">
        <f>SUMIF('03_Eventos_pagamentos'!$E$11:$E$699,A79,'03_Eventos_pagamentos'!$O$11:$O$697)+SUMIF('03_Eventos_pagamentos'!$E$766:$E$836,A79,'03_Eventos_pagamentos'!$O$766:$O$836)</f>
        <v/>
      </c>
      <c r="E79" s="523">
        <f>COUNTIF('03_Eventos_pagamentos'!$E$702:$E$763,'04_TOTALIZADORA (3)'!A79)</f>
        <v/>
      </c>
      <c r="F79" s="1485">
        <f>SUMIF('03_Eventos_pagamentos'!$E$702:$E$763,A79,'03_Eventos_pagamentos'!$O$702:$O$763)</f>
        <v/>
      </c>
      <c r="G79" s="1432">
        <f>D79+F79</f>
        <v/>
      </c>
      <c r="H79" s="1486">
        <f>D79+F79+H78</f>
        <v/>
      </c>
      <c r="I79" s="1481">
        <f>G79-S79</f>
        <v/>
      </c>
      <c r="J79" s="1481">
        <f>H79-T79</f>
        <v/>
      </c>
      <c r="K79" s="1448">
        <f>D79+F79-S79</f>
        <v/>
      </c>
      <c r="L79" s="1448">
        <f>SUMIF('03_Eventos_pagamentos'!$E$702:$E$763,H79,'03_Eventos_pagamentos'!$O$702:$O$763)</f>
        <v/>
      </c>
      <c r="M79" s="1448">
        <f>K79-L79</f>
        <v/>
      </c>
      <c r="N79" s="1448">
        <f>M79+S79</f>
        <v/>
      </c>
      <c r="O79" s="1452">
        <f>I79-R79</f>
        <v/>
      </c>
      <c r="P79" s="1422">
        <f>SUMIF('03_Eventos_pagamentos'!$P$11:$P$843,A80,'03_Eventos_pagamentos'!$Q$11:$Q$843)</f>
        <v/>
      </c>
      <c r="Q79" s="1487" t="n">
        <v>100000</v>
      </c>
      <c r="R79" s="1432">
        <f>P79+Q79</f>
        <v/>
      </c>
      <c r="S79" s="1488">
        <f>SUMIFS( '03_Eventos_pagamentos'!$O$11:$O$843,'03_Eventos_pagamentos'!$E$11:$E$843,A79,'03_Eventos_pagamentos'!$I$11:$I$843,"FAT. DIRETO")</f>
        <v/>
      </c>
      <c r="T79" s="1488">
        <f>S79+T78</f>
        <v/>
      </c>
      <c r="U79" s="1488">
        <f>P79+S79+U78</f>
        <v/>
      </c>
      <c r="V79" s="1431" t="n"/>
      <c r="W79" s="1431">
        <f>V79+W78</f>
        <v/>
      </c>
      <c r="X79" s="1431" t="n"/>
      <c r="Y79" s="1431">
        <f>Y78+X79</f>
        <v/>
      </c>
      <c r="Z79" s="1433" t="n"/>
      <c r="AA79" s="1434" t="n"/>
      <c r="AB79" s="1434" t="n"/>
      <c r="AC79" s="1434" t="n"/>
      <c r="AD79" s="1436" t="inlineStr">
        <is>
          <t>VALOR AMORTIZADO</t>
        </is>
      </c>
      <c r="AE79" s="1437">
        <f>(SUM(V28,V30,V32)/0.85)*0.15</f>
        <v/>
      </c>
    </row>
    <row r="80" ht="15" customHeight="1">
      <c r="A80" s="758" t="n">
        <v>67</v>
      </c>
      <c r="B80" s="761" t="n">
        <v>47484</v>
      </c>
      <c r="C80" s="523">
        <f>SUM(COUNTIF('03_Eventos_pagamentos'!$E$11:$E$697,'04_TOTALIZADORA (3)'!A80)+COUNTIF('03_Eventos_pagamentos'!$E$766:$E$836,'04_TOTALIZADORA (3)'!A80))</f>
        <v/>
      </c>
      <c r="D80" s="1422">
        <f>SUMIF('03_Eventos_pagamentos'!$E$11:$E$699,A80,'03_Eventos_pagamentos'!$O$11:$O$697)+SUMIF('03_Eventos_pagamentos'!$E$766:$E$836,A80,'03_Eventos_pagamentos'!$O$766:$O$836)</f>
        <v/>
      </c>
      <c r="E80" s="523">
        <f>COUNTIF('03_Eventos_pagamentos'!$E$702:$E$763,'04_TOTALIZADORA (3)'!A80)</f>
        <v/>
      </c>
      <c r="F80" s="1485">
        <f>SUMIF('03_Eventos_pagamentos'!$E$702:$E$763,A80,'03_Eventos_pagamentos'!$O$702:$O$763)</f>
        <v/>
      </c>
      <c r="G80" s="1432">
        <f>D80+F80</f>
        <v/>
      </c>
      <c r="H80" s="1486">
        <f>D80+F80+H79</f>
        <v/>
      </c>
      <c r="I80" s="1481">
        <f>G80-S80</f>
        <v/>
      </c>
      <c r="J80" s="1481">
        <f>H80-T80</f>
        <v/>
      </c>
      <c r="K80" s="1448">
        <f>D80+F80-S80</f>
        <v/>
      </c>
      <c r="L80" s="1448">
        <f>SUMIF('03_Eventos_pagamentos'!$E$702:$E$763,H80,'03_Eventos_pagamentos'!$O$702:$O$763)</f>
        <v/>
      </c>
      <c r="M80" s="1448">
        <f>K80-L80</f>
        <v/>
      </c>
      <c r="N80" s="1448">
        <f>M80+S80</f>
        <v/>
      </c>
      <c r="O80" s="1452">
        <f>I80-R80</f>
        <v/>
      </c>
      <c r="P80" s="1422">
        <f>SUMIF('03_Eventos_pagamentos'!$P$11:$P$843,A81,'03_Eventos_pagamentos'!$Q$11:$Q$843)</f>
        <v/>
      </c>
      <c r="Q80" s="1487" t="n">
        <v>100000</v>
      </c>
      <c r="R80" s="1432">
        <f>P80+Q80</f>
        <v/>
      </c>
      <c r="S80" s="1488">
        <f>SUMIFS( '03_Eventos_pagamentos'!$O$11:$O$843,'03_Eventos_pagamentos'!$E$11:$E$843,A80,'03_Eventos_pagamentos'!$I$11:$I$843,"FAT. DIRETO")</f>
        <v/>
      </c>
      <c r="T80" s="1488">
        <f>S80+T79</f>
        <v/>
      </c>
      <c r="U80" s="1488">
        <f>P80+S80+U79</f>
        <v/>
      </c>
      <c r="V80" s="1431" t="n"/>
      <c r="W80" s="1431">
        <f>V80+W79</f>
        <v/>
      </c>
      <c r="X80" s="1431" t="n"/>
      <c r="Y80" s="1431">
        <f>Y79+X80</f>
        <v/>
      </c>
      <c r="Z80" s="1433" t="n"/>
      <c r="AA80" s="1434" t="n"/>
      <c r="AB80" s="1434" t="n"/>
      <c r="AC80" s="1434" t="n"/>
      <c r="AD80" s="1438" t="n"/>
      <c r="AE80" s="1438" t="n"/>
    </row>
    <row r="81" ht="14.4" customHeight="1">
      <c r="A81" s="758" t="n">
        <v>68</v>
      </c>
      <c r="B81" s="761" t="n">
        <v>47515</v>
      </c>
      <c r="C81" s="523">
        <f>SUM(COUNTIF('03_Eventos_pagamentos'!$E$11:$E$697,'04_TOTALIZADORA (3)'!A81)+COUNTIF('03_Eventos_pagamentos'!$E$766:$E$836,'04_TOTALIZADORA (3)'!A81))</f>
        <v/>
      </c>
      <c r="D81" s="1422">
        <f>SUMIF('03_Eventos_pagamentos'!$E$11:$E$699,A81,'03_Eventos_pagamentos'!$O$11:$O$697)+SUMIF('03_Eventos_pagamentos'!$E$766:$E$836,A81,'03_Eventos_pagamentos'!$O$766:$O$836)</f>
        <v/>
      </c>
      <c r="E81" s="523">
        <f>COUNTIF('03_Eventos_pagamentos'!$E$702:$E$763,'04_TOTALIZADORA (3)'!A81)</f>
        <v/>
      </c>
      <c r="F81" s="1485">
        <f>SUMIF('03_Eventos_pagamentos'!$E$702:$E$763,A81,'03_Eventos_pagamentos'!$O$702:$O$763)</f>
        <v/>
      </c>
      <c r="G81" s="1432">
        <f>D81+F81</f>
        <v/>
      </c>
      <c r="H81" s="1486">
        <f>D81+F81+H80</f>
        <v/>
      </c>
      <c r="I81" s="1481">
        <f>G81-S81</f>
        <v/>
      </c>
      <c r="J81" s="1481">
        <f>H81-T81</f>
        <v/>
      </c>
      <c r="K81" s="1448">
        <f>D81+F81-S81</f>
        <v/>
      </c>
      <c r="L81" s="1448">
        <f>SUMIF('03_Eventos_pagamentos'!$E$702:$E$763,H81,'03_Eventos_pagamentos'!$O$702:$O$763)</f>
        <v/>
      </c>
      <c r="M81" s="1448">
        <f>K81-L81</f>
        <v/>
      </c>
      <c r="N81" s="1448">
        <f>M81+S81</f>
        <v/>
      </c>
      <c r="O81" s="1452">
        <f>I81-R81</f>
        <v/>
      </c>
      <c r="P81" s="1422">
        <f>SUMIF('03_Eventos_pagamentos'!$P$11:$P$843,A82,'03_Eventos_pagamentos'!$Q$11:$Q$843)</f>
        <v/>
      </c>
      <c r="Q81" s="1487" t="n">
        <v>100000</v>
      </c>
      <c r="R81" s="1432">
        <f>P81+Q81</f>
        <v/>
      </c>
      <c r="S81" s="1488">
        <f>SUMIFS( '03_Eventos_pagamentos'!$O$11:$O$843,'03_Eventos_pagamentos'!$E$11:$E$843,A81,'03_Eventos_pagamentos'!$I$11:$I$843,"FAT. DIRETO")</f>
        <v/>
      </c>
      <c r="T81" s="1488">
        <f>S81+T80</f>
        <v/>
      </c>
      <c r="U81" s="1488">
        <f>P81+S81+U80</f>
        <v/>
      </c>
      <c r="V81" s="1431" t="n"/>
      <c r="W81" s="1431">
        <f>V81+W80</f>
        <v/>
      </c>
      <c r="X81" s="1431" t="n"/>
      <c r="Y81" s="1431">
        <f>Y80+X81</f>
        <v/>
      </c>
      <c r="Z81" s="1433" t="n"/>
      <c r="AA81" s="1434" t="n"/>
      <c r="AB81" s="1434" t="n"/>
      <c r="AC81" s="1434" t="n"/>
      <c r="AD81" s="1438" t="n"/>
      <c r="AE81" s="1438" t="n"/>
    </row>
    <row r="82" ht="15" customHeight="1" thickBot="1">
      <c r="A82" s="759" t="n">
        <v>69</v>
      </c>
      <c r="B82" s="762" t="n">
        <v>47543</v>
      </c>
      <c r="C82" s="763">
        <f>SUM(COUNTIF('03_Eventos_pagamentos'!$E$11:$E$697,'04_TOTALIZADORA (3)'!A82)+COUNTIF('03_Eventos_pagamentos'!$E$766:$E$836,'04_TOTALIZADORA (3)'!A82))</f>
        <v/>
      </c>
      <c r="D82" s="1489">
        <f>SUMIF('03_Eventos_pagamentos'!$E$11:$E$699,A82,'03_Eventos_pagamentos'!$O$11:$O$697)+SUMIF('03_Eventos_pagamentos'!$E$766:$E$836,A82,'03_Eventos_pagamentos'!$O$766:$O$836)</f>
        <v/>
      </c>
      <c r="E82" s="763">
        <f>COUNTIF('03_Eventos_pagamentos'!$E$702:$E$763,'04_TOTALIZADORA (3)'!A82)</f>
        <v/>
      </c>
      <c r="F82" s="1490">
        <f>SUMIF('03_Eventos_pagamentos'!$E$702:$E$763,A82,'03_Eventos_pagamentos'!$O$702:$O$763)</f>
        <v/>
      </c>
      <c r="G82" s="1439">
        <f>D82+F82</f>
        <v/>
      </c>
      <c r="H82" s="1491">
        <f>D82+F82+H81</f>
        <v/>
      </c>
      <c r="I82" s="1481">
        <f>G82-S82</f>
        <v/>
      </c>
      <c r="J82" s="1481">
        <f>H82-T82</f>
        <v/>
      </c>
      <c r="K82" s="1492">
        <f>D82+F82-S82</f>
        <v/>
      </c>
      <c r="L82" s="1492">
        <f>SUMIF('03_Eventos_pagamentos'!$E$702:$E$763,H82,'03_Eventos_pagamentos'!$O$702:$O$763)</f>
        <v/>
      </c>
      <c r="M82" s="1492">
        <f>K82-L82</f>
        <v/>
      </c>
      <c r="N82" s="1492">
        <f>M82+S82</f>
        <v/>
      </c>
      <c r="O82" s="1452">
        <f>I82-R82</f>
        <v/>
      </c>
      <c r="P82" s="1489">
        <f>SUMIF('03_Eventos_pagamentos'!$P$11:$P$843,A83,'03_Eventos_pagamentos'!$Q$11:$Q$843)</f>
        <v/>
      </c>
      <c r="Q82" s="1493" t="n">
        <v>100000</v>
      </c>
      <c r="R82" s="1439">
        <f>P82+Q82</f>
        <v/>
      </c>
      <c r="S82" s="1494">
        <f>SUMIFS( '03_Eventos_pagamentos'!$O$11:$O$843,'03_Eventos_pagamentos'!$E$11:$E$843,A82,'03_Eventos_pagamentos'!$I$11:$I$843,"FAT. DIRETO")</f>
        <v/>
      </c>
      <c r="T82" s="1488">
        <f>S82+T81</f>
        <v/>
      </c>
      <c r="U82" s="1494">
        <f>P82+S82+U81</f>
        <v/>
      </c>
      <c r="V82" s="1431" t="n"/>
      <c r="W82" s="1431">
        <f>V82+W81</f>
        <v/>
      </c>
      <c r="X82" s="1431" t="n"/>
      <c r="Y82" s="1431">
        <f>Y81+X82</f>
        <v/>
      </c>
      <c r="Z82" s="1440" t="n"/>
      <c r="AA82" s="1441" t="n"/>
      <c r="AB82" s="1441" t="n"/>
      <c r="AC82" s="1441" t="n"/>
      <c r="AD82" s="1187" t="n"/>
      <c r="AE82" s="1187" t="n"/>
    </row>
    <row r="83" ht="39.9" customHeight="1">
      <c r="A83" s="780" t="inlineStr">
        <is>
          <t>Meses</t>
        </is>
      </c>
      <c r="B83" s="51" t="n"/>
      <c r="C83" s="52" t="inlineStr">
        <is>
          <t>EVENTOS</t>
        </is>
      </c>
      <c r="D83" s="52">
        <f>C12</f>
        <v/>
      </c>
      <c r="E83" s="52" t="inlineStr">
        <is>
          <t>EVENTOS</t>
        </is>
      </c>
      <c r="F83" s="52">
        <f>E12</f>
        <v/>
      </c>
      <c r="G83" s="53" t="inlineStr">
        <is>
          <t>VALOR TOTAL</t>
        </is>
      </c>
      <c r="H83" s="53" t="inlineStr">
        <is>
          <t>VALOR TOTAL</t>
        </is>
      </c>
      <c r="I83" s="53" t="n"/>
      <c r="J83" s="53" t="n"/>
      <c r="K83" s="53" t="inlineStr">
        <is>
          <t>VALOR TOTAL</t>
        </is>
      </c>
      <c r="L83" s="53" t="inlineStr">
        <is>
          <t>VALOR TOTAL</t>
        </is>
      </c>
      <c r="M83" s="53" t="inlineStr">
        <is>
          <t>VALOR TOTAL</t>
        </is>
      </c>
      <c r="N83" s="53" t="inlineStr">
        <is>
          <t>VALOR TOTAL</t>
        </is>
      </c>
      <c r="O83" s="53" t="n"/>
      <c r="P83" s="53" t="n"/>
      <c r="Q83" s="784" t="n"/>
      <c r="R83" s="788" t="inlineStr">
        <is>
          <t>VALOR TOTAL</t>
        </is>
      </c>
      <c r="S83" s="786" t="inlineStr">
        <is>
          <t>VALOR TOTAL</t>
        </is>
      </c>
      <c r="T83" s="790" t="n"/>
      <c r="U83" s="782" t="inlineStr">
        <is>
          <t>VALOR TOTAL</t>
        </is>
      </c>
      <c r="V83" s="53" t="n"/>
      <c r="W83" s="53" t="inlineStr">
        <is>
          <t>VALOR TOTAL</t>
        </is>
      </c>
      <c r="X83" s="53" t="n"/>
      <c r="Y83" s="53" t="inlineStr">
        <is>
          <t>VALOR TOTAL</t>
        </is>
      </c>
      <c r="Z83" s="52" t="inlineStr">
        <is>
          <t>TOTAL EVENTOS</t>
        </is>
      </c>
      <c r="AA83" s="863" t="inlineStr">
        <is>
          <t>PREÇO GLOBAL</t>
        </is>
      </c>
      <c r="AB83" s="1442">
        <f>SUM(D14:D82,F14:F82)</f>
        <v/>
      </c>
      <c r="AC83" s="1408" t="n"/>
      <c r="AD83" s="867" t="inlineStr">
        <is>
          <t>VALOR ANTECIPAÇÃO SOLICITADA</t>
        </is>
      </c>
      <c r="AE83" s="1443">
        <f>Z9</f>
        <v/>
      </c>
    </row>
    <row r="84" ht="39.9" customHeight="1" thickBot="1">
      <c r="A84" s="781" t="n">
        <v>70</v>
      </c>
      <c r="B84" s="54" t="n"/>
      <c r="C84" s="55">
        <f>SUM(C14:C82)</f>
        <v/>
      </c>
      <c r="D84" s="1444">
        <f>SUM(D14:D82)</f>
        <v/>
      </c>
      <c r="E84" s="55">
        <f>SUM(E14:E82)</f>
        <v/>
      </c>
      <c r="F84" s="1444">
        <f>SUM(F14:F82)</f>
        <v/>
      </c>
      <c r="G84" s="1444">
        <f>SUM(G14:G82)</f>
        <v/>
      </c>
      <c r="H84" s="1444">
        <f>SUM(D84,F84)</f>
        <v/>
      </c>
      <c r="I84" s="1444" t="n"/>
      <c r="J84" s="1444" t="n"/>
      <c r="K84" s="1444">
        <f>SUM(K14:K82)</f>
        <v/>
      </c>
      <c r="L84" s="1444">
        <f>SUM(L14:L82)</f>
        <v/>
      </c>
      <c r="M84" s="1444">
        <f>SUM(M14:M82)</f>
        <v/>
      </c>
      <c r="N84" s="1444">
        <f>SUM(N14:N82)</f>
        <v/>
      </c>
      <c r="O84" s="1444" t="n"/>
      <c r="P84" s="1444" t="n"/>
      <c r="Q84" s="1495" t="n"/>
      <c r="R84" s="1496">
        <f>SUM(R14:R82)</f>
        <v/>
      </c>
      <c r="S84" s="1497">
        <f>SUM(S14:S82)</f>
        <v/>
      </c>
      <c r="T84" s="1498" t="n"/>
      <c r="U84" s="1499">
        <f>U82</f>
        <v/>
      </c>
      <c r="V84" s="1444" t="n"/>
      <c r="W84" s="1444">
        <f>W82</f>
        <v/>
      </c>
      <c r="X84" s="1444" t="n"/>
      <c r="Y84" s="1444">
        <f>Y82</f>
        <v/>
      </c>
      <c r="Z84" s="55">
        <f>SUM(C84,E84)</f>
        <v/>
      </c>
      <c r="AA84" s="1247" t="n"/>
      <c r="AB84" s="1414" t="n"/>
      <c r="AC84" s="1412" t="n"/>
      <c r="AD84" s="1247" t="n"/>
      <c r="AE84" s="1420" t="n"/>
    </row>
    <row r="85" ht="9" customHeight="1" thickBot="1">
      <c r="A85" s="57" t="n"/>
      <c r="B85" s="755" t="n"/>
      <c r="C85" s="58" t="n"/>
      <c r="D85" s="58" t="n"/>
      <c r="E85" s="58" t="n"/>
      <c r="F85" s="58" t="n"/>
      <c r="G85" s="58" t="n"/>
      <c r="H85" s="58" t="n"/>
      <c r="I85" s="58" t="n"/>
      <c r="J85" s="58" t="n"/>
      <c r="K85" s="58" t="n"/>
      <c r="L85" s="58" t="n"/>
      <c r="M85" s="58" t="n"/>
      <c r="N85" s="58" t="n"/>
      <c r="O85" s="58" t="n"/>
      <c r="P85" s="58" t="n"/>
      <c r="Q85" s="58" t="n"/>
      <c r="R85" s="58" t="n"/>
      <c r="S85" s="58" t="n"/>
      <c r="T85" s="58" t="n"/>
      <c r="U85" s="58" t="n"/>
      <c r="V85" s="58" t="n"/>
      <c r="W85" s="58" t="n"/>
      <c r="X85" s="58" t="n"/>
      <c r="Y85" s="58" t="n"/>
      <c r="Z85" s="58" t="n"/>
      <c r="AA85" s="58" t="n"/>
      <c r="AB85" s="58" t="n"/>
      <c r="AC85" s="59" t="n"/>
      <c r="AD85" s="59" t="n"/>
      <c r="AE85" s="60" t="n"/>
    </row>
    <row r="86" ht="51.75" customHeight="1" thickBot="1">
      <c r="A86" s="1445" t="inlineStr">
        <is>
          <t>Nota: Preencher somente a célula em destaque amarelo, campo de ANTECIPAÇÃO SOLICITADA, com o valor percentual referênte a solicitação de antecipação, de acordo com as regras do edital e limitado a 5% do VALOR GLOBAL da proposta, demais campos são de preenchimento automático, meramente ilustrativos, pois seguirão as disposições descritas na Minuta de Contrato.</t>
        </is>
      </c>
      <c r="B86" s="1139" t="n"/>
      <c r="C86" s="1139" t="n"/>
      <c r="D86" s="1139" t="n"/>
      <c r="E86" s="1139" t="n"/>
      <c r="F86" s="1139" t="n"/>
      <c r="G86" s="1139" t="n"/>
      <c r="H86" s="1139" t="n"/>
      <c r="I86" s="1139" t="n"/>
      <c r="J86" s="1139" t="n"/>
      <c r="K86" s="1139" t="n"/>
      <c r="L86" s="1139" t="n"/>
      <c r="M86" s="1139" t="n"/>
      <c r="N86" s="1139" t="n"/>
      <c r="O86" s="1139" t="n"/>
      <c r="P86" s="1139" t="n"/>
      <c r="Q86" s="1139" t="n"/>
      <c r="R86" s="1139" t="n"/>
      <c r="S86" s="1139" t="n"/>
      <c r="T86" s="1139" t="n"/>
      <c r="U86" s="1139" t="n"/>
      <c r="V86" s="1139" t="n"/>
      <c r="W86" s="1139" t="n"/>
      <c r="X86" s="1139" t="n"/>
      <c r="Y86" s="1139" t="n"/>
      <c r="Z86" s="1139" t="n"/>
      <c r="AA86" s="1139" t="n"/>
      <c r="AB86" s="1139" t="n"/>
      <c r="AC86" s="1139" t="n"/>
      <c r="AD86" s="1139" t="n"/>
      <c r="AE86" s="1140" t="n"/>
    </row>
    <row r="87" ht="9" customHeight="1" thickBot="1">
      <c r="A87" s="61" t="n"/>
      <c r="B87" s="59" t="n"/>
      <c r="C87" s="59" t="n"/>
      <c r="D87" s="59" t="n"/>
      <c r="E87" s="59" t="n"/>
      <c r="F87" s="59" t="n"/>
      <c r="G87" s="59" t="n"/>
      <c r="H87" s="59" t="n"/>
      <c r="I87" s="59" t="n"/>
      <c r="J87" s="59" t="n"/>
      <c r="K87" s="59" t="n"/>
      <c r="L87" s="59" t="n"/>
      <c r="M87" s="59" t="n"/>
      <c r="N87" s="59" t="n"/>
      <c r="O87" s="59" t="n"/>
      <c r="P87" s="59" t="n"/>
      <c r="Q87" s="59" t="n"/>
      <c r="R87" s="59" t="n"/>
      <c r="S87" s="59" t="n"/>
      <c r="T87" s="59" t="n"/>
      <c r="U87" s="59" t="n"/>
      <c r="V87" s="59" t="n"/>
      <c r="W87" s="59" t="n"/>
      <c r="X87" s="59" t="n"/>
      <c r="Y87" s="59" t="n"/>
      <c r="Z87" s="59" t="n"/>
      <c r="AA87" s="59" t="n"/>
      <c r="AB87" s="59" t="n"/>
      <c r="AC87" s="59" t="n"/>
      <c r="AD87" s="59" t="n"/>
      <c r="AE87" s="60" t="n"/>
    </row>
  </sheetData>
  <mergeCells count="44">
    <mergeCell ref="E12:F12"/>
    <mergeCell ref="A5:D5"/>
    <mergeCell ref="F7:AC7"/>
    <mergeCell ref="X14:X29"/>
    <mergeCell ref="A86:AE86"/>
    <mergeCell ref="Z13:AC13"/>
    <mergeCell ref="B12:B13"/>
    <mergeCell ref="A2:AE2"/>
    <mergeCell ref="AD79:AD82"/>
    <mergeCell ref="AB4:AC4"/>
    <mergeCell ref="E5:AA5"/>
    <mergeCell ref="AD13:AE13"/>
    <mergeCell ref="E9:E10"/>
    <mergeCell ref="A12:A13"/>
    <mergeCell ref="R12:R13"/>
    <mergeCell ref="A7:E7"/>
    <mergeCell ref="T12:T13"/>
    <mergeCell ref="U12:U13"/>
    <mergeCell ref="AA83:AA84"/>
    <mergeCell ref="W12:W13"/>
    <mergeCell ref="Z9:AA10"/>
    <mergeCell ref="C12:D12"/>
    <mergeCell ref="AD9:AE10"/>
    <mergeCell ref="A4:AA4"/>
    <mergeCell ref="AB83:AC84"/>
    <mergeCell ref="A6:D6"/>
    <mergeCell ref="Y12:Y13"/>
    <mergeCell ref="H12:H13"/>
    <mergeCell ref="J12:J13"/>
    <mergeCell ref="A1:AE1"/>
    <mergeCell ref="E6:AA6"/>
    <mergeCell ref="V12:V13"/>
    <mergeCell ref="AE83:AE84"/>
    <mergeCell ref="AB9:AC10"/>
    <mergeCell ref="Y14:Y29"/>
    <mergeCell ref="A9:D10"/>
    <mergeCell ref="G12:G13"/>
    <mergeCell ref="Z12:AC12"/>
    <mergeCell ref="AE79:AE82"/>
    <mergeCell ref="AD83:AD84"/>
    <mergeCell ref="X12:X13"/>
    <mergeCell ref="S12:S13"/>
    <mergeCell ref="F9:H10"/>
    <mergeCell ref="AD12:AE12"/>
  </mergeCells>
  <conditionalFormatting sqref="E9">
    <cfRule type="containsBlanks" priority="2" dxfId="1">
      <formula>LEN(TRIM(E9))=0</formula>
    </cfRule>
  </conditionalFormatting>
  <conditionalFormatting sqref="E9:E10">
    <cfRule type="cellIs" priority="1" operator="greaterThan" dxfId="0">
      <formula>0.05</formula>
    </cfRule>
  </conditionalFormatting>
  <dataValidations count="2">
    <dataValidation sqref="E9:E10" showDropDown="0" showInputMessage="1" showErrorMessage="1" allowBlank="1" errorTitle="!!!! ERRO !!!!" error="VALOR NÃO PERMITIDO." promptTitle="ENTRE AQUI COM O" prompt="PERCENTUAL DA ANTECIPAÇÃO, LIMITADO A 5% DO PREÇO GLOBAL." type="decimal">
      <formula1>0</formula1>
      <formula2>0.05</formula2>
    </dataValidation>
    <dataValidation sqref="H1:J3 M1:Z3 AD6" showDropDown="0" showInputMessage="0" showErrorMessage="1" allowBlank="1"/>
  </dataValidations>
  <printOptions horizontalCentered="1"/>
  <pageMargins left="0.1968503937007874" right="0.1574803149606299" top="0.1181102362204725" bottom="0.2362204724409449" header="0.1181102362204725" footer="0.03937007874015748"/>
  <pageSetup orientation="landscape" paperSize="9" scale="89"/>
  <headerFooter>
    <oddHeader/>
    <oddFooter>&amp;C&amp;P de &amp;N&amp;R&amp;"Calibri"&amp;10 &amp;K000000_x000d_# Classificação: Público</oddFooter>
    <evenHeader/>
    <evenFooter/>
    <firstHeader/>
    <firstFooter/>
  </headerFooter>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A1:J76"/>
  <sheetViews>
    <sheetView showGridLines="0" workbookViewId="0">
      <pane ySplit="5" topLeftCell="A6" activePane="bottomLeft" state="frozen"/>
      <selection pane="bottomLeft" activeCell="A1" sqref="A1"/>
    </sheetView>
  </sheetViews>
  <sheetFormatPr baseColWidth="8" defaultRowHeight="15"/>
  <cols>
    <col width="13" customWidth="1" min="1" max="1"/>
    <col width="18" customWidth="1" min="2" max="2"/>
    <col width="20" customWidth="1" min="3" max="3"/>
    <col width="20" customWidth="1" min="4" max="4"/>
    <col width="22" customWidth="1" min="5" max="5"/>
    <col width="20" customWidth="1" min="6" max="6"/>
    <col width="22" customWidth="1" min="7" max="7"/>
    <col width="16" customWidth="1" min="8" max="8"/>
    <col width="18" customWidth="1" min="9" max="9"/>
    <col width="24" customWidth="1" min="10" max="10"/>
  </cols>
  <sheetData>
    <row r="1" ht="26" customHeight="1">
      <c r="A1" s="1500" t="inlineStr">
        <is>
          <t>Investor Curva S</t>
        </is>
      </c>
    </row>
    <row r="2" ht="30" customHeight="1">
      <c r="A2" s="1501" t="inlineStr">
        <is>
          <t>Cronograma mensal extraído de 04_TOTALIZADORA (3); desembolso acumulado calculado pela soma da coluna mensal R.</t>
        </is>
      </c>
    </row>
    <row r="3"/>
    <row r="4">
      <c r="A4" s="1502" t="inlineStr">
        <is>
          <t>Fonte principal: 04_TOTALIZADORA (3), linhas 14:82. Campos de desembolso acumulado oficial que não fecham com o mensal estão em Investor_Reconciliation.</t>
        </is>
      </c>
    </row>
    <row r="5">
      <c r="A5" s="1503" t="inlineStr">
        <is>
          <t>Mês</t>
        </is>
      </c>
      <c r="B5" s="1503" t="inlineStr">
        <is>
          <t>Receita prevista mensal</t>
        </is>
      </c>
      <c r="C5" s="1503" t="inlineStr">
        <is>
          <t>Receita prevista acumulada</t>
        </is>
      </c>
      <c r="D5" s="1503" t="inlineStr">
        <is>
          <t>Desembolso previsto mensal</t>
        </is>
      </c>
      <c r="E5" s="1503" t="inlineStr">
        <is>
          <t>Desembolso previsto acumulado</t>
        </is>
      </c>
      <c r="F5" s="1503" t="inlineStr">
        <is>
          <t>Resultado líquido mensal</t>
        </is>
      </c>
      <c r="G5" s="1503" t="inlineStr">
        <is>
          <t>Resultado líquido acumulado</t>
        </is>
      </c>
      <c r="H5" s="1503" t="inlineStr">
        <is>
          <t>% Receita acumulada</t>
        </is>
      </c>
      <c r="I5" s="1503" t="inlineStr">
        <is>
          <t>% Desembolso acumulado</t>
        </is>
      </c>
      <c r="J5" s="1503" t="inlineStr">
        <is>
          <t>Gap acumulado Receita - Desembolso</t>
        </is>
      </c>
    </row>
    <row r="6">
      <c r="A6" s="1504" t="n">
        <v>45474</v>
      </c>
      <c r="B6" s="1505" t="n">
        <v>0</v>
      </c>
      <c r="C6" s="1505" t="n">
        <v>0</v>
      </c>
      <c r="D6" s="1505" t="n">
        <v>100000</v>
      </c>
      <c r="E6" s="1505" t="n">
        <v>100000</v>
      </c>
      <c r="F6" s="1505" t="n">
        <v>-100000</v>
      </c>
      <c r="G6" s="1505" t="n">
        <v>-100000</v>
      </c>
      <c r="H6" s="1506" t="n">
        <v>0</v>
      </c>
      <c r="I6" s="1506" t="n">
        <v>0.001397140076038282</v>
      </c>
      <c r="J6" s="1505" t="n">
        <v>-100000</v>
      </c>
    </row>
    <row r="7">
      <c r="A7" s="1507" t="n">
        <v>45505</v>
      </c>
      <c r="B7" s="1508" t="n">
        <v>0</v>
      </c>
      <c r="C7" s="1508" t="n">
        <v>0</v>
      </c>
      <c r="D7" s="1508" t="n">
        <v>100000</v>
      </c>
      <c r="E7" s="1508" t="n">
        <v>200000</v>
      </c>
      <c r="F7" s="1508" t="n">
        <v>-100000</v>
      </c>
      <c r="G7" s="1508" t="n">
        <v>-200000</v>
      </c>
      <c r="H7" s="1509" t="n">
        <v>0</v>
      </c>
      <c r="I7" s="1509" t="n">
        <v>0.002794280152076564</v>
      </c>
      <c r="J7" s="1508" t="n">
        <v>-200000</v>
      </c>
    </row>
    <row r="8">
      <c r="A8" s="1504" t="n">
        <v>45536</v>
      </c>
      <c r="B8" s="1505" t="n">
        <v>0</v>
      </c>
      <c r="C8" s="1505" t="n">
        <v>0</v>
      </c>
      <c r="D8" s="1505" t="n">
        <v>100000</v>
      </c>
      <c r="E8" s="1505" t="n">
        <v>300000</v>
      </c>
      <c r="F8" s="1505" t="n">
        <v>-100000</v>
      </c>
      <c r="G8" s="1505" t="n">
        <v>-300000</v>
      </c>
      <c r="H8" s="1506" t="n">
        <v>0</v>
      </c>
      <c r="I8" s="1506" t="n">
        <v>0.004191420228114846</v>
      </c>
      <c r="J8" s="1505" t="n">
        <v>-300000</v>
      </c>
    </row>
    <row r="9">
      <c r="A9" s="1507" t="n">
        <v>45566</v>
      </c>
      <c r="B9" s="1508" t="n">
        <v>0</v>
      </c>
      <c r="C9" s="1508" t="n">
        <v>0</v>
      </c>
      <c r="D9" s="1508" t="n">
        <v>100000</v>
      </c>
      <c r="E9" s="1508" t="n">
        <v>400000</v>
      </c>
      <c r="F9" s="1508" t="n">
        <v>-100000</v>
      </c>
      <c r="G9" s="1508" t="n">
        <v>-400000</v>
      </c>
      <c r="H9" s="1509" t="n">
        <v>0</v>
      </c>
      <c r="I9" s="1509" t="n">
        <v>0.005588560304153127</v>
      </c>
      <c r="J9" s="1508" t="n">
        <v>-400000</v>
      </c>
    </row>
    <row r="10">
      <c r="A10" s="1504" t="n">
        <v>45597</v>
      </c>
      <c r="B10" s="1505" t="n">
        <v>0</v>
      </c>
      <c r="C10" s="1505" t="n">
        <v>0</v>
      </c>
      <c r="D10" s="1505" t="n">
        <v>100000</v>
      </c>
      <c r="E10" s="1505" t="n">
        <v>500000</v>
      </c>
      <c r="F10" s="1505" t="n">
        <v>-100000</v>
      </c>
      <c r="G10" s="1505" t="n">
        <v>-500000</v>
      </c>
      <c r="H10" s="1506" t="n">
        <v>0</v>
      </c>
      <c r="I10" s="1506" t="n">
        <v>0.00698570038019141</v>
      </c>
      <c r="J10" s="1505" t="n">
        <v>-500000</v>
      </c>
    </row>
    <row r="11">
      <c r="A11" s="1507" t="n">
        <v>45627</v>
      </c>
      <c r="B11" s="1508" t="n">
        <v>0</v>
      </c>
      <c r="C11" s="1508" t="n">
        <v>0</v>
      </c>
      <c r="D11" s="1508" t="n">
        <v>100000</v>
      </c>
      <c r="E11" s="1508" t="n">
        <v>600000</v>
      </c>
      <c r="F11" s="1508" t="n">
        <v>-100000</v>
      </c>
      <c r="G11" s="1508" t="n">
        <v>-600000</v>
      </c>
      <c r="H11" s="1509" t="n">
        <v>0</v>
      </c>
      <c r="I11" s="1509" t="n">
        <v>0.008382840456229692</v>
      </c>
      <c r="J11" s="1508" t="n">
        <v>-600000</v>
      </c>
    </row>
    <row r="12">
      <c r="A12" s="1504" t="n">
        <v>45658</v>
      </c>
      <c r="B12" s="1505" t="n">
        <v>0</v>
      </c>
      <c r="C12" s="1505" t="n">
        <v>0</v>
      </c>
      <c r="D12" s="1505" t="n">
        <v>100000</v>
      </c>
      <c r="E12" s="1505" t="n">
        <v>700000</v>
      </c>
      <c r="F12" s="1505" t="n">
        <v>-100000</v>
      </c>
      <c r="G12" s="1505" t="n">
        <v>-700000</v>
      </c>
      <c r="H12" s="1506" t="n">
        <v>0</v>
      </c>
      <c r="I12" s="1506" t="n">
        <v>0.009779980532267973</v>
      </c>
      <c r="J12" s="1505" t="n">
        <v>-700000</v>
      </c>
    </row>
    <row r="13">
      <c r="A13" s="1507" t="n">
        <v>45689</v>
      </c>
      <c r="B13" s="1508" t="n">
        <v>0</v>
      </c>
      <c r="C13" s="1508" t="n">
        <v>0</v>
      </c>
      <c r="D13" s="1508" t="n">
        <v>100000</v>
      </c>
      <c r="E13" s="1508" t="n">
        <v>800000</v>
      </c>
      <c r="F13" s="1508" t="n">
        <v>-100000</v>
      </c>
      <c r="G13" s="1508" t="n">
        <v>-800000</v>
      </c>
      <c r="H13" s="1509" t="n">
        <v>0</v>
      </c>
      <c r="I13" s="1509" t="n">
        <v>0.01117712060830625</v>
      </c>
      <c r="J13" s="1508" t="n">
        <v>-800000</v>
      </c>
    </row>
    <row r="14">
      <c r="A14" s="1504" t="n">
        <v>45717</v>
      </c>
      <c r="B14" s="1505" t="n">
        <v>0</v>
      </c>
      <c r="C14" s="1505" t="n">
        <v>0</v>
      </c>
      <c r="D14" s="1505" t="n">
        <v>100000</v>
      </c>
      <c r="E14" s="1505" t="n">
        <v>900000</v>
      </c>
      <c r="F14" s="1505" t="n">
        <v>-100000</v>
      </c>
      <c r="G14" s="1505" t="n">
        <v>-900000</v>
      </c>
      <c r="H14" s="1506" t="n">
        <v>0</v>
      </c>
      <c r="I14" s="1506" t="n">
        <v>0.01257426068434454</v>
      </c>
      <c r="J14" s="1505" t="n">
        <v>-900000</v>
      </c>
    </row>
    <row r="15">
      <c r="A15" s="1507" t="n">
        <v>45748</v>
      </c>
      <c r="B15" s="1508" t="n">
        <v>0</v>
      </c>
      <c r="C15" s="1508" t="n">
        <v>0</v>
      </c>
      <c r="D15" s="1508" t="n">
        <v>100000</v>
      </c>
      <c r="E15" s="1508" t="n">
        <v>1000000</v>
      </c>
      <c r="F15" s="1508" t="n">
        <v>-100000</v>
      </c>
      <c r="G15" s="1508" t="n">
        <v>-1000000</v>
      </c>
      <c r="H15" s="1509" t="n">
        <v>0</v>
      </c>
      <c r="I15" s="1509" t="n">
        <v>0.01397140076038282</v>
      </c>
      <c r="J15" s="1508" t="n">
        <v>-1000000</v>
      </c>
    </row>
    <row r="16">
      <c r="A16" s="1504" t="n">
        <v>45778</v>
      </c>
      <c r="B16" s="1505" t="n">
        <v>0</v>
      </c>
      <c r="C16" s="1505" t="n">
        <v>0</v>
      </c>
      <c r="D16" s="1505" t="n">
        <v>100000</v>
      </c>
      <c r="E16" s="1505" t="n">
        <v>1100000</v>
      </c>
      <c r="F16" s="1505" t="n">
        <v>-100000</v>
      </c>
      <c r="G16" s="1505" t="n">
        <v>-1100000</v>
      </c>
      <c r="H16" s="1506" t="n">
        <v>0</v>
      </c>
      <c r="I16" s="1506" t="n">
        <v>0.0153685408364211</v>
      </c>
      <c r="J16" s="1505" t="n">
        <v>-1100000</v>
      </c>
    </row>
    <row r="17">
      <c r="A17" s="1507" t="n">
        <v>45809</v>
      </c>
      <c r="B17" s="1508" t="n">
        <v>0</v>
      </c>
      <c r="C17" s="1508" t="n">
        <v>0</v>
      </c>
      <c r="D17" s="1508" t="n">
        <v>100000</v>
      </c>
      <c r="E17" s="1508" t="n">
        <v>1200000</v>
      </c>
      <c r="F17" s="1508" t="n">
        <v>-100000</v>
      </c>
      <c r="G17" s="1508" t="n">
        <v>-1200000</v>
      </c>
      <c r="H17" s="1509" t="n">
        <v>0</v>
      </c>
      <c r="I17" s="1509" t="n">
        <v>0.01676568091245938</v>
      </c>
      <c r="J17" s="1508" t="n">
        <v>-1200000</v>
      </c>
    </row>
    <row r="18">
      <c r="A18" s="1504" t="n">
        <v>45839</v>
      </c>
      <c r="B18" s="1505" t="n">
        <v>0</v>
      </c>
      <c r="C18" s="1505" t="n">
        <v>0</v>
      </c>
      <c r="D18" s="1505" t="n">
        <v>100000</v>
      </c>
      <c r="E18" s="1505" t="n">
        <v>1300000</v>
      </c>
      <c r="F18" s="1505" t="n">
        <v>-100000</v>
      </c>
      <c r="G18" s="1505" t="n">
        <v>-1300000</v>
      </c>
      <c r="H18" s="1506" t="n">
        <v>0</v>
      </c>
      <c r="I18" s="1506" t="n">
        <v>0.01816282098849767</v>
      </c>
      <c r="J18" s="1505" t="n">
        <v>-1300000</v>
      </c>
    </row>
    <row r="19">
      <c r="A19" s="1507" t="n">
        <v>45870</v>
      </c>
      <c r="B19" s="1508" t="n">
        <v>0</v>
      </c>
      <c r="C19" s="1508" t="n">
        <v>0</v>
      </c>
      <c r="D19" s="1508" t="n">
        <v>100000</v>
      </c>
      <c r="E19" s="1508" t="n">
        <v>1400000</v>
      </c>
      <c r="F19" s="1508" t="n">
        <v>-100000</v>
      </c>
      <c r="G19" s="1508" t="n">
        <v>-1400000</v>
      </c>
      <c r="H19" s="1509" t="n">
        <v>0</v>
      </c>
      <c r="I19" s="1509" t="n">
        <v>0.01955996106453595</v>
      </c>
      <c r="J19" s="1508" t="n">
        <v>-1400000</v>
      </c>
    </row>
    <row r="20">
      <c r="A20" s="1504" t="n">
        <v>45901</v>
      </c>
      <c r="B20" s="1505" t="n">
        <v>0</v>
      </c>
      <c r="C20" s="1505" t="n">
        <v>0</v>
      </c>
      <c r="D20" s="1505" t="n">
        <v>157924.445</v>
      </c>
      <c r="E20" s="1505" t="n">
        <v>1557924.445</v>
      </c>
      <c r="F20" s="1505" t="n">
        <v>-157924.445</v>
      </c>
      <c r="G20" s="1505" t="n">
        <v>-1557924.445</v>
      </c>
      <c r="H20" s="1506" t="n">
        <v>0</v>
      </c>
      <c r="I20" s="1506" t="n">
        <v>0.02176638677549198</v>
      </c>
      <c r="J20" s="1505" t="n">
        <v>-1557924.445</v>
      </c>
    </row>
    <row r="21">
      <c r="A21" s="1507" t="n">
        <v>45931</v>
      </c>
      <c r="B21" s="1508" t="n">
        <v>412245.1763298608</v>
      </c>
      <c r="C21" s="1508" t="n">
        <v>412245.1763298608</v>
      </c>
      <c r="D21" s="1508" t="n">
        <v>100000</v>
      </c>
      <c r="E21" s="1508" t="n">
        <v>1657924.445</v>
      </c>
      <c r="F21" s="1508" t="n">
        <v>312245.1763298608</v>
      </c>
      <c r="G21" s="1508" t="n">
        <v>-1245679.268670139</v>
      </c>
      <c r="H21" s="1509" t="n">
        <v>0.002073379078330289</v>
      </c>
      <c r="I21" s="1509" t="n">
        <v>0.02316352685153026</v>
      </c>
      <c r="J21" s="1508" t="n">
        <v>-1245679.268670139</v>
      </c>
    </row>
    <row r="22">
      <c r="A22" s="1504" t="n">
        <v>45962</v>
      </c>
      <c r="B22" s="1505" t="n">
        <v>0</v>
      </c>
      <c r="C22" s="1505" t="n">
        <v>412245.1763298608</v>
      </c>
      <c r="D22" s="1505" t="n">
        <v>140000</v>
      </c>
      <c r="E22" s="1505" t="n">
        <v>1797924.445</v>
      </c>
      <c r="F22" s="1505" t="n">
        <v>-140000</v>
      </c>
      <c r="G22" s="1505" t="n">
        <v>-1385679.268670139</v>
      </c>
      <c r="H22" s="1506" t="n">
        <v>0.002073379078330289</v>
      </c>
      <c r="I22" s="1506" t="n">
        <v>0.02511952295798386</v>
      </c>
      <c r="J22" s="1505" t="n">
        <v>-1385679.268670139</v>
      </c>
    </row>
    <row r="23">
      <c r="A23" s="1507" t="n">
        <v>45992</v>
      </c>
      <c r="B23" s="1508" t="n">
        <v>0</v>
      </c>
      <c r="C23" s="1508" t="n">
        <v>412245.1763298608</v>
      </c>
      <c r="D23" s="1508" t="n">
        <v>5501436.85</v>
      </c>
      <c r="E23" s="1508" t="n">
        <v>7299361.295</v>
      </c>
      <c r="F23" s="1508" t="n">
        <v>-5501436.85</v>
      </c>
      <c r="G23" s="1508" t="n">
        <v>-6887116.118670139</v>
      </c>
      <c r="H23" s="1509" t="n">
        <v>0.002073379078330289</v>
      </c>
      <c r="I23" s="1509" t="n">
        <v>0.1019823019472719</v>
      </c>
      <c r="J23" s="1508" t="n">
        <v>-6887116.118670139</v>
      </c>
    </row>
    <row r="24">
      <c r="A24" s="1504" t="n">
        <v>46023</v>
      </c>
      <c r="B24" s="1505" t="n">
        <v>441511.47</v>
      </c>
      <c r="C24" s="1505" t="n">
        <v>853756.6463298609</v>
      </c>
      <c r="D24" s="1505" t="n">
        <v>1806646.55</v>
      </c>
      <c r="E24" s="1505" t="n">
        <v>9106007.845000001</v>
      </c>
      <c r="F24" s="1505" t="n">
        <v>-1365135.08</v>
      </c>
      <c r="G24" s="1505" t="n">
        <v>-8252251.19867014</v>
      </c>
      <c r="H24" s="1506" t="n">
        <v>0.004293952410177769</v>
      </c>
      <c r="I24" s="1506" t="n">
        <v>0.1272236849296849</v>
      </c>
      <c r="J24" s="1505" t="n">
        <v>-8252251.19867014</v>
      </c>
    </row>
    <row r="25">
      <c r="A25" s="1507" t="n">
        <v>46054</v>
      </c>
      <c r="B25" s="1508" t="n">
        <v>3812821.554456618</v>
      </c>
      <c r="C25" s="1508" t="n">
        <v>4666578.200786479</v>
      </c>
      <c r="D25" s="1508" t="n">
        <v>1800000</v>
      </c>
      <c r="E25" s="1508" t="n">
        <v>10906007.845</v>
      </c>
      <c r="F25" s="1508" t="n">
        <v>2012821.554456618</v>
      </c>
      <c r="G25" s="1508" t="n">
        <v>-6239429.644213522</v>
      </c>
      <c r="H25" s="1509" t="n">
        <v>0.0234704640938258</v>
      </c>
      <c r="I25" s="1509" t="n">
        <v>0.152372206298374</v>
      </c>
      <c r="J25" s="1508" t="n">
        <v>-6239429.644213522</v>
      </c>
    </row>
    <row r="26">
      <c r="A26" s="1504" t="n">
        <v>46082</v>
      </c>
      <c r="B26" s="1505" t="n">
        <v>655154.8299999998</v>
      </c>
      <c r="C26" s="1505" t="n">
        <v>5321733.030786479</v>
      </c>
      <c r="D26" s="1505" t="n">
        <v>6251716.141000001</v>
      </c>
      <c r="E26" s="1505" t="n">
        <v>17157723.986</v>
      </c>
      <c r="F26" s="1505" t="n">
        <v>-5596561.311000001</v>
      </c>
      <c r="G26" s="1505" t="n">
        <v>-11835990.95521352</v>
      </c>
      <c r="H26" s="1506" t="n">
        <v>0.02676555254017822</v>
      </c>
      <c r="I26" s="1506" t="n">
        <v>0.2397174379444389</v>
      </c>
      <c r="J26" s="1505" t="n">
        <v>-11835990.95521352</v>
      </c>
    </row>
    <row r="27">
      <c r="A27" s="1507" t="n">
        <v>46113</v>
      </c>
      <c r="B27" s="1508" t="n">
        <v>2732612.892833749</v>
      </c>
      <c r="C27" s="1508" t="n">
        <v>8054345.923620228</v>
      </c>
      <c r="D27" s="1508" t="n">
        <v>340000</v>
      </c>
      <c r="E27" s="1508" t="n">
        <v>17497723.986</v>
      </c>
      <c r="F27" s="1508" t="n">
        <v>2392612.892833749</v>
      </c>
      <c r="G27" s="1508" t="n">
        <v>-9443378.062379774</v>
      </c>
      <c r="H27" s="1509" t="n">
        <v>0.04050917581703039</v>
      </c>
      <c r="I27" s="1509" t="n">
        <v>0.2444677142029691</v>
      </c>
      <c r="J27" s="1508" t="n">
        <v>-9443378.062379774</v>
      </c>
    </row>
    <row r="28">
      <c r="A28" s="1504" t="n">
        <v>46143</v>
      </c>
      <c r="B28" s="1505" t="n">
        <v>1627777.23</v>
      </c>
      <c r="C28" s="1505" t="n">
        <v>9682123.153620228</v>
      </c>
      <c r="D28" s="1505" t="n">
        <v>295816.17</v>
      </c>
      <c r="E28" s="1505" t="n">
        <v>17793540.156</v>
      </c>
      <c r="F28" s="1505" t="n">
        <v>1331961.06</v>
      </c>
      <c r="G28" s="1505" t="n">
        <v>-8111417.002379773</v>
      </c>
      <c r="H28" s="1506" t="n">
        <v>0.04869604966455821</v>
      </c>
      <c r="I28" s="1506" t="n">
        <v>0.2486006804654407</v>
      </c>
      <c r="J28" s="1505" t="n">
        <v>-8111417.002379775</v>
      </c>
    </row>
    <row r="29">
      <c r="A29" s="1507" t="n">
        <v>46174</v>
      </c>
      <c r="B29" s="1508" t="n">
        <v>1155029.7375</v>
      </c>
      <c r="C29" s="1508" t="n">
        <v>10837152.89112023</v>
      </c>
      <c r="D29" s="1508" t="n">
        <v>1971731.644</v>
      </c>
      <c r="E29" s="1508" t="n">
        <v>19765271.8</v>
      </c>
      <c r="F29" s="1508" t="n">
        <v>-816701.9065</v>
      </c>
      <c r="G29" s="1508" t="n">
        <v>-8928118.908879774</v>
      </c>
      <c r="H29" s="1509" t="n">
        <v>0.05450524921396809</v>
      </c>
      <c r="I29" s="1509" t="n">
        <v>0.2761485334556931</v>
      </c>
      <c r="J29" s="1508" t="n">
        <v>-8928118.908879776</v>
      </c>
    </row>
    <row r="30">
      <c r="A30" s="1504" t="n">
        <v>46204</v>
      </c>
      <c r="B30" s="1505" t="n">
        <v>1160023.349319443</v>
      </c>
      <c r="C30" s="1505" t="n">
        <v>11997176.24043967</v>
      </c>
      <c r="D30" s="1505" t="n">
        <v>2475450.39</v>
      </c>
      <c r="E30" s="1505" t="n">
        <v>22240722.19000001</v>
      </c>
      <c r="F30" s="1505" t="n">
        <v>-1315427.040680557</v>
      </c>
      <c r="G30" s="1505" t="n">
        <v>-10243545.94956033</v>
      </c>
      <c r="H30" s="1506" t="n">
        <v>0.06033956403668187</v>
      </c>
      <c r="I30" s="1506" t="n">
        <v>0.3107340429168291</v>
      </c>
      <c r="J30" s="1505" t="n">
        <v>-10243545.94956033</v>
      </c>
    </row>
    <row r="31">
      <c r="A31" s="1507" t="n">
        <v>46235</v>
      </c>
      <c r="B31" s="1508" t="n">
        <v>4406190.489683495</v>
      </c>
      <c r="C31" s="1508" t="n">
        <v>16403366.73012317</v>
      </c>
      <c r="D31" s="1508" t="n">
        <v>367326.544</v>
      </c>
      <c r="E31" s="1508" t="n">
        <v>22608048.734</v>
      </c>
      <c r="F31" s="1508" t="n">
        <v>4038863.945683495</v>
      </c>
      <c r="G31" s="1508" t="n">
        <v>-6204682.003876836</v>
      </c>
      <c r="H31" s="1509" t="n">
        <v>0.08250041321333215</v>
      </c>
      <c r="I31" s="1509" t="n">
        <v>0.3158661092729795</v>
      </c>
      <c r="J31" s="1508" t="n">
        <v>-6204682.003876839</v>
      </c>
    </row>
    <row r="32">
      <c r="A32" s="1504" t="n">
        <v>46266</v>
      </c>
      <c r="B32" s="1505" t="n">
        <v>4942914.62</v>
      </c>
      <c r="C32" s="1505" t="n">
        <v>21346281.35012317</v>
      </c>
      <c r="D32" s="1505" t="n">
        <v>500000</v>
      </c>
      <c r="E32" s="1505" t="n">
        <v>23108048.734</v>
      </c>
      <c r="F32" s="1505" t="n">
        <v>4442914.62</v>
      </c>
      <c r="G32" s="1505" t="n">
        <v>-1761767.383876836</v>
      </c>
      <c r="H32" s="1506" t="n">
        <v>0.1073607059408824</v>
      </c>
      <c r="I32" s="1506" t="n">
        <v>0.3228518096531709</v>
      </c>
      <c r="J32" s="1505" t="n">
        <v>-1761767.383876838</v>
      </c>
    </row>
    <row r="33">
      <c r="A33" s="1507" t="n">
        <v>46296</v>
      </c>
      <c r="B33" s="1508" t="n">
        <v>10534527.22</v>
      </c>
      <c r="C33" s="1508" t="n">
        <v>31880808.57012317</v>
      </c>
      <c r="D33" s="1508" t="n">
        <v>1540145.154</v>
      </c>
      <c r="E33" s="1508" t="n">
        <v>24648193.888</v>
      </c>
      <c r="F33" s="1508" t="n">
        <v>8994382.066</v>
      </c>
      <c r="G33" s="1508" t="n">
        <v>7232614.682123164</v>
      </c>
      <c r="H33" s="1509" t="n">
        <v>0.1603439052411257</v>
      </c>
      <c r="I33" s="1509" t="n">
        <v>0.3443697948288664</v>
      </c>
      <c r="J33" s="1508" t="n">
        <v>7232614.682123162</v>
      </c>
    </row>
    <row r="34">
      <c r="A34" s="1504" t="n">
        <v>46327</v>
      </c>
      <c r="B34" s="1505" t="n">
        <v>3520581.38</v>
      </c>
      <c r="C34" s="1505" t="n">
        <v>35401389.95012317</v>
      </c>
      <c r="D34" s="1505" t="n">
        <v>4389595.250096774</v>
      </c>
      <c r="E34" s="1505" t="n">
        <v>29037789.13809678</v>
      </c>
      <c r="F34" s="1505" t="n">
        <v>-869013.8700967734</v>
      </c>
      <c r="G34" s="1505" t="n">
        <v>6363600.812026391</v>
      </c>
      <c r="H34" s="1506" t="n">
        <v>0.1780506006640709</v>
      </c>
      <c r="I34" s="1506" t="n">
        <v>0.4056985892438413</v>
      </c>
      <c r="J34" s="1505" t="n">
        <v>6363600.812026389</v>
      </c>
    </row>
    <row r="35">
      <c r="A35" s="1507" t="n">
        <v>46357</v>
      </c>
      <c r="B35" s="1508" t="n">
        <v>13020339.2775</v>
      </c>
      <c r="C35" s="1508" t="n">
        <v>48421729.22762317</v>
      </c>
      <c r="D35" s="1508" t="n">
        <v>500806.775</v>
      </c>
      <c r="E35" s="1508" t="n">
        <v>29538595.91309678</v>
      </c>
      <c r="F35" s="1508" t="n">
        <v>12519532.5025</v>
      </c>
      <c r="G35" s="1508" t="n">
        <v>18883133.31452639</v>
      </c>
      <c r="H35" s="1509" t="n">
        <v>0.243536143250819</v>
      </c>
      <c r="I35" s="1509" t="n">
        <v>0.4126955614008812</v>
      </c>
      <c r="J35" s="1508" t="n">
        <v>18883133.31452639</v>
      </c>
    </row>
    <row r="36">
      <c r="A36" s="1504" t="n">
        <v>46388</v>
      </c>
      <c r="B36" s="1505" t="n">
        <v>14592425.91</v>
      </c>
      <c r="C36" s="1505" t="n">
        <v>63014155.13762318</v>
      </c>
      <c r="D36" s="1505" t="n">
        <v>3460866.39375</v>
      </c>
      <c r="E36" s="1505" t="n">
        <v>32999462.30684678</v>
      </c>
      <c r="F36" s="1505" t="n">
        <v>11131559.51625</v>
      </c>
      <c r="G36" s="1505" t="n">
        <v>30014692.83077639</v>
      </c>
      <c r="H36" s="1506" t="n">
        <v>0.3169284649105625</v>
      </c>
      <c r="I36" s="1506" t="n">
        <v>0.4610487127661033</v>
      </c>
      <c r="J36" s="1505" t="n">
        <v>30014692.8307764</v>
      </c>
    </row>
    <row r="37">
      <c r="A37" s="1507" t="n">
        <v>46419</v>
      </c>
      <c r="B37" s="1508" t="n">
        <v>7356733.977000001</v>
      </c>
      <c r="C37" s="1508" t="n">
        <v>70370889.11462317</v>
      </c>
      <c r="D37" s="1508" t="n">
        <v>286098.676</v>
      </c>
      <c r="E37" s="1508" t="n">
        <v>33285560.98284678</v>
      </c>
      <c r="F37" s="1508" t="n">
        <v>7070635.301000001</v>
      </c>
      <c r="G37" s="1508" t="n">
        <v>37085328.13177639</v>
      </c>
      <c r="H37" s="1509" t="n">
        <v>0.3539290150408286</v>
      </c>
      <c r="I37" s="1509" t="n">
        <v>0.4650459120255142</v>
      </c>
      <c r="J37" s="1508" t="n">
        <v>37085328.13177639</v>
      </c>
    </row>
    <row r="38">
      <c r="A38" s="1504" t="n">
        <v>46447</v>
      </c>
      <c r="B38" s="1505" t="n">
        <v>5450696.557000001</v>
      </c>
      <c r="C38" s="1505" t="n">
        <v>75821585.67162317</v>
      </c>
      <c r="D38" s="1505" t="n">
        <v>2155686.672</v>
      </c>
      <c r="E38" s="1505" t="n">
        <v>35441247.65484678</v>
      </c>
      <c r="F38" s="1505" t="n">
        <v>3295009.885000001</v>
      </c>
      <c r="G38" s="1505" t="n">
        <v>40380338.01677639</v>
      </c>
      <c r="H38" s="1506" t="n">
        <v>0.3813431871221724</v>
      </c>
      <c r="I38" s="1506" t="n">
        <v>0.4951638744338421</v>
      </c>
      <c r="J38" s="1505" t="n">
        <v>40380338.01677639</v>
      </c>
    </row>
    <row r="39">
      <c r="A39" s="1507" t="n">
        <v>46478</v>
      </c>
      <c r="B39" s="1508" t="n">
        <v>13426486.563</v>
      </c>
      <c r="C39" s="1508" t="n">
        <v>89248072.23462318</v>
      </c>
      <c r="D39" s="1508" t="n">
        <v>1501805.312</v>
      </c>
      <c r="E39" s="1508" t="n">
        <v>36943052.96684678</v>
      </c>
      <c r="F39" s="1508" t="n">
        <v>11924681.251</v>
      </c>
      <c r="G39" s="1508" t="n">
        <v>52305019.26777639</v>
      </c>
      <c r="H39" s="1509" t="n">
        <v>0.4488714395641902</v>
      </c>
      <c r="I39" s="1509" t="n">
        <v>0.5161461983118658</v>
      </c>
      <c r="J39" s="1508" t="n">
        <v>52305019.2677764</v>
      </c>
    </row>
    <row r="40">
      <c r="A40" s="1504" t="n">
        <v>46508</v>
      </c>
      <c r="B40" s="1505" t="n">
        <v>4679233.794641106</v>
      </c>
      <c r="C40" s="1505" t="n">
        <v>93927306.02926429</v>
      </c>
      <c r="D40" s="1505" t="n">
        <v>451183.39</v>
      </c>
      <c r="E40" s="1505" t="n">
        <v>37394236.35684678</v>
      </c>
      <c r="F40" s="1505" t="n">
        <v>4228050.404641107</v>
      </c>
      <c r="G40" s="1505" t="n">
        <v>56533069.6724175</v>
      </c>
      <c r="H40" s="1506" t="n">
        <v>0.4724055547206085</v>
      </c>
      <c r="I40" s="1506" t="n">
        <v>0.5224498622699839</v>
      </c>
      <c r="J40" s="1505" t="n">
        <v>56533069.67241751</v>
      </c>
    </row>
    <row r="41">
      <c r="A41" s="1507" t="n">
        <v>46539</v>
      </c>
      <c r="B41" s="1508" t="n">
        <v>1134057.98</v>
      </c>
      <c r="C41" s="1508" t="n">
        <v>95061364.00926429</v>
      </c>
      <c r="D41" s="1508" t="n">
        <v>2851959.76</v>
      </c>
      <c r="E41" s="1508" t="n">
        <v>40246196.11684678</v>
      </c>
      <c r="F41" s="1508" t="n">
        <v>-1717901.78</v>
      </c>
      <c r="G41" s="1508" t="n">
        <v>54815167.8924175</v>
      </c>
      <c r="H41" s="1509" t="n">
        <v>0.478109277224481</v>
      </c>
      <c r="I41" s="1509" t="n">
        <v>0.5622957350294291</v>
      </c>
      <c r="J41" s="1508" t="n">
        <v>54815167.89241751</v>
      </c>
    </row>
    <row r="42">
      <c r="A42" s="1504" t="n">
        <v>46569</v>
      </c>
      <c r="B42" s="1505" t="n">
        <v>3737325.814</v>
      </c>
      <c r="C42" s="1505" t="n">
        <v>98798689.82326429</v>
      </c>
      <c r="D42" s="1505" t="n">
        <v>1591961.526</v>
      </c>
      <c r="E42" s="1505" t="n">
        <v>41838157.64284678</v>
      </c>
      <c r="F42" s="1505" t="n">
        <v>2145364.288</v>
      </c>
      <c r="G42" s="1505" t="n">
        <v>56960532.1804175</v>
      </c>
      <c r="H42" s="1506" t="n">
        <v>0.4969060845531639</v>
      </c>
      <c r="I42" s="1506" t="n">
        <v>0.5845376675042857</v>
      </c>
      <c r="J42" s="1505" t="n">
        <v>56960532.18041751</v>
      </c>
    </row>
    <row r="43">
      <c r="A43" s="1507" t="n">
        <v>46600</v>
      </c>
      <c r="B43" s="1508" t="n">
        <v>2861241.84</v>
      </c>
      <c r="C43" s="1508" t="n">
        <v>101659931.6632643</v>
      </c>
      <c r="D43" s="1508" t="n">
        <v>1258454.51</v>
      </c>
      <c r="E43" s="1508" t="n">
        <v>43096612.15284678</v>
      </c>
      <c r="F43" s="1508" t="n">
        <v>1602787.33</v>
      </c>
      <c r="G43" s="1508" t="n">
        <v>58563319.5104175</v>
      </c>
      <c r="H43" s="1509" t="n">
        <v>0.5112966446123856</v>
      </c>
      <c r="I43" s="1509" t="n">
        <v>0.6021200398022069</v>
      </c>
      <c r="J43" s="1508" t="n">
        <v>58563319.51041751</v>
      </c>
    </row>
    <row r="44">
      <c r="A44" s="1504" t="n">
        <v>46631</v>
      </c>
      <c r="B44" s="1505" t="n">
        <v>8180418.344021075</v>
      </c>
      <c r="C44" s="1505" t="n">
        <v>109840350.0072854</v>
      </c>
      <c r="D44" s="1505" t="n">
        <v>2437855.27</v>
      </c>
      <c r="E44" s="1505" t="n">
        <v>45534467.42284678</v>
      </c>
      <c r="F44" s="1505" t="n">
        <v>5742563.074021076</v>
      </c>
      <c r="G44" s="1505" t="n">
        <v>64305882.58443858</v>
      </c>
      <c r="H44" s="1506" t="n">
        <v>0.5524398992102539</v>
      </c>
      <c r="I44" s="1506" t="n">
        <v>0.6361802927751882</v>
      </c>
      <c r="J44" s="1505" t="n">
        <v>64305882.58443859</v>
      </c>
    </row>
    <row r="45">
      <c r="A45" s="1507" t="n">
        <v>46661</v>
      </c>
      <c r="B45" s="1508" t="n">
        <v>2261479.41</v>
      </c>
      <c r="C45" s="1508" t="n">
        <v>112101829.4172854</v>
      </c>
      <c r="D45" s="1508" t="n">
        <v>1265680</v>
      </c>
      <c r="E45" s="1508" t="n">
        <v>46800147.42284678</v>
      </c>
      <c r="F45" s="1508" t="n">
        <v>995799.4100000001</v>
      </c>
      <c r="G45" s="1508" t="n">
        <v>65301681.99443857</v>
      </c>
      <c r="H45" s="1509" t="n">
        <v>0.5638139658191421</v>
      </c>
      <c r="I45" s="1509" t="n">
        <v>0.6538636152895895</v>
      </c>
      <c r="J45" s="1508" t="n">
        <v>65301681.99443859</v>
      </c>
    </row>
    <row r="46">
      <c r="A46" s="1504" t="n">
        <v>46692</v>
      </c>
      <c r="B46" s="1505" t="n">
        <v>0</v>
      </c>
      <c r="C46" s="1505" t="n">
        <v>112101829.4172854</v>
      </c>
      <c r="D46" s="1505" t="n">
        <v>1922713.75</v>
      </c>
      <c r="E46" s="1505" t="n">
        <v>48722861.17284678</v>
      </c>
      <c r="F46" s="1505" t="n">
        <v>-1922713.75</v>
      </c>
      <c r="G46" s="1505" t="n">
        <v>63378968.24443857</v>
      </c>
      <c r="H46" s="1506" t="n">
        <v>0.5638139658191421</v>
      </c>
      <c r="I46" s="1506" t="n">
        <v>0.680726619638338</v>
      </c>
      <c r="J46" s="1505" t="n">
        <v>63378968.24443859</v>
      </c>
    </row>
    <row r="47">
      <c r="A47" s="1507" t="n">
        <v>46722</v>
      </c>
      <c r="B47" s="1508" t="n">
        <v>405825.62</v>
      </c>
      <c r="C47" s="1508" t="n">
        <v>112507655.0372854</v>
      </c>
      <c r="D47" s="1508" t="n">
        <v>578452.5</v>
      </c>
      <c r="E47" s="1508" t="n">
        <v>49301313.67284678</v>
      </c>
      <c r="F47" s="1508" t="n">
        <v>-172626.88</v>
      </c>
      <c r="G47" s="1508" t="n">
        <v>63206341.36443857</v>
      </c>
      <c r="H47" s="1509" t="n">
        <v>0.5658550578640498</v>
      </c>
      <c r="I47" s="1509" t="n">
        <v>0.6888084113366834</v>
      </c>
      <c r="J47" s="1508" t="n">
        <v>63206341.36443859</v>
      </c>
    </row>
    <row r="48">
      <c r="A48" s="1504" t="n">
        <v>46753</v>
      </c>
      <c r="B48" s="1505" t="n">
        <v>2617584.64</v>
      </c>
      <c r="C48" s="1505" t="n">
        <v>115125239.6772854</v>
      </c>
      <c r="D48" s="1505" t="n">
        <v>446098.676</v>
      </c>
      <c r="E48" s="1505" t="n">
        <v>49747412.34884678</v>
      </c>
      <c r="F48" s="1505" t="n">
        <v>2171485.964</v>
      </c>
      <c r="G48" s="1505" t="n">
        <v>65377827.32843857</v>
      </c>
      <c r="H48" s="1506" t="n">
        <v>0.5790201487855554</v>
      </c>
      <c r="I48" s="1506" t="n">
        <v>0.6950410347177555</v>
      </c>
      <c r="J48" s="1505" t="n">
        <v>65377827.32843859</v>
      </c>
    </row>
    <row r="49">
      <c r="A49" s="1507" t="n">
        <v>46784</v>
      </c>
      <c r="B49" s="1508" t="n">
        <v>6062885.555000001</v>
      </c>
      <c r="C49" s="1508" t="n">
        <v>121188125.2322854</v>
      </c>
      <c r="D49" s="1508" t="n">
        <v>3460866.39375</v>
      </c>
      <c r="E49" s="1508" t="n">
        <v>53208278.74259678</v>
      </c>
      <c r="F49" s="1508" t="n">
        <v>2602019.161250001</v>
      </c>
      <c r="G49" s="1508" t="n">
        <v>67979846.48968858</v>
      </c>
      <c r="H49" s="1509" t="n">
        <v>0.6095133134987537</v>
      </c>
      <c r="I49" s="1509" t="n">
        <v>0.7433941860829776</v>
      </c>
      <c r="J49" s="1508" t="n">
        <v>67979846.48968861</v>
      </c>
    </row>
    <row r="50">
      <c r="A50" s="1504" t="n">
        <v>46813</v>
      </c>
      <c r="B50" s="1505" t="n">
        <v>4898441.314999999</v>
      </c>
      <c r="C50" s="1505" t="n">
        <v>126086566.5472854</v>
      </c>
      <c r="D50" s="1505" t="n">
        <v>268000</v>
      </c>
      <c r="E50" s="1505" t="n">
        <v>53476278.74259678</v>
      </c>
      <c r="F50" s="1505" t="n">
        <v>4630441.314999999</v>
      </c>
      <c r="G50" s="1505" t="n">
        <v>72610287.80468857</v>
      </c>
      <c r="H50" s="1506" t="n">
        <v>0.6341499286057382</v>
      </c>
      <c r="I50" s="1506" t="n">
        <v>0.7471385214867602</v>
      </c>
      <c r="J50" s="1505" t="n">
        <v>72610287.8046886</v>
      </c>
    </row>
    <row r="51">
      <c r="A51" s="1507" t="n">
        <v>46844</v>
      </c>
      <c r="B51" s="1508" t="n">
        <v>11078799.937</v>
      </c>
      <c r="C51" s="1508" t="n">
        <v>137165366.4842854</v>
      </c>
      <c r="D51" s="1508" t="n">
        <v>100000</v>
      </c>
      <c r="E51" s="1508" t="n">
        <v>53576278.74259678</v>
      </c>
      <c r="F51" s="1508" t="n">
        <v>10978799.937</v>
      </c>
      <c r="G51" s="1508" t="n">
        <v>83589087.74168858</v>
      </c>
      <c r="H51" s="1509" t="n">
        <v>0.6898705369264592</v>
      </c>
      <c r="I51" s="1509" t="n">
        <v>0.7485356615627984</v>
      </c>
      <c r="J51" s="1508" t="n">
        <v>83589087.74168861</v>
      </c>
    </row>
    <row r="52">
      <c r="A52" s="1504" t="n">
        <v>46874</v>
      </c>
      <c r="B52" s="1505" t="n">
        <v>1673829.967791691</v>
      </c>
      <c r="C52" s="1505" t="n">
        <v>138839196.4520771</v>
      </c>
      <c r="D52" s="1505" t="n">
        <v>100000</v>
      </c>
      <c r="E52" s="1505" t="n">
        <v>53676278.74259678</v>
      </c>
      <c r="F52" s="1505" t="n">
        <v>1573829.967791691</v>
      </c>
      <c r="G52" s="1505" t="n">
        <v>85162917.70948027</v>
      </c>
      <c r="H52" s="1506" t="n">
        <v>0.6982890321209901</v>
      </c>
      <c r="I52" s="1506" t="n">
        <v>0.7499328016388367</v>
      </c>
      <c r="J52" s="1505" t="n">
        <v>85162917.70948029</v>
      </c>
    </row>
    <row r="53">
      <c r="A53" s="1507" t="n">
        <v>46905</v>
      </c>
      <c r="B53" s="1508" t="n">
        <v>452567.6375</v>
      </c>
      <c r="C53" s="1508" t="n">
        <v>139291764.089577</v>
      </c>
      <c r="D53" s="1508" t="n">
        <v>348000</v>
      </c>
      <c r="E53" s="1508" t="n">
        <v>54024278.74259678</v>
      </c>
      <c r="F53" s="1508" t="n">
        <v>104567.6375</v>
      </c>
      <c r="G53" s="1508" t="n">
        <v>85267485.34698027</v>
      </c>
      <c r="H53" s="1509" t="n">
        <v>0.7005652122317576</v>
      </c>
      <c r="I53" s="1509" t="n">
        <v>0.75479484910345</v>
      </c>
      <c r="J53" s="1508" t="n">
        <v>85267485.34698027</v>
      </c>
    </row>
    <row r="54">
      <c r="A54" s="1504" t="n">
        <v>46935</v>
      </c>
      <c r="B54" s="1505" t="n">
        <v>2973836.8</v>
      </c>
      <c r="C54" s="1505" t="n">
        <v>142265600.8895771</v>
      </c>
      <c r="D54" s="1505" t="n">
        <v>1529049.758</v>
      </c>
      <c r="E54" s="1505" t="n">
        <v>55553328.50059678</v>
      </c>
      <c r="F54" s="1505" t="n">
        <v>1444787.042</v>
      </c>
      <c r="G54" s="1505" t="n">
        <v>86712272.38898027</v>
      </c>
      <c r="H54" s="1506" t="n">
        <v>0.7155220664474514</v>
      </c>
      <c r="I54" s="1506" t="n">
        <v>0.7761578160550343</v>
      </c>
      <c r="J54" s="1505" t="n">
        <v>86712272.38898028</v>
      </c>
    </row>
    <row r="55">
      <c r="A55" s="1507" t="n">
        <v>46966</v>
      </c>
      <c r="B55" s="1508" t="n">
        <v>1618458.85</v>
      </c>
      <c r="C55" s="1508" t="n">
        <v>143884059.7395771</v>
      </c>
      <c r="D55" s="1508" t="n">
        <v>2011680</v>
      </c>
      <c r="E55" s="1508" t="n">
        <v>57565008.50059678</v>
      </c>
      <c r="F55" s="1508" t="n">
        <v>-393221.1499999999</v>
      </c>
      <c r="G55" s="1508" t="n">
        <v>86319051.23898026</v>
      </c>
      <c r="H55" s="1509" t="n">
        <v>0.7236620736844152</v>
      </c>
      <c r="I55" s="1509" t="n">
        <v>0.8042638035366813</v>
      </c>
      <c r="J55" s="1508" t="n">
        <v>86319051.23898028</v>
      </c>
    </row>
    <row r="56">
      <c r="A56" s="1504" t="n">
        <v>46997</v>
      </c>
      <c r="B56" s="1505" t="n">
        <v>1240472.15</v>
      </c>
      <c r="C56" s="1505" t="n">
        <v>145124531.8895771</v>
      </c>
      <c r="D56" s="1505" t="n">
        <v>4053970.13375</v>
      </c>
      <c r="E56" s="1505" t="n">
        <v>61618978.63434678</v>
      </c>
      <c r="F56" s="1505" t="n">
        <v>-2813497.98375</v>
      </c>
      <c r="G56" s="1505" t="n">
        <v>83505553.25523026</v>
      </c>
      <c r="H56" s="1506" t="n">
        <v>0.7299010041819389</v>
      </c>
      <c r="I56" s="1506" t="n">
        <v>0.8609034449459252</v>
      </c>
      <c r="J56" s="1505" t="n">
        <v>83505553.25523028</v>
      </c>
    </row>
    <row r="57">
      <c r="A57" s="1507" t="n">
        <v>47027</v>
      </c>
      <c r="B57" s="1508" t="n">
        <v>5772995.847500001</v>
      </c>
      <c r="C57" s="1508" t="n">
        <v>150897527.7370771</v>
      </c>
      <c r="D57" s="1508" t="n">
        <v>558452.5</v>
      </c>
      <c r="E57" s="1508" t="n">
        <v>62177431.13434678</v>
      </c>
      <c r="F57" s="1508" t="n">
        <v>5214543.347500001</v>
      </c>
      <c r="G57" s="1508" t="n">
        <v>88720096.60273026</v>
      </c>
      <c r="H57" s="1509" t="n">
        <v>0.7589361742621743</v>
      </c>
      <c r="I57" s="1509" t="n">
        <v>0.8687058086290629</v>
      </c>
      <c r="J57" s="1508" t="n">
        <v>88720096.60273027</v>
      </c>
    </row>
    <row r="58">
      <c r="A58" s="1504" t="n">
        <v>47058</v>
      </c>
      <c r="B58" s="1505" t="n">
        <v>4795019.43</v>
      </c>
      <c r="C58" s="1505" t="n">
        <v>155692547.1670771</v>
      </c>
      <c r="D58" s="1505" t="n">
        <v>500000</v>
      </c>
      <c r="E58" s="1505" t="n">
        <v>62677431.13434678</v>
      </c>
      <c r="F58" s="1505" t="n">
        <v>4295019.43</v>
      </c>
      <c r="G58" s="1505" t="n">
        <v>93015116.03273025</v>
      </c>
      <c r="H58" s="1506" t="n">
        <v>0.7830526310145856</v>
      </c>
      <c r="I58" s="1506" t="n">
        <v>0.8756915090092543</v>
      </c>
      <c r="J58" s="1505" t="n">
        <v>93015116.03273028</v>
      </c>
    </row>
    <row r="59">
      <c r="A59" s="1507" t="n">
        <v>47088</v>
      </c>
      <c r="B59" s="1508" t="n">
        <v>4721548.077500001</v>
      </c>
      <c r="C59" s="1508" t="n">
        <v>160414095.2445771</v>
      </c>
      <c r="D59" s="1508" t="n">
        <v>324287.121</v>
      </c>
      <c r="E59" s="1508" t="n">
        <v>63001718.25534678</v>
      </c>
      <c r="F59" s="1508" t="n">
        <v>4397260.9565</v>
      </c>
      <c r="G59" s="1508" t="n">
        <v>97412376.98923025</v>
      </c>
      <c r="H59" s="1509" t="n">
        <v>0.8067995650317974</v>
      </c>
      <c r="I59" s="1509" t="n">
        <v>0.880222254338176</v>
      </c>
      <c r="J59" s="1508" t="n">
        <v>97412376.98923028</v>
      </c>
    </row>
    <row r="60">
      <c r="A60" s="1504" t="n">
        <v>47119</v>
      </c>
      <c r="B60" s="1505" t="n">
        <v>5076342.895</v>
      </c>
      <c r="C60" s="1505" t="n">
        <v>165490438.1395771</v>
      </c>
      <c r="D60" s="1505" t="n">
        <v>404311.535</v>
      </c>
      <c r="E60" s="1505" t="n">
        <v>63406029.79034677</v>
      </c>
      <c r="F60" s="1505" t="n">
        <v>4672031.36</v>
      </c>
      <c r="G60" s="1505" t="n">
        <v>102084408.3492302</v>
      </c>
      <c r="H60" s="1506" t="n">
        <v>0.8323309326675021</v>
      </c>
      <c r="I60" s="1506" t="n">
        <v>0.8858710528257066</v>
      </c>
      <c r="J60" s="1505" t="n">
        <v>102084408.3492303</v>
      </c>
    </row>
    <row r="61">
      <c r="A61" s="1507" t="n">
        <v>47150</v>
      </c>
      <c r="B61" s="1508" t="n">
        <v>1138281.257096209</v>
      </c>
      <c r="C61" s="1508" t="n">
        <v>166628719.3966733</v>
      </c>
      <c r="D61" s="1508" t="n">
        <v>100000</v>
      </c>
      <c r="E61" s="1508" t="n">
        <v>63506029.79034677</v>
      </c>
      <c r="F61" s="1508" t="n">
        <v>1038281.257096209</v>
      </c>
      <c r="G61" s="1508" t="n">
        <v>103122689.6063265</v>
      </c>
      <c r="H61" s="1509" t="n">
        <v>0.8380558960612043</v>
      </c>
      <c r="I61" s="1509" t="n">
        <v>0.8872681929017449</v>
      </c>
      <c r="J61" s="1508" t="n">
        <v>103122689.6063265</v>
      </c>
    </row>
    <row r="62">
      <c r="A62" s="1504" t="n">
        <v>47178</v>
      </c>
      <c r="B62" s="1505" t="n">
        <v>1831934.49</v>
      </c>
      <c r="C62" s="1505" t="n">
        <v>168460653.8866733</v>
      </c>
      <c r="D62" s="1505" t="n">
        <v>180000</v>
      </c>
      <c r="E62" s="1505" t="n">
        <v>63686029.79034677</v>
      </c>
      <c r="F62" s="1505" t="n">
        <v>1651934.49</v>
      </c>
      <c r="G62" s="1505" t="n">
        <v>104774624.0963265</v>
      </c>
      <c r="H62" s="1506" t="n">
        <v>0.8472695748682026</v>
      </c>
      <c r="I62" s="1506" t="n">
        <v>0.8897830450386137</v>
      </c>
      <c r="J62" s="1505" t="n">
        <v>104774624.0963265</v>
      </c>
    </row>
    <row r="63">
      <c r="A63" s="1507" t="n">
        <v>47209</v>
      </c>
      <c r="B63" s="1508" t="n">
        <v>1548222.794</v>
      </c>
      <c r="C63" s="1508" t="n">
        <v>170008876.6806733</v>
      </c>
      <c r="D63" s="1508" t="n">
        <v>3306398.88375</v>
      </c>
      <c r="E63" s="1508" t="n">
        <v>66992428.67409677</v>
      </c>
      <c r="F63" s="1508" t="n">
        <v>-1758176.08975</v>
      </c>
      <c r="G63" s="1508" t="n">
        <v>103016448.0065764</v>
      </c>
      <c r="H63" s="1509" t="n">
        <v>0.8550563312306473</v>
      </c>
      <c r="I63" s="1509" t="n">
        <v>0.9359780689171674</v>
      </c>
      <c r="J63" s="1508" t="n">
        <v>103016448.0065765</v>
      </c>
    </row>
    <row r="64">
      <c r="A64" s="1504" t="n">
        <v>47239</v>
      </c>
      <c r="B64" s="1505" t="n">
        <v>1096998.3975</v>
      </c>
      <c r="C64" s="1505" t="n">
        <v>171105875.0781733</v>
      </c>
      <c r="D64" s="1505" t="n">
        <v>1447504.268</v>
      </c>
      <c r="E64" s="1505" t="n">
        <v>68439932.94209677</v>
      </c>
      <c r="F64" s="1505" t="n">
        <v>-350505.8705</v>
      </c>
      <c r="G64" s="1505" t="n">
        <v>102665942.1360765</v>
      </c>
      <c r="H64" s="1506" t="n">
        <v>0.8605736632867498</v>
      </c>
      <c r="I64" s="1506" t="n">
        <v>0.95620173114776</v>
      </c>
      <c r="J64" s="1505" t="n">
        <v>102665942.1360765</v>
      </c>
    </row>
    <row r="65">
      <c r="A65" s="1507" t="n">
        <v>47270</v>
      </c>
      <c r="B65" s="1508" t="n">
        <v>2329835.728</v>
      </c>
      <c r="C65" s="1508" t="n">
        <v>173435710.8061733</v>
      </c>
      <c r="D65" s="1508" t="n">
        <v>472726.36</v>
      </c>
      <c r="E65" s="1508" t="n">
        <v>68912659.30209677</v>
      </c>
      <c r="F65" s="1508" t="n">
        <v>1857109.368</v>
      </c>
      <c r="G65" s="1508" t="n">
        <v>104523051.5040765</v>
      </c>
      <c r="H65" s="1509" t="n">
        <v>0.8722915266645285</v>
      </c>
      <c r="I65" s="1509" t="n">
        <v>0.9628063805733169</v>
      </c>
      <c r="J65" s="1508" t="n">
        <v>104523051.5040765</v>
      </c>
    </row>
    <row r="66">
      <c r="A66" s="1504" t="n">
        <v>47300</v>
      </c>
      <c r="B66" s="1505" t="n">
        <v>7554539.475500002</v>
      </c>
      <c r="C66" s="1505" t="n">
        <v>180990250.2816733</v>
      </c>
      <c r="D66" s="1505" t="n">
        <v>500000</v>
      </c>
      <c r="E66" s="1505" t="n">
        <v>69412659.30209677</v>
      </c>
      <c r="F66" s="1505" t="n">
        <v>7054539.475500002</v>
      </c>
      <c r="G66" s="1505" t="n">
        <v>111577590.9795765</v>
      </c>
      <c r="H66" s="1506" t="n">
        <v>0.9102869356936173</v>
      </c>
      <c r="I66" s="1506" t="n">
        <v>0.9697920809535083</v>
      </c>
      <c r="J66" s="1505" t="n">
        <v>111577590.9795765</v>
      </c>
    </row>
    <row r="67">
      <c r="A67" s="1507" t="n">
        <v>47331</v>
      </c>
      <c r="B67" s="1508" t="n">
        <v>2422092.6</v>
      </c>
      <c r="C67" s="1508" t="n">
        <v>183412342.8816732</v>
      </c>
      <c r="D67" s="1508" t="n">
        <v>258995.547</v>
      </c>
      <c r="E67" s="1508" t="n">
        <v>69671654.84909678</v>
      </c>
      <c r="F67" s="1508" t="n">
        <v>2163097.053</v>
      </c>
      <c r="G67" s="1508" t="n">
        <v>113740688.0325765</v>
      </c>
      <c r="H67" s="1509" t="n">
        <v>0.9224688032107288</v>
      </c>
      <c r="I67" s="1509" t="n">
        <v>0.9734106115358</v>
      </c>
      <c r="J67" s="1508" t="n">
        <v>113740688.0325765</v>
      </c>
    </row>
    <row r="68">
      <c r="A68" s="1504" t="n">
        <v>47362</v>
      </c>
      <c r="B68" s="1505" t="n">
        <v>3426302.0275</v>
      </c>
      <c r="C68" s="1505" t="n">
        <v>186838644.9091733</v>
      </c>
      <c r="D68" s="1505" t="n">
        <v>100000</v>
      </c>
      <c r="E68" s="1505" t="n">
        <v>69771654.84909678</v>
      </c>
      <c r="F68" s="1505" t="n">
        <v>3326302.0275</v>
      </c>
      <c r="G68" s="1505" t="n">
        <v>117066990.0600765</v>
      </c>
      <c r="H68" s="1506" t="n">
        <v>0.9397013224680913</v>
      </c>
      <c r="I68" s="1506" t="n">
        <v>0.9748077516118383</v>
      </c>
      <c r="J68" s="1505" t="n">
        <v>117066990.0600765</v>
      </c>
    </row>
    <row r="69">
      <c r="A69" s="1507" t="n">
        <v>47392</v>
      </c>
      <c r="B69" s="1508" t="n">
        <v>930600.0000000001</v>
      </c>
      <c r="C69" s="1508" t="n">
        <v>187769244.9091733</v>
      </c>
      <c r="D69" s="1508" t="n">
        <v>1140850.926</v>
      </c>
      <c r="E69" s="1508" t="n">
        <v>70912505.77509677</v>
      </c>
      <c r="F69" s="1508" t="n">
        <v>-210250.9259999999</v>
      </c>
      <c r="G69" s="1508" t="n">
        <v>116856739.1340765</v>
      </c>
      <c r="H69" s="1509" t="n">
        <v>0.9443817570276222</v>
      </c>
      <c r="I69" s="1509" t="n">
        <v>0.9907470371068381</v>
      </c>
      <c r="J69" s="1508" t="n">
        <v>116856739.1340765</v>
      </c>
    </row>
    <row r="70">
      <c r="A70" s="1504" t="n">
        <v>47423</v>
      </c>
      <c r="B70" s="1505" t="n">
        <v>6637026.13577893</v>
      </c>
      <c r="C70" s="1505" t="n">
        <v>194406271.0449522</v>
      </c>
      <c r="D70" s="1505" t="n">
        <v>100000</v>
      </c>
      <c r="E70" s="1505" t="n">
        <v>71012505.77509677</v>
      </c>
      <c r="F70" s="1505" t="n">
        <v>6537026.13577893</v>
      </c>
      <c r="G70" s="1505" t="n">
        <v>123393765.2698554</v>
      </c>
      <c r="H70" s="1506" t="n">
        <v>0.977762550599951</v>
      </c>
      <c r="I70" s="1506" t="n">
        <v>0.9921441771828764</v>
      </c>
      <c r="J70" s="1505" t="n">
        <v>123393765.2698554</v>
      </c>
    </row>
    <row r="71">
      <c r="A71" s="1507" t="n">
        <v>47453</v>
      </c>
      <c r="B71" s="1508" t="n">
        <v>1730898.873291691</v>
      </c>
      <c r="C71" s="1508" t="n">
        <v>196137169.9182439</v>
      </c>
      <c r="D71" s="1508" t="n">
        <v>100000</v>
      </c>
      <c r="E71" s="1508" t="n">
        <v>71112505.77509677</v>
      </c>
      <c r="F71" s="1508" t="n">
        <v>1630898.873291691</v>
      </c>
      <c r="G71" s="1508" t="n">
        <v>125024664.1431471</v>
      </c>
      <c r="H71" s="1509" t="n">
        <v>0.9864680727422328</v>
      </c>
      <c r="I71" s="1509" t="n">
        <v>0.9935413172589147</v>
      </c>
      <c r="J71" s="1508" t="n">
        <v>125024664.1431471</v>
      </c>
    </row>
    <row r="72">
      <c r="A72" s="1504" t="n">
        <v>47484</v>
      </c>
      <c r="B72" s="1505" t="n">
        <v>2512792.617</v>
      </c>
      <c r="C72" s="1505" t="n">
        <v>198649962.5352439</v>
      </c>
      <c r="D72" s="1505" t="n">
        <v>100000</v>
      </c>
      <c r="E72" s="1505" t="n">
        <v>71212505.77509677</v>
      </c>
      <c r="F72" s="1505" t="n">
        <v>2412792.617</v>
      </c>
      <c r="G72" s="1505" t="n">
        <v>127437456.7601471</v>
      </c>
      <c r="H72" s="1506" t="n">
        <v>0.9991061142268027</v>
      </c>
      <c r="I72" s="1506" t="n">
        <v>0.9949384573349529</v>
      </c>
      <c r="J72" s="1505" t="n">
        <v>127437456.7601471</v>
      </c>
    </row>
    <row r="73">
      <c r="A73" s="1507" t="n">
        <v>47515</v>
      </c>
      <c r="B73" s="1508" t="n">
        <v>177729.245</v>
      </c>
      <c r="C73" s="1508" t="n">
        <v>198827691.7802439</v>
      </c>
      <c r="D73" s="1508" t="n">
        <v>262278.826</v>
      </c>
      <c r="E73" s="1508" t="n">
        <v>71474784.60109678</v>
      </c>
      <c r="F73" s="1508" t="n">
        <v>-84549.58100000001</v>
      </c>
      <c r="G73" s="1508" t="n">
        <v>127352907.1791471</v>
      </c>
      <c r="H73" s="1509" t="n">
        <v>1</v>
      </c>
      <c r="I73" s="1509" t="n">
        <v>0.9986028599239617</v>
      </c>
      <c r="J73" s="1508" t="n">
        <v>127352907.1791471</v>
      </c>
    </row>
    <row r="74">
      <c r="A74" s="1504" t="n">
        <v>47543</v>
      </c>
      <c r="B74" s="1505" t="n">
        <v>0</v>
      </c>
      <c r="C74" s="1505" t="n">
        <v>198827691.7802439</v>
      </c>
      <c r="D74" s="1505" t="n">
        <v>100000</v>
      </c>
      <c r="E74" s="1505" t="n">
        <v>71574784.60109678</v>
      </c>
      <c r="F74" s="1505" t="n">
        <v>-100000</v>
      </c>
      <c r="G74" s="1505" t="n">
        <v>127252907.1791471</v>
      </c>
      <c r="H74" s="1506" t="n">
        <v>1</v>
      </c>
      <c r="I74" s="1506" t="n">
        <v>1</v>
      </c>
      <c r="J74" s="1505" t="n">
        <v>127252907.1791471</v>
      </c>
    </row>
    <row r="75">
      <c r="A75" s="1510" t="n"/>
      <c r="B75" s="1511" t="n"/>
      <c r="C75" s="1511" t="n"/>
      <c r="D75" s="1511" t="n"/>
      <c r="E75" s="1511" t="n"/>
      <c r="F75" s="1511" t="n"/>
      <c r="G75" s="1511" t="n"/>
      <c r="H75" s="1512" t="n"/>
      <c r="I75" s="1512" t="n"/>
      <c r="J75" s="1511" t="n"/>
    </row>
    <row r="76">
      <c r="A76" s="1513" t="inlineStr">
        <is>
          <t>TOTAL / FINAL</t>
        </is>
      </c>
      <c r="B76" s="1514" t="n">
        <v>198827691.7802439</v>
      </c>
      <c r="C76" s="1514" t="n">
        <v>198827691.7802439</v>
      </c>
      <c r="D76" s="1514" t="n">
        <v>71574784.60109678</v>
      </c>
      <c r="E76" s="1514" t="n">
        <v>71574784.60109678</v>
      </c>
      <c r="F76" s="1514" t="n">
        <v>127252907.1791471</v>
      </c>
      <c r="G76" s="1514" t="n">
        <v>127252907.1791471</v>
      </c>
      <c r="H76" s="1515" t="n">
        <v>1</v>
      </c>
      <c r="I76" s="1515" t="n">
        <v>1</v>
      </c>
      <c r="J76" s="1514" t="n">
        <v>127252907.1791471</v>
      </c>
    </row>
  </sheetData>
  <autoFilter ref="A5:J74"/>
  <mergeCells count="3">
    <mergeCell ref="A1:J1"/>
    <mergeCell ref="A4:J4"/>
    <mergeCell ref="A2:J2"/>
  </mergeCells>
  <conditionalFormatting sqref="F6:G74">
    <cfRule type="cellIs" priority="1" operator="lessThan" dxfId="77">
      <formula>0</formula>
    </cfRule>
    <cfRule type="cellIs" priority="2" operator="greaterThanOrEqual" dxfId="78">
      <formula>0</formula>
    </cfRule>
  </conditionalFormatting>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S135"/>
  <sheetViews>
    <sheetView showGridLines="0"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hidden="1" width="13" customWidth="1" min="14" max="14"/>
    <col hidden="1" width="13" customWidth="1" min="15" max="15"/>
    <col hidden="1" width="13" customWidth="1" min="16" max="16"/>
    <col hidden="1" width="13" customWidth="1" min="17" max="17"/>
    <col hidden="1" width="13" customWidth="1" min="18" max="18"/>
    <col hidden="1" width="13" customWidth="1" min="19" max="19"/>
  </cols>
  <sheetData>
    <row r="1" ht="18" customHeight="1">
      <c r="A1" s="1500" t="inlineStr">
        <is>
          <t>Investor Dashboard</t>
        </is>
      </c>
    </row>
    <row r="2" ht="18" customHeight="1">
      <c r="A2" s="1501" t="inlineStr">
        <is>
          <t>Visão executiva da Curva S prevista, com indicadores para análise de investimento.</t>
        </is>
      </c>
    </row>
    <row r="3" ht="18" customHeight="1"/>
    <row r="4" ht="18" customHeight="1">
      <c r="A4" s="1516" t="inlineStr">
        <is>
          <t>Valor total previsto de receita</t>
        </is>
      </c>
      <c r="B4" s="1517" t="n"/>
      <c r="C4" s="1517" t="n"/>
      <c r="D4" s="1518" t="inlineStr">
        <is>
          <t>Total previsto de desembolso</t>
        </is>
      </c>
      <c r="E4" s="1519" t="n"/>
      <c r="F4" s="1519" t="n"/>
      <c r="G4" s="1518" t="inlineStr">
        <is>
          <t>Resultado líquido previsto</t>
        </is>
      </c>
      <c r="H4" s="1519" t="n"/>
      <c r="I4" s="1519" t="n"/>
      <c r="J4" s="1520" t="inlineStr">
        <is>
          <t>Margem estimada %</t>
        </is>
      </c>
      <c r="K4" s="1521" t="n"/>
      <c r="L4" s="1521" t="n"/>
    </row>
    <row r="5" ht="18" customHeight="1">
      <c r="A5" s="1522" t="inlineStr">
        <is>
          <t>R$ 198.827.691,78</t>
        </is>
      </c>
      <c r="B5" s="1517" t="n"/>
      <c r="C5" s="1517" t="n"/>
      <c r="D5" s="1523" t="inlineStr">
        <is>
          <t>R$ 71.574.784,60</t>
        </is>
      </c>
      <c r="E5" s="1519" t="n"/>
      <c r="F5" s="1519" t="n"/>
      <c r="G5" s="1523" t="inlineStr">
        <is>
          <t>R$ 127.252.907,18</t>
        </is>
      </c>
      <c r="H5" s="1519" t="n"/>
      <c r="I5" s="1519" t="n"/>
      <c r="J5" s="1524" t="inlineStr">
        <is>
          <t>64.0%</t>
        </is>
      </c>
      <c r="K5" s="1521" t="n"/>
      <c r="L5" s="1521" t="n"/>
    </row>
    <row r="6" ht="18" customHeight="1">
      <c r="A6" s="1525" t="inlineStr">
        <is>
          <t>Fonte: 04_TOTALIZADORA (3)!H82/G84</t>
        </is>
      </c>
      <c r="B6" s="1517" t="n"/>
      <c r="C6" s="1517" t="n"/>
      <c r="D6" s="1526" t="inlineStr">
        <is>
          <t>Soma mensal: 04_TOTALIZADORA (3)!R14:R82</t>
        </is>
      </c>
      <c r="E6" s="1519" t="n"/>
      <c r="F6" s="1519" t="n"/>
      <c r="G6" s="1526" t="inlineStr">
        <is>
          <t>Receita prevista - desembolso mensal previsto</t>
        </is>
      </c>
      <c r="H6" s="1519" t="n"/>
      <c r="I6" s="1519" t="n"/>
      <c r="J6" s="1527" t="inlineStr">
        <is>
          <t>Resultado líquido / Receita prevista</t>
        </is>
      </c>
      <c r="K6" s="1521" t="n"/>
      <c r="L6" s="1521" t="n"/>
    </row>
    <row r="7" ht="18" customHeight="1"/>
    <row r="8" ht="18" customHeight="1">
      <c r="A8" s="1528" t="inlineStr">
        <is>
          <t>Maior mês de desembolso</t>
        </is>
      </c>
      <c r="B8" s="1529" t="n"/>
      <c r="C8" s="1529" t="n"/>
      <c r="D8" s="1528" t="inlineStr">
        <is>
          <t>Mês de break-even</t>
        </is>
      </c>
      <c r="E8" s="1529" t="n"/>
      <c r="F8" s="1529" t="n"/>
      <c r="G8" s="1530" t="inlineStr">
        <is>
          <t>Pico de necessidade de caixa</t>
        </is>
      </c>
      <c r="H8" s="1531" t="n"/>
      <c r="I8" s="1531" t="n"/>
      <c r="J8" s="1520" t="inlineStr">
        <is>
          <t>Payback / recuperação acumulada</t>
        </is>
      </c>
      <c r="K8" s="1521" t="n"/>
      <c r="L8" s="1521" t="n"/>
    </row>
    <row r="9" ht="18" customHeight="1">
      <c r="A9" s="1532" t="inlineStr">
        <is>
          <t>mar/26</t>
        </is>
      </c>
      <c r="B9" s="1529" t="n"/>
      <c r="C9" s="1529" t="n"/>
      <c r="D9" s="1532" t="inlineStr">
        <is>
          <t>out/26</t>
        </is>
      </c>
      <c r="E9" s="1529" t="n"/>
      <c r="F9" s="1529" t="n"/>
      <c r="G9" s="1533" t="inlineStr">
        <is>
          <t>R$ 11.835.990,96</t>
        </is>
      </c>
      <c r="H9" s="1531" t="n"/>
      <c r="I9" s="1531" t="n"/>
      <c r="J9" s="1524" t="inlineStr">
        <is>
          <t>out/26</t>
        </is>
      </c>
      <c r="K9" s="1521" t="n"/>
      <c r="L9" s="1521" t="n"/>
    </row>
    <row r="10" ht="18" customHeight="1">
      <c r="A10" s="1534" t="inlineStr">
        <is>
          <t>R$ 6.251.716,14</t>
        </is>
      </c>
      <c r="B10" s="1529" t="n"/>
      <c r="C10" s="1529" t="n"/>
      <c r="D10" s="1534" t="inlineStr">
        <is>
          <t>Base: resultado líquido acumulado</t>
        </is>
      </c>
      <c r="E10" s="1529" t="n"/>
      <c r="F10" s="1529" t="n"/>
      <c r="G10" s="1535" t="inlineStr">
        <is>
          <t>mar/2026</t>
        </is>
      </c>
      <c r="H10" s="1531" t="n"/>
      <c r="I10" s="1531" t="n"/>
      <c r="J10" s="1527" t="inlineStr">
        <is>
          <t>Primeiro retorno ao acumulado positivo após pico negativo</t>
        </is>
      </c>
      <c r="K10" s="1521" t="n"/>
      <c r="L10" s="1521" t="n"/>
    </row>
    <row r="11" ht="18" customHeight="1"/>
    <row r="12" ht="18" customHeight="1"/>
    <row r="13" ht="18" customHeight="1">
      <c r="A13" s="1536" t="inlineStr">
        <is>
          <t>Resumo executivo</t>
        </is>
      </c>
      <c r="J13" s="1536" t="inlineStr">
        <is>
          <t>Meses críticos</t>
        </is>
      </c>
    </row>
    <row r="14" ht="18" customHeight="1">
      <c r="A14" s="1537" t="inlineStr">
        <is>
          <t>Receita prevista total de R$ 198.827.691,78 contra desembolso mensal previsto de R$ 71.574.784,60, resultando em R$ 127.252.907,18.</t>
        </is>
      </c>
      <c r="J14" s="1503" t="inlineStr">
        <is>
          <t>Mês</t>
        </is>
      </c>
      <c r="K14" s="1503" t="inlineStr">
        <is>
          <t>Pressão mensal</t>
        </is>
      </c>
    </row>
    <row r="15" ht="18" customHeight="1">
      <c r="A15" s="1537" t="inlineStr">
        <is>
          <t>O fluxo acumulado fica negativo até out/2026; pico de necessidade de caixa de R$ 11.835.990,96 em mar/2026.</t>
        </is>
      </c>
      <c r="J15" s="116" t="inlineStr">
        <is>
          <t>mar/26</t>
        </is>
      </c>
      <c r="K15" s="116" t="inlineStr">
        <is>
          <t>-R$ 5.596.561,31</t>
        </is>
      </c>
    </row>
    <row r="16" ht="18" customHeight="1">
      <c r="A16" s="1537" t="inlineStr">
        <is>
          <t>A receita e o desembolso têm maior pressão no período intermediário do cronograma; os meses críticos estão listados ao lado.</t>
        </is>
      </c>
      <c r="J16" s="116" t="inlineStr">
        <is>
          <t>dez/25</t>
        </is>
      </c>
      <c r="K16" s="116" t="inlineStr">
        <is>
          <t>-R$ 5.501.436,85</t>
        </is>
      </c>
    </row>
    <row r="17" ht="18" customHeight="1">
      <c r="A17" s="1537" t="inlineStr">
        <is>
          <t>Atenção: desembolso acumulado oficial em U termina em R$ 106.244.983,63, diferença de R$ 34.670.199,02 versus soma mensal de R.</t>
        </is>
      </c>
      <c r="J17" s="116" t="inlineStr">
        <is>
          <t>set/28</t>
        </is>
      </c>
      <c r="K17" s="116" t="inlineStr">
        <is>
          <t>-R$ 2.813.497,98</t>
        </is>
      </c>
    </row>
    <row r="18" ht="18" customHeight="1">
      <c r="A18" s="1538" t="inlineStr">
        <is>
          <t>Top receita mensal</t>
        </is>
      </c>
      <c r="D18" s="1538" t="inlineStr">
        <is>
          <t>Top desembolso mensal</t>
        </is>
      </c>
    </row>
    <row r="19" ht="18" customHeight="1">
      <c r="A19" s="116" t="inlineStr">
        <is>
          <t>jan/27</t>
        </is>
      </c>
      <c r="B19" s="116" t="inlineStr">
        <is>
          <t>R$ 14.592.425,91</t>
        </is>
      </c>
      <c r="D19" s="116" t="inlineStr">
        <is>
          <t>mar/26</t>
        </is>
      </c>
      <c r="E19" s="116" t="inlineStr">
        <is>
          <t>R$ 6.251.716,14</t>
        </is>
      </c>
    </row>
    <row r="20" ht="18" customHeight="1">
      <c r="A20" s="116" t="inlineStr">
        <is>
          <t>abr/27</t>
        </is>
      </c>
      <c r="B20" s="116" t="inlineStr">
        <is>
          <t>R$ 13.426.486,56</t>
        </is>
      </c>
      <c r="D20" s="116" t="inlineStr">
        <is>
          <t>dez/25</t>
        </is>
      </c>
      <c r="E20" s="116" t="inlineStr">
        <is>
          <t>R$ 5.501.436,85</t>
        </is>
      </c>
    </row>
    <row r="21" ht="18" customHeight="1">
      <c r="A21" s="116" t="inlineStr">
        <is>
          <t>dez/26</t>
        </is>
      </c>
      <c r="B21" s="116" t="inlineStr">
        <is>
          <t>R$ 13.020.339,28</t>
        </is>
      </c>
      <c r="D21" s="116" t="inlineStr">
        <is>
          <t>nov/26</t>
        </is>
      </c>
      <c r="E21" s="116" t="inlineStr">
        <is>
          <t>R$ 4.389.595,25</t>
        </is>
      </c>
    </row>
    <row r="22" ht="18" customHeight="1"/>
    <row r="23" ht="18" customHeight="1"/>
    <row r="24" ht="18" customHeight="1"/>
    <row r="25" ht="18" customHeight="1"/>
    <row r="26" ht="18" customHeight="1"/>
    <row r="27" ht="18" customHeight="1"/>
    <row r="28" ht="18" customHeight="1"/>
    <row r="29" ht="18" customHeight="1"/>
    <row r="30" ht="18" customHeight="1"/>
    <row r="31" ht="18" customHeight="1"/>
    <row r="32" ht="18" customHeight="1"/>
    <row r="33" ht="18" customHeight="1"/>
    <row r="34" ht="18" customHeight="1"/>
    <row r="35" ht="18" customHeight="1"/>
    <row r="36" ht="18" customHeight="1"/>
    <row r="37" ht="18" customHeight="1"/>
    <row r="38" ht="18" customHeight="1"/>
    <row r="39" ht="18" customHeight="1"/>
    <row r="40" ht="18" customHeight="1"/>
    <row r="41" ht="18" customHeight="1"/>
    <row r="42" ht="18" customHeight="1"/>
    <row r="43" ht="18" customHeight="1"/>
    <row r="44" ht="18" customHeight="1"/>
    <row r="45" ht="18" customHeight="1"/>
    <row r="46" ht="18" customHeight="1"/>
    <row r="47" ht="18" customHeight="1"/>
    <row r="48" ht="18" customHeight="1"/>
    <row r="49" ht="18" customHeight="1"/>
    <row r="50" ht="18" customHeight="1"/>
    <row r="51" ht="18" customHeight="1"/>
    <row r="52" ht="18" customHeight="1"/>
    <row r="53" ht="18" customHeight="1"/>
    <row r="54" ht="18" customHeight="1"/>
    <row r="55" ht="18" customHeight="1"/>
    <row r="56" ht="18" customHeight="1"/>
    <row r="57" ht="18" customHeight="1"/>
    <row r="58" ht="18" customHeight="1"/>
    <row r="59" ht="18" customHeight="1"/>
    <row r="60">
      <c r="N60" s="116" t="inlineStr">
        <is>
          <t>Mês</t>
        </is>
      </c>
      <c r="O60" s="116" t="inlineStr">
        <is>
          <t>Receita acum.</t>
        </is>
      </c>
      <c r="P60" s="116" t="inlineStr">
        <is>
          <t>Desembolso acum.</t>
        </is>
      </c>
      <c r="Q60" s="116" t="inlineStr">
        <is>
          <t>Receita mensal</t>
        </is>
      </c>
      <c r="R60" s="116" t="inlineStr">
        <is>
          <t>Desembolso mensal</t>
        </is>
      </c>
      <c r="S60" s="116" t="inlineStr">
        <is>
          <t>Resultado acum.</t>
        </is>
      </c>
    </row>
    <row r="61">
      <c r="N61" s="116" t="inlineStr">
        <is>
          <t>jul/24</t>
        </is>
      </c>
      <c r="O61" s="116" t="n">
        <v>0</v>
      </c>
      <c r="P61" s="116" t="n">
        <v>100000</v>
      </c>
      <c r="Q61" s="116" t="n">
        <v>0</v>
      </c>
      <c r="R61" s="116" t="n">
        <v>100000</v>
      </c>
      <c r="S61" s="116" t="n">
        <v>-100000</v>
      </c>
    </row>
    <row r="62">
      <c r="N62" s="116" t="inlineStr">
        <is>
          <t>ago/24</t>
        </is>
      </c>
      <c r="O62" s="116" t="n">
        <v>0</v>
      </c>
      <c r="P62" s="116" t="n">
        <v>200000</v>
      </c>
      <c r="Q62" s="116" t="n">
        <v>0</v>
      </c>
      <c r="R62" s="116" t="n">
        <v>100000</v>
      </c>
      <c r="S62" s="116" t="n">
        <v>-200000</v>
      </c>
    </row>
    <row r="63">
      <c r="N63" s="116" t="inlineStr">
        <is>
          <t>set/24</t>
        </is>
      </c>
      <c r="O63" s="116" t="n">
        <v>0</v>
      </c>
      <c r="P63" s="116" t="n">
        <v>300000</v>
      </c>
      <c r="Q63" s="116" t="n">
        <v>0</v>
      </c>
      <c r="R63" s="116" t="n">
        <v>100000</v>
      </c>
      <c r="S63" s="116" t="n">
        <v>-300000</v>
      </c>
    </row>
    <row r="64">
      <c r="N64" s="116" t="inlineStr">
        <is>
          <t>out/24</t>
        </is>
      </c>
      <c r="O64" s="116" t="n">
        <v>0</v>
      </c>
      <c r="P64" s="116" t="n">
        <v>400000</v>
      </c>
      <c r="Q64" s="116" t="n">
        <v>0</v>
      </c>
      <c r="R64" s="116" t="n">
        <v>100000</v>
      </c>
      <c r="S64" s="116" t="n">
        <v>-400000</v>
      </c>
    </row>
    <row r="65">
      <c r="N65" s="116" t="inlineStr">
        <is>
          <t>nov/24</t>
        </is>
      </c>
      <c r="O65" s="116" t="n">
        <v>0</v>
      </c>
      <c r="P65" s="116" t="n">
        <v>500000</v>
      </c>
      <c r="Q65" s="116" t="n">
        <v>0</v>
      </c>
      <c r="R65" s="116" t="n">
        <v>100000</v>
      </c>
      <c r="S65" s="116" t="n">
        <v>-500000</v>
      </c>
    </row>
    <row r="66">
      <c r="N66" s="116" t="inlineStr">
        <is>
          <t>dez/24</t>
        </is>
      </c>
      <c r="O66" s="116" t="n">
        <v>0</v>
      </c>
      <c r="P66" s="116" t="n">
        <v>600000</v>
      </c>
      <c r="Q66" s="116" t="n">
        <v>0</v>
      </c>
      <c r="R66" s="116" t="n">
        <v>100000</v>
      </c>
      <c r="S66" s="116" t="n">
        <v>-600000</v>
      </c>
    </row>
    <row r="67">
      <c r="N67" s="116" t="inlineStr">
        <is>
          <t>jan/25</t>
        </is>
      </c>
      <c r="O67" s="116" t="n">
        <v>0</v>
      </c>
      <c r="P67" s="116" t="n">
        <v>700000</v>
      </c>
      <c r="Q67" s="116" t="n">
        <v>0</v>
      </c>
      <c r="R67" s="116" t="n">
        <v>100000</v>
      </c>
      <c r="S67" s="116" t="n">
        <v>-700000</v>
      </c>
    </row>
    <row r="68">
      <c r="N68" s="116" t="inlineStr">
        <is>
          <t>fev/25</t>
        </is>
      </c>
      <c r="O68" s="116" t="n">
        <v>0</v>
      </c>
      <c r="P68" s="116" t="n">
        <v>800000</v>
      </c>
      <c r="Q68" s="116" t="n">
        <v>0</v>
      </c>
      <c r="R68" s="116" t="n">
        <v>100000</v>
      </c>
      <c r="S68" s="116" t="n">
        <v>-800000</v>
      </c>
    </row>
    <row r="69">
      <c r="N69" s="116" t="inlineStr">
        <is>
          <t>mar/25</t>
        </is>
      </c>
      <c r="O69" s="116" t="n">
        <v>0</v>
      </c>
      <c r="P69" s="116" t="n">
        <v>900000</v>
      </c>
      <c r="Q69" s="116" t="n">
        <v>0</v>
      </c>
      <c r="R69" s="116" t="n">
        <v>100000</v>
      </c>
      <c r="S69" s="116" t="n">
        <v>-900000</v>
      </c>
    </row>
    <row r="70">
      <c r="N70" s="116" t="inlineStr">
        <is>
          <t>abr/25</t>
        </is>
      </c>
      <c r="O70" s="116" t="n">
        <v>0</v>
      </c>
      <c r="P70" s="116" t="n">
        <v>1000000</v>
      </c>
      <c r="Q70" s="116" t="n">
        <v>0</v>
      </c>
      <c r="R70" s="116" t="n">
        <v>100000</v>
      </c>
      <c r="S70" s="116" t="n">
        <v>-1000000</v>
      </c>
    </row>
    <row r="71">
      <c r="N71" s="116" t="inlineStr">
        <is>
          <t>mai/25</t>
        </is>
      </c>
      <c r="O71" s="116" t="n">
        <v>0</v>
      </c>
      <c r="P71" s="116" t="n">
        <v>1100000</v>
      </c>
      <c r="Q71" s="116" t="n">
        <v>0</v>
      </c>
      <c r="R71" s="116" t="n">
        <v>100000</v>
      </c>
      <c r="S71" s="116" t="n">
        <v>-1100000</v>
      </c>
    </row>
    <row r="72">
      <c r="N72" s="116" t="inlineStr">
        <is>
          <t>jun/25</t>
        </is>
      </c>
      <c r="O72" s="116" t="n">
        <v>0</v>
      </c>
      <c r="P72" s="116" t="n">
        <v>1200000</v>
      </c>
      <c r="Q72" s="116" t="n">
        <v>0</v>
      </c>
      <c r="R72" s="116" t="n">
        <v>100000</v>
      </c>
      <c r="S72" s="116" t="n">
        <v>-1200000</v>
      </c>
    </row>
    <row r="73">
      <c r="N73" s="116" t="inlineStr">
        <is>
          <t>jul/25</t>
        </is>
      </c>
      <c r="O73" s="116" t="n">
        <v>0</v>
      </c>
      <c r="P73" s="116" t="n">
        <v>1300000</v>
      </c>
      <c r="Q73" s="116" t="n">
        <v>0</v>
      </c>
      <c r="R73" s="116" t="n">
        <v>100000</v>
      </c>
      <c r="S73" s="116" t="n">
        <v>-1300000</v>
      </c>
    </row>
    <row r="74">
      <c r="N74" s="116" t="inlineStr">
        <is>
          <t>ago/25</t>
        </is>
      </c>
      <c r="O74" s="116" t="n">
        <v>0</v>
      </c>
      <c r="P74" s="116" t="n">
        <v>1400000</v>
      </c>
      <c r="Q74" s="116" t="n">
        <v>0</v>
      </c>
      <c r="R74" s="116" t="n">
        <v>100000</v>
      </c>
      <c r="S74" s="116" t="n">
        <v>-1400000</v>
      </c>
    </row>
    <row r="75">
      <c r="N75" s="116" t="inlineStr">
        <is>
          <t>set/25</t>
        </is>
      </c>
      <c r="O75" s="116" t="n">
        <v>0</v>
      </c>
      <c r="P75" s="116" t="n">
        <v>1557924.445</v>
      </c>
      <c r="Q75" s="116" t="n">
        <v>0</v>
      </c>
      <c r="R75" s="116" t="n">
        <v>157924.445</v>
      </c>
      <c r="S75" s="116" t="n">
        <v>-1557924.445</v>
      </c>
    </row>
    <row r="76">
      <c r="N76" s="116" t="inlineStr">
        <is>
          <t>out/25</t>
        </is>
      </c>
      <c r="O76" s="116" t="n">
        <v>412245.1763298608</v>
      </c>
      <c r="P76" s="116" t="n">
        <v>1657924.445</v>
      </c>
      <c r="Q76" s="116" t="n">
        <v>412245.1763298608</v>
      </c>
      <c r="R76" s="116" t="n">
        <v>100000</v>
      </c>
      <c r="S76" s="116" t="n">
        <v>-1245679.268670139</v>
      </c>
    </row>
    <row r="77">
      <c r="N77" s="116" t="inlineStr">
        <is>
          <t>nov/25</t>
        </is>
      </c>
      <c r="O77" s="116" t="n">
        <v>412245.1763298608</v>
      </c>
      <c r="P77" s="116" t="n">
        <v>1797924.445</v>
      </c>
      <c r="Q77" s="116" t="n">
        <v>0</v>
      </c>
      <c r="R77" s="116" t="n">
        <v>140000</v>
      </c>
      <c r="S77" s="116" t="n">
        <v>-1385679.268670139</v>
      </c>
    </row>
    <row r="78">
      <c r="N78" s="116" t="inlineStr">
        <is>
          <t>dez/25</t>
        </is>
      </c>
      <c r="O78" s="116" t="n">
        <v>412245.1763298608</v>
      </c>
      <c r="P78" s="116" t="n">
        <v>7299361.295</v>
      </c>
      <c r="Q78" s="116" t="n">
        <v>0</v>
      </c>
      <c r="R78" s="116" t="n">
        <v>5501436.85</v>
      </c>
      <c r="S78" s="116" t="n">
        <v>-6887116.118670139</v>
      </c>
    </row>
    <row r="79">
      <c r="N79" s="116" t="inlineStr">
        <is>
          <t>jan/26</t>
        </is>
      </c>
      <c r="O79" s="116" t="n">
        <v>853756.6463298609</v>
      </c>
      <c r="P79" s="116" t="n">
        <v>9106007.845000001</v>
      </c>
      <c r="Q79" s="116" t="n">
        <v>441511.47</v>
      </c>
      <c r="R79" s="116" t="n">
        <v>1806646.55</v>
      </c>
      <c r="S79" s="116" t="n">
        <v>-8252251.19867014</v>
      </c>
    </row>
    <row r="80">
      <c r="N80" s="116" t="inlineStr">
        <is>
          <t>fev/26</t>
        </is>
      </c>
      <c r="O80" s="116" t="n">
        <v>4666578.200786479</v>
      </c>
      <c r="P80" s="116" t="n">
        <v>10906007.845</v>
      </c>
      <c r="Q80" s="116" t="n">
        <v>3812821.554456618</v>
      </c>
      <c r="R80" s="116" t="n">
        <v>1800000</v>
      </c>
      <c r="S80" s="116" t="n">
        <v>-6239429.644213522</v>
      </c>
    </row>
    <row r="81">
      <c r="N81" s="116" t="inlineStr">
        <is>
          <t>mar/26</t>
        </is>
      </c>
      <c r="O81" s="116" t="n">
        <v>5321733.030786479</v>
      </c>
      <c r="P81" s="116" t="n">
        <v>17157723.986</v>
      </c>
      <c r="Q81" s="116" t="n">
        <v>655154.8299999998</v>
      </c>
      <c r="R81" s="116" t="n">
        <v>6251716.141000001</v>
      </c>
      <c r="S81" s="116" t="n">
        <v>-11835990.95521352</v>
      </c>
    </row>
    <row r="82">
      <c r="N82" s="116" t="inlineStr">
        <is>
          <t>abr/26</t>
        </is>
      </c>
      <c r="O82" s="116" t="n">
        <v>8054345.923620228</v>
      </c>
      <c r="P82" s="116" t="n">
        <v>17497723.986</v>
      </c>
      <c r="Q82" s="116" t="n">
        <v>2732612.892833749</v>
      </c>
      <c r="R82" s="116" t="n">
        <v>340000</v>
      </c>
      <c r="S82" s="116" t="n">
        <v>-9443378.062379774</v>
      </c>
    </row>
    <row r="83">
      <c r="N83" s="116" t="inlineStr">
        <is>
          <t>mai/26</t>
        </is>
      </c>
      <c r="O83" s="116" t="n">
        <v>9682123.153620228</v>
      </c>
      <c r="P83" s="116" t="n">
        <v>17793540.156</v>
      </c>
      <c r="Q83" s="116" t="n">
        <v>1627777.23</v>
      </c>
      <c r="R83" s="116" t="n">
        <v>295816.17</v>
      </c>
      <c r="S83" s="116" t="n">
        <v>-8111417.002379773</v>
      </c>
    </row>
    <row r="84">
      <c r="N84" s="116" t="inlineStr">
        <is>
          <t>jun/26</t>
        </is>
      </c>
      <c r="O84" s="116" t="n">
        <v>10837152.89112023</v>
      </c>
      <c r="P84" s="116" t="n">
        <v>19765271.8</v>
      </c>
      <c r="Q84" s="116" t="n">
        <v>1155029.7375</v>
      </c>
      <c r="R84" s="116" t="n">
        <v>1971731.644</v>
      </c>
      <c r="S84" s="116" t="n">
        <v>-8928118.908879774</v>
      </c>
    </row>
    <row r="85">
      <c r="N85" s="116" t="inlineStr">
        <is>
          <t>jul/26</t>
        </is>
      </c>
      <c r="O85" s="116" t="n">
        <v>11997176.24043967</v>
      </c>
      <c r="P85" s="116" t="n">
        <v>22240722.19000001</v>
      </c>
      <c r="Q85" s="116" t="n">
        <v>1160023.349319443</v>
      </c>
      <c r="R85" s="116" t="n">
        <v>2475450.39</v>
      </c>
      <c r="S85" s="116" t="n">
        <v>-10243545.94956033</v>
      </c>
    </row>
    <row r="86">
      <c r="N86" s="116" t="inlineStr">
        <is>
          <t>ago/26</t>
        </is>
      </c>
      <c r="O86" s="116" t="n">
        <v>16403366.73012317</v>
      </c>
      <c r="P86" s="116" t="n">
        <v>22608048.734</v>
      </c>
      <c r="Q86" s="116" t="n">
        <v>4406190.489683495</v>
      </c>
      <c r="R86" s="116" t="n">
        <v>367326.544</v>
      </c>
      <c r="S86" s="116" t="n">
        <v>-6204682.003876836</v>
      </c>
    </row>
    <row r="87">
      <c r="N87" s="116" t="inlineStr">
        <is>
          <t>set/26</t>
        </is>
      </c>
      <c r="O87" s="116" t="n">
        <v>21346281.35012317</v>
      </c>
      <c r="P87" s="116" t="n">
        <v>23108048.734</v>
      </c>
      <c r="Q87" s="116" t="n">
        <v>4942914.62</v>
      </c>
      <c r="R87" s="116" t="n">
        <v>500000</v>
      </c>
      <c r="S87" s="116" t="n">
        <v>-1761767.383876836</v>
      </c>
    </row>
    <row r="88">
      <c r="N88" s="116" t="inlineStr">
        <is>
          <t>out/26</t>
        </is>
      </c>
      <c r="O88" s="116" t="n">
        <v>31880808.57012317</v>
      </c>
      <c r="P88" s="116" t="n">
        <v>24648193.888</v>
      </c>
      <c r="Q88" s="116" t="n">
        <v>10534527.22</v>
      </c>
      <c r="R88" s="116" t="n">
        <v>1540145.154</v>
      </c>
      <c r="S88" s="116" t="n">
        <v>7232614.682123164</v>
      </c>
    </row>
    <row r="89">
      <c r="N89" s="116" t="inlineStr">
        <is>
          <t>nov/26</t>
        </is>
      </c>
      <c r="O89" s="116" t="n">
        <v>35401389.95012317</v>
      </c>
      <c r="P89" s="116" t="n">
        <v>29037789.13809678</v>
      </c>
      <c r="Q89" s="116" t="n">
        <v>3520581.38</v>
      </c>
      <c r="R89" s="116" t="n">
        <v>4389595.250096774</v>
      </c>
      <c r="S89" s="116" t="n">
        <v>6363600.812026391</v>
      </c>
    </row>
    <row r="90">
      <c r="N90" s="116" t="inlineStr">
        <is>
          <t>dez/26</t>
        </is>
      </c>
      <c r="O90" s="116" t="n">
        <v>48421729.22762317</v>
      </c>
      <c r="P90" s="116" t="n">
        <v>29538595.91309678</v>
      </c>
      <c r="Q90" s="116" t="n">
        <v>13020339.2775</v>
      </c>
      <c r="R90" s="116" t="n">
        <v>500806.775</v>
      </c>
      <c r="S90" s="116" t="n">
        <v>18883133.31452639</v>
      </c>
    </row>
    <row r="91">
      <c r="N91" s="116" t="inlineStr">
        <is>
          <t>jan/27</t>
        </is>
      </c>
      <c r="O91" s="116" t="n">
        <v>63014155.13762318</v>
      </c>
      <c r="P91" s="116" t="n">
        <v>32999462.30684678</v>
      </c>
      <c r="Q91" s="116" t="n">
        <v>14592425.91</v>
      </c>
      <c r="R91" s="116" t="n">
        <v>3460866.39375</v>
      </c>
      <c r="S91" s="116" t="n">
        <v>30014692.83077639</v>
      </c>
    </row>
    <row r="92">
      <c r="N92" s="116" t="inlineStr">
        <is>
          <t>fev/27</t>
        </is>
      </c>
      <c r="O92" s="116" t="n">
        <v>70370889.11462317</v>
      </c>
      <c r="P92" s="116" t="n">
        <v>33285560.98284678</v>
      </c>
      <c r="Q92" s="116" t="n">
        <v>7356733.977000001</v>
      </c>
      <c r="R92" s="116" t="n">
        <v>286098.676</v>
      </c>
      <c r="S92" s="116" t="n">
        <v>37085328.13177639</v>
      </c>
    </row>
    <row r="93">
      <c r="N93" s="116" t="inlineStr">
        <is>
          <t>mar/27</t>
        </is>
      </c>
      <c r="O93" s="116" t="n">
        <v>75821585.67162317</v>
      </c>
      <c r="P93" s="116" t="n">
        <v>35441247.65484678</v>
      </c>
      <c r="Q93" s="116" t="n">
        <v>5450696.557000001</v>
      </c>
      <c r="R93" s="116" t="n">
        <v>2155686.672</v>
      </c>
      <c r="S93" s="116" t="n">
        <v>40380338.01677639</v>
      </c>
    </row>
    <row r="94">
      <c r="N94" s="116" t="inlineStr">
        <is>
          <t>abr/27</t>
        </is>
      </c>
      <c r="O94" s="116" t="n">
        <v>89248072.23462318</v>
      </c>
      <c r="P94" s="116" t="n">
        <v>36943052.96684678</v>
      </c>
      <c r="Q94" s="116" t="n">
        <v>13426486.563</v>
      </c>
      <c r="R94" s="116" t="n">
        <v>1501805.312</v>
      </c>
      <c r="S94" s="116" t="n">
        <v>52305019.26777639</v>
      </c>
    </row>
    <row r="95">
      <c r="N95" s="116" t="inlineStr">
        <is>
          <t>mai/27</t>
        </is>
      </c>
      <c r="O95" s="116" t="n">
        <v>93927306.02926429</v>
      </c>
      <c r="P95" s="116" t="n">
        <v>37394236.35684678</v>
      </c>
      <c r="Q95" s="116" t="n">
        <v>4679233.794641106</v>
      </c>
      <c r="R95" s="116" t="n">
        <v>451183.39</v>
      </c>
      <c r="S95" s="116" t="n">
        <v>56533069.6724175</v>
      </c>
    </row>
    <row r="96">
      <c r="N96" s="116" t="inlineStr">
        <is>
          <t>jun/27</t>
        </is>
      </c>
      <c r="O96" s="116" t="n">
        <v>95061364.00926429</v>
      </c>
      <c r="P96" s="116" t="n">
        <v>40246196.11684678</v>
      </c>
      <c r="Q96" s="116" t="n">
        <v>1134057.98</v>
      </c>
      <c r="R96" s="116" t="n">
        <v>2851959.76</v>
      </c>
      <c r="S96" s="116" t="n">
        <v>54815167.8924175</v>
      </c>
    </row>
    <row r="97">
      <c r="N97" s="116" t="inlineStr">
        <is>
          <t>jul/27</t>
        </is>
      </c>
      <c r="O97" s="116" t="n">
        <v>98798689.82326429</v>
      </c>
      <c r="P97" s="116" t="n">
        <v>41838157.64284678</v>
      </c>
      <c r="Q97" s="116" t="n">
        <v>3737325.814</v>
      </c>
      <c r="R97" s="116" t="n">
        <v>1591961.526</v>
      </c>
      <c r="S97" s="116" t="n">
        <v>56960532.1804175</v>
      </c>
    </row>
    <row r="98">
      <c r="N98" s="116" t="inlineStr">
        <is>
          <t>ago/27</t>
        </is>
      </c>
      <c r="O98" s="116" t="n">
        <v>101659931.6632643</v>
      </c>
      <c r="P98" s="116" t="n">
        <v>43096612.15284678</v>
      </c>
      <c r="Q98" s="116" t="n">
        <v>2861241.84</v>
      </c>
      <c r="R98" s="116" t="n">
        <v>1258454.51</v>
      </c>
      <c r="S98" s="116" t="n">
        <v>58563319.5104175</v>
      </c>
    </row>
    <row r="99">
      <c r="N99" s="116" t="inlineStr">
        <is>
          <t>set/27</t>
        </is>
      </c>
      <c r="O99" s="116" t="n">
        <v>109840350.0072854</v>
      </c>
      <c r="P99" s="116" t="n">
        <v>45534467.42284678</v>
      </c>
      <c r="Q99" s="116" t="n">
        <v>8180418.344021075</v>
      </c>
      <c r="R99" s="116" t="n">
        <v>2437855.27</v>
      </c>
      <c r="S99" s="116" t="n">
        <v>64305882.58443858</v>
      </c>
    </row>
    <row r="100">
      <c r="N100" s="116" t="inlineStr">
        <is>
          <t>out/27</t>
        </is>
      </c>
      <c r="O100" s="116" t="n">
        <v>112101829.4172854</v>
      </c>
      <c r="P100" s="116" t="n">
        <v>46800147.42284678</v>
      </c>
      <c r="Q100" s="116" t="n">
        <v>2261479.41</v>
      </c>
      <c r="R100" s="116" t="n">
        <v>1265680</v>
      </c>
      <c r="S100" s="116" t="n">
        <v>65301681.99443857</v>
      </c>
    </row>
    <row r="101">
      <c r="N101" s="116" t="inlineStr">
        <is>
          <t>nov/27</t>
        </is>
      </c>
      <c r="O101" s="116" t="n">
        <v>112101829.4172854</v>
      </c>
      <c r="P101" s="116" t="n">
        <v>48722861.17284678</v>
      </c>
      <c r="Q101" s="116" t="n">
        <v>0</v>
      </c>
      <c r="R101" s="116" t="n">
        <v>1922713.75</v>
      </c>
      <c r="S101" s="116" t="n">
        <v>63378968.24443857</v>
      </c>
    </row>
    <row r="102">
      <c r="N102" s="116" t="inlineStr">
        <is>
          <t>dez/27</t>
        </is>
      </c>
      <c r="O102" s="116" t="n">
        <v>112507655.0372854</v>
      </c>
      <c r="P102" s="116" t="n">
        <v>49301313.67284678</v>
      </c>
      <c r="Q102" s="116" t="n">
        <v>405825.62</v>
      </c>
      <c r="R102" s="116" t="n">
        <v>578452.5</v>
      </c>
      <c r="S102" s="116" t="n">
        <v>63206341.36443857</v>
      </c>
    </row>
    <row r="103">
      <c r="N103" s="116" t="inlineStr">
        <is>
          <t>jan/28</t>
        </is>
      </c>
      <c r="O103" s="116" t="n">
        <v>115125239.6772854</v>
      </c>
      <c r="P103" s="116" t="n">
        <v>49747412.34884678</v>
      </c>
      <c r="Q103" s="116" t="n">
        <v>2617584.64</v>
      </c>
      <c r="R103" s="116" t="n">
        <v>446098.676</v>
      </c>
      <c r="S103" s="116" t="n">
        <v>65377827.32843857</v>
      </c>
    </row>
    <row r="104">
      <c r="N104" s="116" t="inlineStr">
        <is>
          <t>fev/28</t>
        </is>
      </c>
      <c r="O104" s="116" t="n">
        <v>121188125.2322854</v>
      </c>
      <c r="P104" s="116" t="n">
        <v>53208278.74259678</v>
      </c>
      <c r="Q104" s="116" t="n">
        <v>6062885.555000001</v>
      </c>
      <c r="R104" s="116" t="n">
        <v>3460866.39375</v>
      </c>
      <c r="S104" s="116" t="n">
        <v>67979846.48968858</v>
      </c>
    </row>
    <row r="105">
      <c r="N105" s="116" t="inlineStr">
        <is>
          <t>mar/28</t>
        </is>
      </c>
      <c r="O105" s="116" t="n">
        <v>126086566.5472854</v>
      </c>
      <c r="P105" s="116" t="n">
        <v>53476278.74259678</v>
      </c>
      <c r="Q105" s="116" t="n">
        <v>4898441.314999999</v>
      </c>
      <c r="R105" s="116" t="n">
        <v>268000</v>
      </c>
      <c r="S105" s="116" t="n">
        <v>72610287.80468857</v>
      </c>
    </row>
    <row r="106">
      <c r="N106" s="116" t="inlineStr">
        <is>
          <t>abr/28</t>
        </is>
      </c>
      <c r="O106" s="116" t="n">
        <v>137165366.4842854</v>
      </c>
      <c r="P106" s="116" t="n">
        <v>53576278.74259678</v>
      </c>
      <c r="Q106" s="116" t="n">
        <v>11078799.937</v>
      </c>
      <c r="R106" s="116" t="n">
        <v>100000</v>
      </c>
      <c r="S106" s="116" t="n">
        <v>83589087.74168858</v>
      </c>
    </row>
    <row r="107">
      <c r="N107" s="116" t="inlineStr">
        <is>
          <t>mai/28</t>
        </is>
      </c>
      <c r="O107" s="116" t="n">
        <v>138839196.4520771</v>
      </c>
      <c r="P107" s="116" t="n">
        <v>53676278.74259678</v>
      </c>
      <c r="Q107" s="116" t="n">
        <v>1673829.967791691</v>
      </c>
      <c r="R107" s="116" t="n">
        <v>100000</v>
      </c>
      <c r="S107" s="116" t="n">
        <v>85162917.70948027</v>
      </c>
    </row>
    <row r="108">
      <c r="N108" s="116" t="inlineStr">
        <is>
          <t>jun/28</t>
        </is>
      </c>
      <c r="O108" s="116" t="n">
        <v>139291764.089577</v>
      </c>
      <c r="P108" s="116" t="n">
        <v>54024278.74259678</v>
      </c>
      <c r="Q108" s="116" t="n">
        <v>452567.6375</v>
      </c>
      <c r="R108" s="116" t="n">
        <v>348000</v>
      </c>
      <c r="S108" s="116" t="n">
        <v>85267485.34698027</v>
      </c>
    </row>
    <row r="109">
      <c r="N109" s="116" t="inlineStr">
        <is>
          <t>jul/28</t>
        </is>
      </c>
      <c r="O109" s="116" t="n">
        <v>142265600.8895771</v>
      </c>
      <c r="P109" s="116" t="n">
        <v>55553328.50059678</v>
      </c>
      <c r="Q109" s="116" t="n">
        <v>2973836.8</v>
      </c>
      <c r="R109" s="116" t="n">
        <v>1529049.758</v>
      </c>
      <c r="S109" s="116" t="n">
        <v>86712272.38898027</v>
      </c>
    </row>
    <row r="110">
      <c r="N110" s="116" t="inlineStr">
        <is>
          <t>ago/28</t>
        </is>
      </c>
      <c r="O110" s="116" t="n">
        <v>143884059.7395771</v>
      </c>
      <c r="P110" s="116" t="n">
        <v>57565008.50059678</v>
      </c>
      <c r="Q110" s="116" t="n">
        <v>1618458.85</v>
      </c>
      <c r="R110" s="116" t="n">
        <v>2011680</v>
      </c>
      <c r="S110" s="116" t="n">
        <v>86319051.23898026</v>
      </c>
    </row>
    <row r="111">
      <c r="N111" s="116" t="inlineStr">
        <is>
          <t>set/28</t>
        </is>
      </c>
      <c r="O111" s="116" t="n">
        <v>145124531.8895771</v>
      </c>
      <c r="P111" s="116" t="n">
        <v>61618978.63434678</v>
      </c>
      <c r="Q111" s="116" t="n">
        <v>1240472.15</v>
      </c>
      <c r="R111" s="116" t="n">
        <v>4053970.13375</v>
      </c>
      <c r="S111" s="116" t="n">
        <v>83505553.25523026</v>
      </c>
    </row>
    <row r="112">
      <c r="N112" s="116" t="inlineStr">
        <is>
          <t>out/28</t>
        </is>
      </c>
      <c r="O112" s="116" t="n">
        <v>150897527.7370771</v>
      </c>
      <c r="P112" s="116" t="n">
        <v>62177431.13434678</v>
      </c>
      <c r="Q112" s="116" t="n">
        <v>5772995.847500001</v>
      </c>
      <c r="R112" s="116" t="n">
        <v>558452.5</v>
      </c>
      <c r="S112" s="116" t="n">
        <v>88720096.60273026</v>
      </c>
    </row>
    <row r="113">
      <c r="N113" s="116" t="inlineStr">
        <is>
          <t>nov/28</t>
        </is>
      </c>
      <c r="O113" s="116" t="n">
        <v>155692547.1670771</v>
      </c>
      <c r="P113" s="116" t="n">
        <v>62677431.13434678</v>
      </c>
      <c r="Q113" s="116" t="n">
        <v>4795019.43</v>
      </c>
      <c r="R113" s="116" t="n">
        <v>500000</v>
      </c>
      <c r="S113" s="116" t="n">
        <v>93015116.03273025</v>
      </c>
    </row>
    <row r="114">
      <c r="N114" s="116" t="inlineStr">
        <is>
          <t>dez/28</t>
        </is>
      </c>
      <c r="O114" s="116" t="n">
        <v>160414095.2445771</v>
      </c>
      <c r="P114" s="116" t="n">
        <v>63001718.25534678</v>
      </c>
      <c r="Q114" s="116" t="n">
        <v>4721548.077500001</v>
      </c>
      <c r="R114" s="116" t="n">
        <v>324287.121</v>
      </c>
      <c r="S114" s="116" t="n">
        <v>97412376.98923025</v>
      </c>
    </row>
    <row r="115">
      <c r="N115" s="116" t="inlineStr">
        <is>
          <t>jan/29</t>
        </is>
      </c>
      <c r="O115" s="116" t="n">
        <v>165490438.1395771</v>
      </c>
      <c r="P115" s="116" t="n">
        <v>63406029.79034677</v>
      </c>
      <c r="Q115" s="116" t="n">
        <v>5076342.895</v>
      </c>
      <c r="R115" s="116" t="n">
        <v>404311.535</v>
      </c>
      <c r="S115" s="116" t="n">
        <v>102084408.3492302</v>
      </c>
    </row>
    <row r="116">
      <c r="N116" s="116" t="inlineStr">
        <is>
          <t>fev/29</t>
        </is>
      </c>
      <c r="O116" s="116" t="n">
        <v>166628719.3966733</v>
      </c>
      <c r="P116" s="116" t="n">
        <v>63506029.79034677</v>
      </c>
      <c r="Q116" s="116" t="n">
        <v>1138281.257096209</v>
      </c>
      <c r="R116" s="116" t="n">
        <v>100000</v>
      </c>
      <c r="S116" s="116" t="n">
        <v>103122689.6063265</v>
      </c>
    </row>
    <row r="117">
      <c r="N117" s="116" t="inlineStr">
        <is>
          <t>mar/29</t>
        </is>
      </c>
      <c r="O117" s="116" t="n">
        <v>168460653.8866733</v>
      </c>
      <c r="P117" s="116" t="n">
        <v>63686029.79034677</v>
      </c>
      <c r="Q117" s="116" t="n">
        <v>1831934.49</v>
      </c>
      <c r="R117" s="116" t="n">
        <v>180000</v>
      </c>
      <c r="S117" s="116" t="n">
        <v>104774624.0963265</v>
      </c>
    </row>
    <row r="118">
      <c r="N118" s="116" t="inlineStr">
        <is>
          <t>abr/29</t>
        </is>
      </c>
      <c r="O118" s="116" t="n">
        <v>170008876.6806733</v>
      </c>
      <c r="P118" s="116" t="n">
        <v>66992428.67409677</v>
      </c>
      <c r="Q118" s="116" t="n">
        <v>1548222.794</v>
      </c>
      <c r="R118" s="116" t="n">
        <v>3306398.88375</v>
      </c>
      <c r="S118" s="116" t="n">
        <v>103016448.0065764</v>
      </c>
    </row>
    <row r="119">
      <c r="N119" s="116" t="inlineStr">
        <is>
          <t>mai/29</t>
        </is>
      </c>
      <c r="O119" s="116" t="n">
        <v>171105875.0781733</v>
      </c>
      <c r="P119" s="116" t="n">
        <v>68439932.94209677</v>
      </c>
      <c r="Q119" s="116" t="n">
        <v>1096998.3975</v>
      </c>
      <c r="R119" s="116" t="n">
        <v>1447504.268</v>
      </c>
      <c r="S119" s="116" t="n">
        <v>102665942.1360765</v>
      </c>
    </row>
    <row r="120">
      <c r="N120" s="116" t="inlineStr">
        <is>
          <t>jun/29</t>
        </is>
      </c>
      <c r="O120" s="116" t="n">
        <v>173435710.8061733</v>
      </c>
      <c r="P120" s="116" t="n">
        <v>68912659.30209677</v>
      </c>
      <c r="Q120" s="116" t="n">
        <v>2329835.728</v>
      </c>
      <c r="R120" s="116" t="n">
        <v>472726.36</v>
      </c>
      <c r="S120" s="116" t="n">
        <v>104523051.5040765</v>
      </c>
    </row>
    <row r="121">
      <c r="N121" s="116" t="inlineStr">
        <is>
          <t>jul/29</t>
        </is>
      </c>
      <c r="O121" s="116" t="n">
        <v>180990250.2816733</v>
      </c>
      <c r="P121" s="116" t="n">
        <v>69412659.30209677</v>
      </c>
      <c r="Q121" s="116" t="n">
        <v>7554539.475500002</v>
      </c>
      <c r="R121" s="116" t="n">
        <v>500000</v>
      </c>
      <c r="S121" s="116" t="n">
        <v>111577590.9795765</v>
      </c>
    </row>
    <row r="122">
      <c r="N122" s="116" t="inlineStr">
        <is>
          <t>ago/29</t>
        </is>
      </c>
      <c r="O122" s="116" t="n">
        <v>183412342.8816732</v>
      </c>
      <c r="P122" s="116" t="n">
        <v>69671654.84909678</v>
      </c>
      <c r="Q122" s="116" t="n">
        <v>2422092.6</v>
      </c>
      <c r="R122" s="116" t="n">
        <v>258995.547</v>
      </c>
      <c r="S122" s="116" t="n">
        <v>113740688.0325765</v>
      </c>
    </row>
    <row r="123">
      <c r="N123" s="116" t="inlineStr">
        <is>
          <t>set/29</t>
        </is>
      </c>
      <c r="O123" s="116" t="n">
        <v>186838644.9091733</v>
      </c>
      <c r="P123" s="116" t="n">
        <v>69771654.84909678</v>
      </c>
      <c r="Q123" s="116" t="n">
        <v>3426302.0275</v>
      </c>
      <c r="R123" s="116" t="n">
        <v>100000</v>
      </c>
      <c r="S123" s="116" t="n">
        <v>117066990.0600765</v>
      </c>
    </row>
    <row r="124">
      <c r="N124" s="116" t="inlineStr">
        <is>
          <t>out/29</t>
        </is>
      </c>
      <c r="O124" s="116" t="n">
        <v>187769244.9091733</v>
      </c>
      <c r="P124" s="116" t="n">
        <v>70912505.77509677</v>
      </c>
      <c r="Q124" s="116" t="n">
        <v>930600.0000000001</v>
      </c>
      <c r="R124" s="116" t="n">
        <v>1140850.926</v>
      </c>
      <c r="S124" s="116" t="n">
        <v>116856739.1340765</v>
      </c>
    </row>
    <row r="125">
      <c r="N125" s="116" t="inlineStr">
        <is>
          <t>nov/29</t>
        </is>
      </c>
      <c r="O125" s="116" t="n">
        <v>194406271.0449522</v>
      </c>
      <c r="P125" s="116" t="n">
        <v>71012505.77509677</v>
      </c>
      <c r="Q125" s="116" t="n">
        <v>6637026.13577893</v>
      </c>
      <c r="R125" s="116" t="n">
        <v>100000</v>
      </c>
      <c r="S125" s="116" t="n">
        <v>123393765.2698554</v>
      </c>
    </row>
    <row r="126">
      <c r="N126" s="116" t="inlineStr">
        <is>
          <t>dez/29</t>
        </is>
      </c>
      <c r="O126" s="116" t="n">
        <v>196137169.9182439</v>
      </c>
      <c r="P126" s="116" t="n">
        <v>71112505.77509677</v>
      </c>
      <c r="Q126" s="116" t="n">
        <v>1730898.873291691</v>
      </c>
      <c r="R126" s="116" t="n">
        <v>100000</v>
      </c>
      <c r="S126" s="116" t="n">
        <v>125024664.1431471</v>
      </c>
    </row>
    <row r="127">
      <c r="N127" s="116" t="inlineStr">
        <is>
          <t>jan/30</t>
        </is>
      </c>
      <c r="O127" s="116" t="n">
        <v>198649962.5352439</v>
      </c>
      <c r="P127" s="116" t="n">
        <v>71212505.77509677</v>
      </c>
      <c r="Q127" s="116" t="n">
        <v>2512792.617</v>
      </c>
      <c r="R127" s="116" t="n">
        <v>100000</v>
      </c>
      <c r="S127" s="116" t="n">
        <v>127437456.7601471</v>
      </c>
    </row>
    <row r="128">
      <c r="N128" s="116" t="inlineStr">
        <is>
          <t>fev/30</t>
        </is>
      </c>
      <c r="O128" s="116" t="n">
        <v>198827691.7802439</v>
      </c>
      <c r="P128" s="116" t="n">
        <v>71474784.60109678</v>
      </c>
      <c r="Q128" s="116" t="n">
        <v>177729.245</v>
      </c>
      <c r="R128" s="116" t="n">
        <v>262278.826</v>
      </c>
      <c r="S128" s="116" t="n">
        <v>127352907.1791471</v>
      </c>
    </row>
    <row r="129">
      <c r="N129" s="116" t="inlineStr">
        <is>
          <t>mar/30</t>
        </is>
      </c>
      <c r="O129" s="116" t="n">
        <v>198827691.7802439</v>
      </c>
      <c r="P129" s="116" t="n">
        <v>71574784.60109678</v>
      </c>
      <c r="Q129" s="116" t="n">
        <v>0</v>
      </c>
      <c r="R129" s="116" t="n">
        <v>100000</v>
      </c>
      <c r="S129" s="116" t="n">
        <v>127252907.1791471</v>
      </c>
    </row>
    <row r="130"/>
    <row r="131"/>
    <row r="132" hidden="1">
      <c r="A132" s="116" t="inlineStr">
        <is>
          <t>Bridge</t>
        </is>
      </c>
      <c r="B132" s="116" t="inlineStr">
        <is>
          <t>Valor</t>
        </is>
      </c>
    </row>
    <row r="133" hidden="1">
      <c r="A133" s="116" t="inlineStr">
        <is>
          <t>Receita prevista</t>
        </is>
      </c>
      <c r="B133" s="1539" t="n">
        <v>198827691.7802439</v>
      </c>
    </row>
    <row r="134" hidden="1">
      <c r="A134" s="116" t="inlineStr">
        <is>
          <t>Desembolso previsto</t>
        </is>
      </c>
      <c r="B134" s="1539" t="n">
        <v>-71574784.60109678</v>
      </c>
    </row>
    <row r="135" hidden="1">
      <c r="A135" s="116" t="inlineStr">
        <is>
          <t>Resultado líquido</t>
        </is>
      </c>
      <c r="B135" s="1539" t="n">
        <v>127252907.1791471</v>
      </c>
    </row>
  </sheetData>
  <mergeCells count="30">
    <mergeCell ref="J6:L6"/>
    <mergeCell ref="G10:I10"/>
    <mergeCell ref="A15:H15"/>
    <mergeCell ref="G6:I6"/>
    <mergeCell ref="J4:L4"/>
    <mergeCell ref="A2:L2"/>
    <mergeCell ref="A5:C5"/>
    <mergeCell ref="G5:I5"/>
    <mergeCell ref="A8:C8"/>
    <mergeCell ref="D4:F4"/>
    <mergeCell ref="A16:H16"/>
    <mergeCell ref="G4:I4"/>
    <mergeCell ref="D9:F9"/>
    <mergeCell ref="D8:F8"/>
    <mergeCell ref="A4:C4"/>
    <mergeCell ref="A10:C10"/>
    <mergeCell ref="D5:F5"/>
    <mergeCell ref="A9:C9"/>
    <mergeCell ref="G9:I9"/>
    <mergeCell ref="J8:L8"/>
    <mergeCell ref="A14:H14"/>
    <mergeCell ref="D10:F10"/>
    <mergeCell ref="A17:H17"/>
    <mergeCell ref="J5:L5"/>
    <mergeCell ref="J10:L10"/>
    <mergeCell ref="A1:L1"/>
    <mergeCell ref="A6:C6"/>
    <mergeCell ref="G8:I8"/>
    <mergeCell ref="J9:L9"/>
    <mergeCell ref="D6:F6"/>
  </mergeCells>
  <pageMargins left="0.75" right="0.75" top="1" bottom="1" header="0.5" footer="0.5"/>
  <drawing xmlns:r="http://schemas.openxmlformats.org/officeDocument/2006/relationships" r:id="rId1"/>
</worksheet>
</file>

<file path=xl/worksheets/sheet13.xml><?xml version="1.0" encoding="utf-8"?>
<worksheet xmlns="http://schemas.openxmlformats.org/spreadsheetml/2006/main">
  <sheetPr>
    <outlinePr summaryBelow="1" summaryRight="1"/>
    <pageSetUpPr/>
  </sheetPr>
  <dimension ref="A1:H24"/>
  <sheetViews>
    <sheetView showGridLines="0" workbookViewId="0">
      <pane ySplit="5" topLeftCell="A6" activePane="bottomLeft" state="frozen"/>
      <selection pane="bottomLeft" activeCell="A1" sqref="A1"/>
    </sheetView>
  </sheetViews>
  <sheetFormatPr baseColWidth="8" defaultRowHeight="15"/>
  <cols>
    <col width="28" customWidth="1" min="1" max="1"/>
    <col width="32" customWidth="1" min="2" max="2"/>
    <col width="18" customWidth="1" min="3" max="3"/>
    <col width="26" customWidth="1" min="4" max="4"/>
    <col width="18" customWidth="1" min="5" max="5"/>
    <col width="14" customWidth="1" min="6" max="6"/>
    <col width="54" customWidth="1" min="7" max="7"/>
  </cols>
  <sheetData>
    <row r="1" ht="26" customHeight="1">
      <c r="A1" s="1500" t="inlineStr">
        <is>
          <t>Investor Reconciliation</t>
        </is>
      </c>
    </row>
    <row r="2" ht="30" customHeight="1">
      <c r="A2" s="1501" t="inlineStr">
        <is>
          <t>Reconciliação entre totalizadores, eventograma e Curva S de investidor. Divergências não foram ajustadas manualmente.</t>
        </is>
      </c>
    </row>
    <row r="3"/>
    <row r="4"/>
    <row r="5">
      <c r="A5" s="1503" t="inlineStr">
        <is>
          <t>Item</t>
        </is>
      </c>
      <c r="B5" s="1503" t="inlineStr">
        <is>
          <t>Fonte / célula</t>
        </is>
      </c>
      <c r="C5" s="1503" t="inlineStr">
        <is>
          <t>Valor</t>
        </is>
      </c>
      <c r="D5" s="1503" t="inlineStr">
        <is>
          <t>Comparativo</t>
        </is>
      </c>
      <c r="E5" s="1503" t="inlineStr">
        <is>
          <t>Diferença</t>
        </is>
      </c>
      <c r="F5" s="1503" t="inlineStr">
        <is>
          <t>Status</t>
        </is>
      </c>
      <c r="G5" s="1503" t="inlineStr">
        <is>
          <t>Observação</t>
        </is>
      </c>
      <c r="H5" s="1503" t="n"/>
    </row>
    <row r="6">
      <c r="A6" s="1540" t="inlineStr">
        <is>
          <t>Receita total prevista</t>
        </is>
      </c>
      <c r="B6" s="1540" t="inlineStr">
        <is>
          <t>04_TOTALIZADORA (3)!G84/H84</t>
        </is>
      </c>
      <c r="C6" s="1541" t="n">
        <v>198827691.7802439</v>
      </c>
      <c r="D6" s="1540" t="inlineStr">
        <is>
          <t>03_Eventos_pagamentos!N837</t>
        </is>
      </c>
      <c r="E6" s="1541" t="n">
        <v>2.980232238769531e-08</v>
      </c>
      <c r="F6" s="1542" t="inlineStr">
        <is>
          <t>OK</t>
        </is>
      </c>
      <c r="G6" s="1543" t="inlineStr">
        <is>
          <t>Total do eventograma de pagamentos.</t>
        </is>
      </c>
    </row>
    <row r="7">
      <c r="A7" s="1544" t="inlineStr">
        <is>
          <t>Receita total prevista</t>
        </is>
      </c>
      <c r="B7" s="1544" t="inlineStr">
        <is>
          <t>04_TOTALIZADORA (3)!G84/H84</t>
        </is>
      </c>
      <c r="C7" s="1545" t="n">
        <v>198827691.7802439</v>
      </c>
      <c r="D7" s="1544" t="inlineStr">
        <is>
          <t>01_Preço!O653</t>
        </is>
      </c>
      <c r="E7" s="1545" t="n">
        <v>-0.001362144947052002</v>
      </c>
      <c r="F7" s="1546" t="inlineStr">
        <is>
          <t>OK</t>
        </is>
      </c>
      <c r="G7" s="1547" t="inlineStr">
        <is>
          <t>Diferença residual por precisão decimal.</t>
        </is>
      </c>
    </row>
    <row r="8">
      <c r="A8" s="1540" t="inlineStr">
        <is>
          <t>Preço UHE Salto Grande</t>
        </is>
      </c>
      <c r="B8" s="1540" t="inlineStr">
        <is>
          <t>04_TOTALIZADORA (3)!D84 / AD12</t>
        </is>
      </c>
      <c r="C8" s="1541" t="n">
        <v>181818525.9002439</v>
      </c>
      <c r="D8" s="1540" t="inlineStr">
        <is>
          <t>01_Preço!V646</t>
        </is>
      </c>
      <c r="E8" s="1541" t="n">
        <v>-0.00136217474937439</v>
      </c>
      <c r="F8" s="1542" t="inlineStr">
        <is>
          <t>OK</t>
        </is>
      </c>
      <c r="G8" s="1543" t="inlineStr">
        <is>
          <t>Escopo CEMIG GT.</t>
        </is>
      </c>
    </row>
    <row r="9">
      <c r="A9" s="1544" t="inlineStr">
        <is>
          <t>Preço SE UHE Salto Grande</t>
        </is>
      </c>
      <c r="B9" s="1544" t="inlineStr">
        <is>
          <t>04_TOTALIZADORA (3)!F84 / AD13</t>
        </is>
      </c>
      <c r="C9" s="1545" t="n">
        <v>17009165.88</v>
      </c>
      <c r="D9" s="1544" t="inlineStr">
        <is>
          <t>01_Preço!V647</t>
        </is>
      </c>
      <c r="E9" s="1545" t="n">
        <v>0</v>
      </c>
      <c r="F9" s="1546" t="inlineStr">
        <is>
          <t>OK</t>
        </is>
      </c>
      <c r="G9" s="1547" t="inlineStr">
        <is>
          <t>Escopo CEMIG D.</t>
        </is>
      </c>
    </row>
    <row r="10">
      <c r="A10" s="1540" t="inlineStr">
        <is>
          <t>Desembolso mensal previsto</t>
        </is>
      </c>
      <c r="B10" s="1540" t="inlineStr">
        <is>
          <t>04_TOTALIZADORA (3)!R14:R82 / R84</t>
        </is>
      </c>
      <c r="C10" s="1541" t="n">
        <v>71574784.60109678</v>
      </c>
      <c r="D10" s="1540" t="inlineStr">
        <is>
          <t>CurvaS soma mensal</t>
        </is>
      </c>
      <c r="E10" s="1541" t="n">
        <v>0</v>
      </c>
      <c r="F10" s="1542" t="inlineStr">
        <is>
          <t>OK</t>
        </is>
      </c>
      <c r="G10" s="1543" t="inlineStr">
        <is>
          <t>Base usada para desembolso previsto na Curva S.</t>
        </is>
      </c>
    </row>
    <row r="11">
      <c r="A11" s="1544" t="inlineStr">
        <is>
          <t>Desembolso acumulado oficial</t>
        </is>
      </c>
      <c r="B11" s="1544" t="inlineStr">
        <is>
          <t>04_TOTALIZADORA (3)!U82/U84</t>
        </is>
      </c>
      <c r="C11" s="1545" t="n">
        <v>106244983.6253642</v>
      </c>
      <c r="D11" s="1544" t="inlineStr">
        <is>
          <t>Soma mensal R14:R82</t>
        </is>
      </c>
      <c r="E11" s="1545" t="n">
        <v>34670199.02426739</v>
      </c>
      <c r="F11" s="1546" t="inlineStr">
        <is>
          <t>Revisar</t>
        </is>
      </c>
      <c r="G11" s="1547" t="inlineStr">
        <is>
          <t>Coluna U não fecha com a soma mensal R. Mantida sem ajuste.</t>
        </is>
      </c>
    </row>
    <row r="12">
      <c r="A12" s="1540" t="inlineStr">
        <is>
          <t>Faturamento direto previsto</t>
        </is>
      </c>
      <c r="B12" s="1540" t="inlineStr">
        <is>
          <t>04_TOTALIZADORA (3)!S84</t>
        </is>
      </c>
      <c r="C12" s="1541" t="n">
        <v>41470199.02426736</v>
      </c>
      <c r="D12" s="1540" t="inlineStr">
        <is>
          <t>Informativo</t>
        </is>
      </c>
      <c r="E12" s="1540" t="n"/>
      <c r="F12" s="1542" t="inlineStr">
        <is>
          <t>Informativo</t>
        </is>
      </c>
      <c r="G12" s="1543" t="inlineStr">
        <is>
          <t>Não tratado como desembolso mensal na Curva S; aparece na divergência com U.</t>
        </is>
      </c>
    </row>
    <row r="13">
      <c r="A13" s="1544" t="inlineStr">
        <is>
          <t>Meses declarados vs datados</t>
        </is>
      </c>
      <c r="B13" s="1544" t="inlineStr">
        <is>
          <t>04_TOTALIZADORA (3)!A84</t>
        </is>
      </c>
      <c r="C13" s="1544" t="n">
        <v>70</v>
      </c>
      <c r="D13" s="1544" t="inlineStr">
        <is>
          <t>Linhas datadas B14:B82</t>
        </is>
      </c>
      <c r="E13" s="1545" t="n">
        <v>1</v>
      </c>
      <c r="F13" s="1546" t="inlineStr">
        <is>
          <t>Revisar</t>
        </is>
      </c>
      <c r="G13" s="1547" t="inlineStr">
        <is>
          <t>Resumo indica 70, mas há 69 meses datados na tabela mensal.</t>
        </is>
      </c>
    </row>
    <row r="14">
      <c r="A14" s="1540" t="inlineStr">
        <is>
          <t>BM / medição disponível</t>
        </is>
      </c>
      <c r="B14" s="1540" t="inlineStr">
        <is>
          <t>BM!N24</t>
        </is>
      </c>
      <c r="C14" s="1541" t="n">
        <v>213547.664</v>
      </c>
      <c r="D14" s="1540" t="inlineStr">
        <is>
          <t>Informativo</t>
        </is>
      </c>
      <c r="E14" s="1540" t="n"/>
      <c r="F14" s="1542" t="inlineStr">
        <is>
          <t>Informativo</t>
        </is>
      </c>
      <c r="G14" s="1543" t="inlineStr">
        <is>
          <t>Valor cumprido do BM03; não usado como previsão mensal.</t>
        </is>
      </c>
    </row>
    <row r="15">
      <c r="A15" s="1544" t="inlineStr">
        <is>
          <t>Faturamento realizado</t>
        </is>
      </c>
      <c r="B15" s="1544" t="inlineStr">
        <is>
          <t>04_TOTALIZADORA (3)!W84</t>
        </is>
      </c>
      <c r="C15" s="1545" t="n">
        <v>11153499.19201219</v>
      </c>
      <c r="D15" s="1544" t="inlineStr">
        <is>
          <t>Informativo</t>
        </is>
      </c>
      <c r="E15" s="1544" t="n"/>
      <c r="F15" s="1546" t="inlineStr">
        <is>
          <t>Informativo</t>
        </is>
      </c>
      <c r="G15" s="1547" t="inlineStr">
        <is>
          <t>Valor realizado/acumulado, separado do cronograma previsto.</t>
        </is>
      </c>
    </row>
    <row r="16">
      <c r="A16" s="1540" t="inlineStr">
        <is>
          <t>Programação acumulada pedidos</t>
        </is>
      </c>
      <c r="B16" s="1540" t="inlineStr">
        <is>
          <t>04_TOTALIZADORA (3)!Y84</t>
        </is>
      </c>
      <c r="C16" s="1541" t="n">
        <v>17275557.52</v>
      </c>
      <c r="D16" s="1540" t="inlineStr">
        <is>
          <t>Informativo</t>
        </is>
      </c>
      <c r="E16" s="1540" t="n"/>
      <c r="F16" s="1542" t="inlineStr">
        <is>
          <t>Informativo</t>
        </is>
      </c>
      <c r="G16" s="1543" t="inlineStr">
        <is>
          <t>Não substitui receita/desembolso previsto.</t>
        </is>
      </c>
    </row>
    <row r="17"/>
    <row r="18"/>
    <row r="19"/>
    <row r="20">
      <c r="A20" s="1536" t="inlineStr">
        <is>
          <t>Campos ausentes / pouco claros</t>
        </is>
      </c>
    </row>
    <row r="21">
      <c r="A21" s="1537" t="inlineStr">
        <is>
          <t>- Não há aba específica de despesas operacionais; o workbook usa campos de desembolso nas abas totalizadoras.</t>
        </is>
      </c>
    </row>
    <row r="22">
      <c r="A22" s="1537" t="inlineStr">
        <is>
          <t>- O significado de 100k recorrente na coluna Q não está documentado na planilha; ele está incluído em R, mas não fecha com U.</t>
        </is>
      </c>
    </row>
    <row r="23">
      <c r="A23" s="1537" t="inlineStr">
        <is>
          <t>- A coluna U parece combinar desembolso Insight e faturamento direto; revisar definição antes de decisão de investimento.</t>
        </is>
      </c>
    </row>
    <row r="24">
      <c r="A24" s="1537" t="inlineStr">
        <is>
          <t>- Payback/break-even calculado pelo resultado acumulado receita prevista total menos desembolso mensal previsto R.</t>
        </is>
      </c>
    </row>
  </sheetData>
  <autoFilter ref="A5:G16"/>
  <mergeCells count="6">
    <mergeCell ref="A21:G21"/>
    <mergeCell ref="A2:H2"/>
    <mergeCell ref="A22:G22"/>
    <mergeCell ref="A24:G24"/>
    <mergeCell ref="A1:H1"/>
    <mergeCell ref="A23:G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c057244</dc:creator>
  <dcterms:created xmlns:dcterms="http://purl.org/dc/terms/" xmlns:xsi="http://www.w3.org/2001/XMLSchema-instance" xsi:type="dcterms:W3CDTF">2023-11-23T12:45:16Z</dcterms:created>
  <dcterms:modified xmlns:dcterms="http://purl.org/dc/terms/" xmlns:xsi="http://www.w3.org/2001/XMLSchema-instance" xsi:type="dcterms:W3CDTF">2026-06-11T20:31:43Z</dcterms:modified>
  <cp:lastModifiedBy>Gustavo Freitas</cp:lastModifiedBy>
  <cp:lastPrinted>2026-06-11T19:34:15Z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0x010100584739CAB9612E4AB1AEAC6F2530F927</vt:lpwstr>
  </property>
  <property name="MediaServiceImageTags" fmtid="{D5CDD505-2E9C-101B-9397-08002B2CF9AE}" pid="3">
    <vt:lpwstr xmlns:vt="http://schemas.openxmlformats.org/officeDocument/2006/docPropsVTypes"/>
  </property>
  <property name="Order" fmtid="{D5CDD505-2E9C-101B-9397-08002B2CF9AE}" pid="4">
    <vt:r8 xmlns:vt="http://schemas.openxmlformats.org/officeDocument/2006/docPropsVTypes">49458300</vt:r8>
  </property>
  <property name="ComplianceAssetId" fmtid="{D5CDD505-2E9C-101B-9397-08002B2CF9AE}" pid="5">
    <vt:lpwstr xmlns:vt="http://schemas.openxmlformats.org/officeDocument/2006/docPropsVTypes"/>
  </property>
</Properties>
</file>